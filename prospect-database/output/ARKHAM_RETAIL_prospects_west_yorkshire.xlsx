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PROSPECTS'!$A$1:$BQ$297</definedName>
    <definedName name="_xlnm._FilterDatabase" localSheetId="2" hidden="1">'VAPE SHOPS'!$A$1:$AB$110</definedName>
    <definedName name="_xlnm._FilterDatabase" localSheetId="3" hidden="1">'CONVENIENCE'!$A$1:$AB$66</definedName>
    <definedName name="_xlnm._FilterDatabase" localSheetId="4" hidden="1">'PETROL - FORECOURTS'!$A$1:$AB$18</definedName>
    <definedName name="_xlnm._FilterDatabase" localSheetId="5" hidden="1">'OFF LICENCES'!$A$1:$AB$32</definedName>
    <definedName name="_xlnm._FilterDatabase" localSheetId="6" hidden="1">'TOBACCO - SMOKE - SHISHA'!$A$1:$AB$19</definedName>
    <definedName name="_xlnm._FilterDatabase" localSheetId="7" hidden="1">'SUPERMARKETS'!$A$1:$AB$56</definedName>
    <definedName name="_xlnm._FilterDatabase" localSheetId="8" hidden="1">'CHAINS - MULTI-SITE'!$A$1:$AB$85</definedName>
    <definedName name="_xlnm._FilterDatabase" localSheetId="9" hidden="1">'MISSING CONTACT INFO'!$A$1:$AB$153</definedName>
    <definedName name="_xlnm._FilterDatabase" localSheetId="10" hidden="1">'DUPLICATE REVIEW'!$A$1:$AB$4</definedName>
    <definedName name="_xlnm._FilterDatabase" localSheetId="11" hidden="1">'SOURCE LOG'!$A$1:$H$570</definedName>
    <definedName name="_xlnm._FilterDatabase" localSheetId="12" hidden="1">'CRM - FOLLOW-UP'!$A$1:$U$297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2026-09-16</t>
        </is>
      </c>
    </row>
    <row r="5">
      <c r="B5" s="3" t="inlineStr">
        <is>
          <t>KEY METRICS</t>
        </is>
      </c>
      <c r="C5" s="4" t="inlineStr">
        <is>
          <t>LIVE</t>
        </is>
      </c>
      <c r="D5" s="4" t="inlineStr">
        <is>
          <t>SNAPSHOT 2026-09-16</t>
        </is>
      </c>
      <c r="F5" s="3" t="inlineStr">
        <is>
          <t>BY CATEGORY</t>
        </is>
      </c>
      <c r="J5" s="3" t="inlineStr">
        <is>
          <t>BY TOWN / CITY</t>
        </is>
      </c>
    </row>
    <row r="6">
      <c r="B6" s="5" t="inlineStr">
        <is>
          <t>TOTAL PROSPECTS</t>
        </is>
      </c>
      <c r="C6" s="6">
        <f>COUNTA('ALL PROSPECTS'!$A$2:$A$297)</f>
        <v/>
      </c>
      <c r="D6" s="7" t="n">
        <v>296</v>
      </c>
      <c r="F6" s="5" t="inlineStr">
        <is>
          <t>Vape Shop</t>
        </is>
      </c>
      <c r="G6" s="8">
        <f>COUNTIF('ALL PROSPECTS'!$G$2:$G$297,"Vape Shop")</f>
        <v/>
      </c>
      <c r="H6" s="9" t="n">
        <v>109</v>
      </c>
      <c r="J6" s="5" t="inlineStr">
        <is>
          <t>Barnsley</t>
        </is>
      </c>
      <c r="K6" s="8">
        <f>COUNTIF('ALL PROSPECTS'!$Q$2:$Q$297,"Barnsley")</f>
        <v/>
      </c>
      <c r="L6" s="9" t="n">
        <v>9</v>
      </c>
    </row>
    <row r="7">
      <c r="B7" s="10" t="inlineStr">
        <is>
          <t>PHONE AVAILABLE</t>
        </is>
      </c>
      <c r="C7" s="11">
        <f>COUNTIF('ALL PROSPECTS'!$V$2:$V$297,"?*")</f>
        <v/>
      </c>
      <c r="D7" s="12" t="n">
        <v>137</v>
      </c>
      <c r="F7" s="10" t="inlineStr">
        <is>
          <t>Convenience Store</t>
        </is>
      </c>
      <c r="G7" s="13">
        <f>COUNTIF('ALL PROSPECTS'!$G$2:$G$297,"Convenience Store")</f>
        <v/>
      </c>
      <c r="H7" s="14" t="n">
        <v>47</v>
      </c>
      <c r="J7" s="10" t="inlineStr">
        <is>
          <t>Batley</t>
        </is>
      </c>
      <c r="K7" s="13">
        <f>COUNTIF('ALL PROSPECTS'!$Q$2:$Q$297,"Batley")</f>
        <v/>
      </c>
      <c r="L7" s="14" t="n">
        <v>7</v>
      </c>
    </row>
    <row r="8">
      <c r="B8" s="5" t="inlineStr">
        <is>
          <t>EMAIL AVAILABLE</t>
        </is>
      </c>
      <c r="C8" s="6">
        <f>SUMPRODUCT(--(('ALL PROSPECTS'!$Y$2:$Y$297&lt;&gt;"")+('ALL PROSPECTS'!$Z$2:$Z$297&lt;&gt;"")+('ALL PROSPECTS'!$AA$2:$AA$297&lt;&gt;"")&gt;0))</f>
        <v/>
      </c>
      <c r="D8" s="7" t="n">
        <v>39</v>
      </c>
      <c r="F8" s="5" t="inlineStr">
        <is>
          <t>Petrol Station / Forecourt</t>
        </is>
      </c>
      <c r="G8" s="8">
        <f>COUNTIF('ALL PROSPECTS'!$G$2:$G$297,"Petrol Station / Forecourt")</f>
        <v/>
      </c>
      <c r="H8" s="9" t="n">
        <v>17</v>
      </c>
      <c r="J8" s="5" t="inlineStr">
        <is>
          <t>Beverley</t>
        </is>
      </c>
      <c r="K8" s="8">
        <f>COUNTIF('ALL PROSPECTS'!$Q$2:$Q$297,"Beverley")</f>
        <v/>
      </c>
      <c r="L8" s="9" t="n">
        <v>2</v>
      </c>
    </row>
    <row r="9">
      <c r="B9" s="10" t="inlineStr">
        <is>
          <t>WEBSITE AVAILABLE</t>
        </is>
      </c>
      <c r="C9" s="11">
        <f>COUNTIF('ALL PROSPECTS'!$K$2:$K$297,"?*")</f>
        <v/>
      </c>
      <c r="D9" s="12" t="n">
        <v>118</v>
      </c>
      <c r="F9" s="10" t="inlineStr">
        <is>
          <t>Off-Licence</t>
        </is>
      </c>
      <c r="G9" s="13">
        <f>COUNTIF('ALL PROSPECTS'!$G$2:$G$297,"Off-Licence")</f>
        <v/>
      </c>
      <c r="H9" s="14" t="n">
        <v>31</v>
      </c>
      <c r="J9" s="10" t="inlineStr">
        <is>
          <t>Bingley</t>
        </is>
      </c>
      <c r="K9" s="13">
        <f>COUNTIF('ALL PROSPECTS'!$Q$2:$Q$297,"Bingley")</f>
        <v/>
      </c>
      <c r="L9" s="14" t="n">
        <v>4</v>
      </c>
    </row>
    <row r="10">
      <c r="B10" s="5" t="inlineStr">
        <is>
          <t>PHONE VERIFIED (OFFICIAL SITE)</t>
        </is>
      </c>
      <c r="C10" s="6">
        <f>COUNTIF('ALL PROSPECTS'!$AY$2:$AY$297,"Verified on official website")</f>
        <v/>
      </c>
      <c r="D10" s="7" t="n">
        <v>13</v>
      </c>
      <c r="F10" s="5" t="inlineStr">
        <is>
          <t>Tobacco Specialist</t>
        </is>
      </c>
      <c r="G10" s="8">
        <f>COUNTIF('ALL PROSPECTS'!$G$2:$G$297,"Tobacco Specialist")</f>
        <v/>
      </c>
      <c r="H10" s="9" t="n">
        <v>8</v>
      </c>
      <c r="J10" s="5" t="inlineStr">
        <is>
          <t>Boroughbridge</t>
        </is>
      </c>
      <c r="K10" s="8">
        <f>COUNTIF('ALL PROSPECTS'!$Q$2:$Q$297,"Boroughbridge")</f>
        <v/>
      </c>
      <c r="L10" s="9" t="n">
        <v>1</v>
      </c>
    </row>
    <row r="11">
      <c r="B11" s="10" t="inlineStr">
        <is>
          <t>EMAIL PUBLICLY LISTED</t>
        </is>
      </c>
      <c r="C11" s="11">
        <f>COUNTIF('ALL PROSPECTS'!$AZ$2:$AZ$297,"Publicly Listed")+COUNTIF('ALL PROSPECTS'!$AZ$2:$AZ$297,"Verified")</f>
        <v/>
      </c>
      <c r="D11" s="12" t="n">
        <v>16</v>
      </c>
      <c r="F11" s="10" t="inlineStr">
        <is>
          <t>Newsagent</t>
        </is>
      </c>
      <c r="G11" s="13">
        <f>COUNTIF('ALL PROSPECTS'!$G$2:$G$297,"Newsagent")</f>
        <v/>
      </c>
      <c r="H11" s="14" t="n">
        <v>18</v>
      </c>
      <c r="J11" s="10" t="inlineStr">
        <is>
          <t>Bradford</t>
        </is>
      </c>
      <c r="K11" s="13">
        <f>COUNTIF('ALL PROSPECTS'!$Q$2:$Q$297,"Bradford")</f>
        <v/>
      </c>
      <c r="L11" s="14" t="n">
        <v>22</v>
      </c>
    </row>
    <row r="12">
      <c r="B12" s="5" t="inlineStr">
        <is>
          <t>COMPANIES HOUSE VERIFIED</t>
        </is>
      </c>
      <c r="C12" s="6">
        <f>COUNTIF('ALL PROSPECTS'!$AX$2:$AX$297,"Yes")</f>
        <v/>
      </c>
      <c r="D12" s="7" t="n">
        <v>33</v>
      </c>
      <c r="F12" s="5" t="inlineStr">
        <is>
          <t>Independent Supermarket</t>
        </is>
      </c>
      <c r="G12" s="8">
        <f>COUNTIF('ALL PROSPECTS'!$G$2:$G$297,"Independent Supermarket")</f>
        <v/>
      </c>
      <c r="H12" s="9" t="n">
        <v>37</v>
      </c>
      <c r="J12" s="5" t="inlineStr">
        <is>
          <t>Bridlington</t>
        </is>
      </c>
      <c r="K12" s="8">
        <f>COUNTIF('ALL PROSPECTS'!$Q$2:$Q$297,"Bridlington")</f>
        <v/>
      </c>
      <c r="L12" s="9" t="n">
        <v>2</v>
      </c>
    </row>
    <row r="13">
      <c r="B13" s="10" t="inlineStr">
        <is>
          <t>REQUIRES VERIFICATION</t>
        </is>
      </c>
      <c r="C13" s="11">
        <f>COUNTIF('ALL PROSPECTS'!$BB$2:$BB$297,"Requires Verification")</f>
        <v/>
      </c>
      <c r="D13" s="12" t="n">
        <v>240</v>
      </c>
      <c r="F13" s="10" t="inlineStr">
        <is>
          <t>Smoke / Shisha Shop</t>
        </is>
      </c>
      <c r="G13" s="13">
        <f>COUNTIF('ALL PROSPECTS'!$G$2:$G$297,"Smoke / Shisha Shop")</f>
        <v/>
      </c>
      <c r="H13" s="14" t="n">
        <v>10</v>
      </c>
      <c r="J13" s="10" t="inlineStr">
        <is>
          <t>Brighouse</t>
        </is>
      </c>
      <c r="K13" s="13">
        <f>COUNTIF('ALL PROSPECTS'!$Q$2:$Q$297,"Brighouse")</f>
        <v/>
      </c>
      <c r="L13" s="14" t="n">
        <v>5</v>
      </c>
    </row>
    <row r="14">
      <c r="B14" s="5" t="inlineStr">
        <is>
          <t>DUPLICATE REVIEW REQUIRED</t>
        </is>
      </c>
      <c r="C14" s="6">
        <f>COUNTIF('ALL PROSPECTS'!$BD$2:$BD$297,"?*")</f>
        <v/>
      </c>
      <c r="D14" s="7" t="n">
        <v>3</v>
      </c>
      <c r="F14" s="5" t="inlineStr">
        <is>
          <t>Cash &amp; Carry</t>
        </is>
      </c>
      <c r="G14" s="8">
        <f>COUNTIF('ALL PROSPECTS'!$G$2:$G$297,"Cash &amp; Carry")</f>
        <v/>
      </c>
      <c r="H14" s="9" t="n">
        <v>18</v>
      </c>
      <c r="J14" s="5" t="inlineStr">
        <is>
          <t>Castleford</t>
        </is>
      </c>
      <c r="K14" s="8">
        <f>COUNTIF('ALL PROSPECTS'!$Q$2:$Q$297,"Castleford")</f>
        <v/>
      </c>
      <c r="L14" s="9" t="n">
        <v>5</v>
      </c>
    </row>
    <row r="15">
      <c r="B15" s="10" t="inlineStr">
        <is>
          <t>MULTI-SITE LOCATIONS</t>
        </is>
      </c>
      <c r="C15" s="11">
        <f>COUNTIF('ALL PROSPECTS'!$C$2:$C$297,"?*")</f>
        <v/>
      </c>
      <c r="D15" s="12" t="n">
        <v>83</v>
      </c>
      <c r="F15" s="10" t="inlineStr">
        <is>
          <t>Other Relevant Retail</t>
        </is>
      </c>
      <c r="G15" s="13">
        <f>COUNTIF('ALL PROSPECTS'!$G$2:$G$297,"Other Relevant Retail")</f>
        <v/>
      </c>
      <c r="H15" s="14" t="n">
        <v>1</v>
      </c>
      <c r="J15" s="10" t="inlineStr">
        <is>
          <t>Cleckheaton</t>
        </is>
      </c>
      <c r="K15" s="13">
        <f>COUNTIF('ALL PROSPECTS'!$Q$2:$Q$297,"Cleckheaton")</f>
        <v/>
      </c>
      <c r="L15" s="14" t="n">
        <v>1</v>
      </c>
    </row>
    <row r="16">
      <c r="B16" s="5" t="inlineStr">
        <is>
          <t>HIGH PRIORITY LEADS</t>
        </is>
      </c>
      <c r="C16" s="6">
        <f>COUNTIF('ALL PROSPECTS'!$AP$2:$AP$297,"High")</f>
        <v/>
      </c>
      <c r="D16" s="7" t="n">
        <v>62</v>
      </c>
      <c r="J16" s="5" t="inlineStr">
        <is>
          <t>Cleethorpes</t>
        </is>
      </c>
      <c r="K16" s="8">
        <f>COUNTIF('ALL PROSPECTS'!$Q$2:$Q$297,"Cleethorpes")</f>
        <v/>
      </c>
      <c r="L16" s="9" t="n">
        <v>7</v>
      </c>
    </row>
    <row r="17">
      <c r="B17" s="10" t="inlineStr">
        <is>
          <t>MEDIUM PRIORITY LEADS</t>
        </is>
      </c>
      <c r="C17" s="11">
        <f>COUNTIF('ALL PROSPECTS'!$AP$2:$AP$297,"Medium")</f>
        <v/>
      </c>
      <c r="D17" s="12" t="n">
        <v>156</v>
      </c>
      <c r="J17" s="10" t="inlineStr">
        <is>
          <t>Dewsbury</t>
        </is>
      </c>
      <c r="K17" s="13">
        <f>COUNTIF('ALL PROSPECTS'!$Q$2:$Q$297,"Dewsbury")</f>
        <v/>
      </c>
      <c r="L17" s="14" t="n">
        <v>12</v>
      </c>
    </row>
    <row r="18">
      <c r="J18" s="5" t="inlineStr">
        <is>
          <t>Doncaster</t>
        </is>
      </c>
      <c r="K18" s="8">
        <f>COUNTIF('ALL PROSPECTS'!$Q$2:$Q$297,"Doncaster")</f>
        <v/>
      </c>
      <c r="L18" s="9" t="n">
        <v>7</v>
      </c>
    </row>
    <row r="19">
      <c r="B19" s="15" t="inlineStr">
        <is>
          <t>LIVE column recalculates from ALL PROSPECTS when opened in Excel/Sheets; SNAPSHOT is the static count at generation time. If they differ, the data was edited.</t>
        </is>
      </c>
      <c r="J19" s="10" t="inlineStr">
        <is>
          <t>Elland</t>
        </is>
      </c>
      <c r="K19" s="13">
        <f>COUNTIF('ALL PROSPECTS'!$Q$2:$Q$297,"Elland")</f>
        <v/>
      </c>
      <c r="L19" s="14" t="n">
        <v>3</v>
      </c>
    </row>
    <row r="20">
      <c r="J20" s="5" t="inlineStr">
        <is>
          <t>Featherstone</t>
        </is>
      </c>
      <c r="K20" s="8">
        <f>COUNTIF('ALL PROSPECTS'!$Q$2:$Q$297,"Featherstone")</f>
        <v/>
      </c>
      <c r="L20" s="9" t="n">
        <v>3</v>
      </c>
    </row>
    <row r="21">
      <c r="J21" s="10" t="inlineStr">
        <is>
          <t>Goole</t>
        </is>
      </c>
      <c r="K21" s="13">
        <f>COUNTIF('ALL PROSPECTS'!$Q$2:$Q$297,"Goole")</f>
        <v/>
      </c>
      <c r="L21" s="14" t="n">
        <v>1</v>
      </c>
    </row>
    <row r="22">
      <c r="J22" s="5" t="inlineStr">
        <is>
          <t>Grimsby</t>
        </is>
      </c>
      <c r="K22" s="8">
        <f>COUNTIF('ALL PROSPECTS'!$Q$2:$Q$297,"Grimsby")</f>
        <v/>
      </c>
      <c r="L22" s="9" t="n">
        <v>3</v>
      </c>
    </row>
    <row r="23">
      <c r="J23" s="10" t="inlineStr">
        <is>
          <t>Halifax</t>
        </is>
      </c>
      <c r="K23" s="13">
        <f>COUNTIF('ALL PROSPECTS'!$Q$2:$Q$297,"Halifax")</f>
        <v/>
      </c>
      <c r="L23" s="14" t="n">
        <v>18</v>
      </c>
    </row>
    <row r="24">
      <c r="J24" s="5" t="inlineStr">
        <is>
          <t>Harrogate</t>
        </is>
      </c>
      <c r="K24" s="8">
        <f>COUNTIF('ALL PROSPECTS'!$Q$2:$Q$297,"Harrogate")</f>
        <v/>
      </c>
      <c r="L24" s="9" t="n">
        <v>4</v>
      </c>
    </row>
    <row r="25">
      <c r="J25" s="10" t="inlineStr">
        <is>
          <t>Hebden Bridge</t>
        </is>
      </c>
      <c r="K25" s="13">
        <f>COUNTIF('ALL PROSPECTS'!$Q$2:$Q$297,"Hebden Bridge")</f>
        <v/>
      </c>
      <c r="L25" s="14" t="n">
        <v>1</v>
      </c>
    </row>
    <row r="26">
      <c r="J26" s="5" t="inlineStr">
        <is>
          <t>Heckmondwike</t>
        </is>
      </c>
      <c r="K26" s="8">
        <f>COUNTIF('ALL PROSPECTS'!$Q$2:$Q$297,"Heckmondwike")</f>
        <v/>
      </c>
      <c r="L26" s="9" t="n">
        <v>4</v>
      </c>
    </row>
    <row r="27">
      <c r="J27" s="10" t="inlineStr">
        <is>
          <t>Hemsworth</t>
        </is>
      </c>
      <c r="K27" s="13">
        <f>COUNTIF('ALL PROSPECTS'!$Q$2:$Q$297,"Hemsworth")</f>
        <v/>
      </c>
      <c r="L27" s="14" t="n">
        <v>2</v>
      </c>
    </row>
    <row r="28">
      <c r="J28" s="5" t="inlineStr">
        <is>
          <t>Holmfirth</t>
        </is>
      </c>
      <c r="K28" s="8">
        <f>COUNTIF('ALL PROSPECTS'!$Q$2:$Q$297,"Holmfirth")</f>
        <v/>
      </c>
      <c r="L28" s="9" t="n">
        <v>1</v>
      </c>
    </row>
    <row r="29">
      <c r="J29" s="10" t="inlineStr">
        <is>
          <t>Horbury</t>
        </is>
      </c>
      <c r="K29" s="13">
        <f>COUNTIF('ALL PROSPECTS'!$Q$2:$Q$297,"Horbury")</f>
        <v/>
      </c>
      <c r="L29" s="14" t="n">
        <v>1</v>
      </c>
    </row>
    <row r="30">
      <c r="J30" s="5" t="inlineStr">
        <is>
          <t>Huddersfield</t>
        </is>
      </c>
      <c r="K30" s="8">
        <f>COUNTIF('ALL PROSPECTS'!$Q$2:$Q$297,"Huddersfield")</f>
        <v/>
      </c>
      <c r="L30" s="9" t="n">
        <v>14</v>
      </c>
    </row>
    <row r="31">
      <c r="J31" s="10" t="inlineStr">
        <is>
          <t>Ilkley</t>
        </is>
      </c>
      <c r="K31" s="13">
        <f>COUNTIF('ALL PROSPECTS'!$Q$2:$Q$297,"Ilkley")</f>
        <v/>
      </c>
      <c r="L31" s="14" t="n">
        <v>2</v>
      </c>
    </row>
    <row r="32">
      <c r="J32" s="5" t="inlineStr">
        <is>
          <t>Immingham</t>
        </is>
      </c>
      <c r="K32" s="8">
        <f>COUNTIF('ALL PROSPECTS'!$Q$2:$Q$297,"Immingham")</f>
        <v/>
      </c>
      <c r="L32" s="9" t="n">
        <v>1</v>
      </c>
    </row>
    <row r="33">
      <c r="J33" s="10" t="inlineStr">
        <is>
          <t>Keighley</t>
        </is>
      </c>
      <c r="K33" s="13">
        <f>COUNTIF('ALL PROSPECTS'!$Q$2:$Q$297,"Keighley")</f>
        <v/>
      </c>
      <c r="L33" s="14" t="n">
        <v>6</v>
      </c>
    </row>
    <row r="34">
      <c r="J34" s="5" t="inlineStr">
        <is>
          <t>Kingston upon Hull</t>
        </is>
      </c>
      <c r="K34" s="8">
        <f>COUNTIF('ALL PROSPECTS'!$Q$2:$Q$297,"Kingston upon Hull")</f>
        <v/>
      </c>
      <c r="L34" s="9" t="n">
        <v>19</v>
      </c>
    </row>
    <row r="35">
      <c r="J35" s="10" t="inlineStr">
        <is>
          <t>Knaresborough</t>
        </is>
      </c>
      <c r="K35" s="13">
        <f>COUNTIF('ALL PROSPECTS'!$Q$2:$Q$297,"Knaresborough")</f>
        <v/>
      </c>
      <c r="L35" s="14" t="n">
        <v>1</v>
      </c>
    </row>
    <row r="36">
      <c r="J36" s="5" t="inlineStr">
        <is>
          <t>Knottingley</t>
        </is>
      </c>
      <c r="K36" s="8">
        <f>COUNTIF('ALL PROSPECTS'!$Q$2:$Q$297,"Knottingley")</f>
        <v/>
      </c>
      <c r="L36" s="9" t="n">
        <v>1</v>
      </c>
    </row>
    <row r="37">
      <c r="J37" s="10" t="inlineStr">
        <is>
          <t>Leeds</t>
        </is>
      </c>
      <c r="K37" s="13">
        <f>COUNTIF('ALL PROSPECTS'!$Q$2:$Q$297,"Leeds")</f>
        <v/>
      </c>
      <c r="L37" s="14" t="n">
        <v>34</v>
      </c>
    </row>
    <row r="38">
      <c r="J38" s="5" t="inlineStr">
        <is>
          <t>Malton</t>
        </is>
      </c>
      <c r="K38" s="8">
        <f>COUNTIF('ALL PROSPECTS'!$Q$2:$Q$297,"Malton")</f>
        <v/>
      </c>
      <c r="L38" s="9" t="n">
        <v>1</v>
      </c>
    </row>
    <row r="39">
      <c r="J39" s="10" t="inlineStr">
        <is>
          <t>Meltham</t>
        </is>
      </c>
      <c r="K39" s="13">
        <f>COUNTIF('ALL PROSPECTS'!$Q$2:$Q$297,"Meltham")</f>
        <v/>
      </c>
      <c r="L39" s="14"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29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45" customWidth="1" min="16" max="16"/>
    <col width="20"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41" customWidth="1" min="25" max="25"/>
    <col width="30" customWidth="1" min="26" max="26"/>
    <col width="18" customWidth="1" min="27" max="27"/>
    <col width="24" customWidth="1" min="28" max="28"/>
    <col width="18" customWidth="1" min="29" max="29"/>
    <col width="45" customWidth="1" min="30" max="30"/>
    <col width="24" customWidth="1" min="31" max="31"/>
    <col width="40" customWidth="1" min="32" max="32"/>
    <col width="40" customWidth="1" min="33" max="33"/>
    <col width="45" customWidth="1" min="34" max="34"/>
    <col width="20" customWidth="1" min="35" max="35"/>
    <col width="36"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2026-09-16</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2026-09-16</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2026-09-16</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2026-09-16</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2026-09-16</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2026-09-16</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2026-09-16</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2026-09-16</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2026-09-16</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2026-09-16</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2026-09-16</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2026-09-16</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2026-09-16</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2026-09-16</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2026-09-16</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2026-09-16</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2026-09-16</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2026-09-16</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2026-09-16</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2026-09-16</t>
        </is>
      </c>
      <c r="BL11" s="10" t="inlineStr"/>
      <c r="BM11" s="10" t="inlineStr"/>
      <c r="BN11" s="10" t="inlineStr"/>
      <c r="BO11" s="10" t="inlineStr"/>
      <c r="BP11" s="10" t="inlineStr"/>
      <c r="BQ11" s="10" t="inlineStr"/>
    </row>
    <row r="12">
      <c r="A12" s="5" t="inlineStr">
        <is>
          <t>UK-000194</t>
        </is>
      </c>
      <c r="B12" s="5" t="inlineStr">
        <is>
          <t>CRAMVAPE-01</t>
        </is>
      </c>
      <c r="C12" s="5" t="inlineStr">
        <is>
          <t>CRAM Vape</t>
        </is>
      </c>
      <c r="D12" s="5" t="inlineStr">
        <is>
          <t>CRAM Vape</t>
        </is>
      </c>
      <c r="E12" s="5" t="inlineStr">
        <is>
          <t>CRAM Vape</t>
        </is>
      </c>
      <c r="F12" s="5" t="inlineStr">
        <is>
          <t>CRAM VAPE LTD</t>
        </is>
      </c>
      <c r="G12" s="5" t="inlineStr">
        <is>
          <t>Vape Shop</t>
        </is>
      </c>
      <c r="H12" s="5" t="inlineStr">
        <is>
          <t>Vape store</t>
        </is>
      </c>
      <c r="I12" s="5" t="inlineStr">
        <is>
          <t>Multi-Site Independent</t>
        </is>
      </c>
      <c r="J12" s="5" t="inlineStr">
        <is>
          <t>2</t>
        </is>
      </c>
      <c r="K12" s="5" t="inlineStr">
        <is>
          <t>https://www.cramvape.co.uk</t>
        </is>
      </c>
      <c r="L12" s="5" t="inlineStr"/>
      <c r="M12" s="5" t="inlineStr"/>
      <c r="N12" s="5" t="inlineStr"/>
      <c r="O12" s="5" t="inlineStr">
        <is>
          <t>190 Ashby Road</t>
        </is>
      </c>
      <c r="P12" s="5" t="inlineStr"/>
      <c r="Q12" s="5" t="inlineStr">
        <is>
          <t>Scunthorpe</t>
        </is>
      </c>
      <c r="R12" s="5" t="inlineStr">
        <is>
          <t>Lincolnshire</t>
        </is>
      </c>
      <c r="S12" s="5" t="inlineStr">
        <is>
          <t>DN16 2AR</t>
        </is>
      </c>
      <c r="T12" s="5" t="inlineStr">
        <is>
          <t>Yorkshire &amp; Humber</t>
        </is>
      </c>
      <c r="U12" s="5" t="inlineStr">
        <is>
          <t>England</t>
        </is>
      </c>
      <c r="V12" s="5" t="inlineStr">
        <is>
          <t>01724 277259</t>
        </is>
      </c>
      <c r="W12" s="5" t="inlineStr"/>
      <c r="X12" s="5" t="inlineStr"/>
      <c r="Y12" s="5" t="inlineStr"/>
      <c r="Z12" s="5" t="inlineStr"/>
      <c r="AA12" s="5" t="inlineStr"/>
      <c r="AB12" s="5" t="inlineStr"/>
      <c r="AC12" s="5" t="inlineStr"/>
      <c r="AD12" s="5" t="inlineStr"/>
      <c r="AE12" s="5" t="inlineStr">
        <is>
          <t>07343567</t>
        </is>
      </c>
      <c r="AF12" s="5" t="inlineStr"/>
      <c r="AG12" s="5" t="inlineStr">
        <is>
          <t>CRAM VAPE LTD</t>
        </is>
      </c>
      <c r="AH12" s="5" t="inlineStr"/>
      <c r="AI12" s="5" t="inlineStr"/>
      <c r="AJ12" s="5" t="inlineStr"/>
      <c r="AK12" s="5" t="inlineStr">
        <is>
          <t>vape hardware; e-liquids; disposables</t>
        </is>
      </c>
      <c r="AL12" s="5" t="inlineStr"/>
      <c r="AM12" s="5" t="inlineStr">
        <is>
          <t>Vape Shop</t>
        </is>
      </c>
      <c r="AN12" s="5" t="inlineStr"/>
      <c r="AO12" s="5" t="inlineStr">
        <is>
          <t>Multi-site independent with stores in Scunthorpe (190 Ashby Road, DN16 2AR) and Gainsborough. Companies House 07343567 (CRAM VAPE LTD); related entity Cram Vape Gainsborough Ltd 13177415. Website has contact-us page; no email published in search results.</t>
        </is>
      </c>
      <c r="AP12" s="5" t="inlineStr">
        <is>
          <t>High</t>
        </is>
      </c>
      <c r="AQ12" s="5" t="inlineStr">
        <is>
          <t>Multi-site retailer; Independent retailer; Core relevant category; Active website</t>
        </is>
      </c>
      <c r="AR12" s="5" t="inlineStr">
        <is>
          <t>https://www.cramvape.co.uk/pages/contact-us</t>
        </is>
      </c>
      <c r="AS12" s="5" t="inlineStr">
        <is>
          <t>https://find-and-update.company-information.service.gov.uk/company/07343567</t>
        </is>
      </c>
      <c r="AT12" s="5" t="inlineStr">
        <is>
          <t>3</t>
        </is>
      </c>
      <c r="AU12" s="5" t="inlineStr">
        <is>
          <t>Yes</t>
        </is>
      </c>
      <c r="AV12" s="5" t="inlineStr">
        <is>
          <t>No</t>
        </is>
      </c>
      <c r="AW12" s="5" t="inlineStr">
        <is>
          <t>No</t>
        </is>
      </c>
      <c r="AX12" s="5" t="inlineStr">
        <is>
          <t>Yes</t>
        </is>
      </c>
      <c r="AY12" s="5" t="inlineStr">
        <is>
          <t>Verified directory</t>
        </is>
      </c>
      <c r="AZ12" s="5" t="inlineStr">
        <is>
          <t>Not Found</t>
        </is>
      </c>
      <c r="BA12" s="5" t="inlineStr">
        <is>
          <t>2026-09-16</t>
        </is>
      </c>
      <c r="BB12" s="5" t="inlineStr">
        <is>
          <t>Verified (website + Companies House)</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2026-09-16</t>
        </is>
      </c>
      <c r="BJ12" s="5" t="inlineStr">
        <is>
          <t>New</t>
        </is>
      </c>
      <c r="BK12" s="5" t="inlineStr">
        <is>
          <t>2026-09-16</t>
        </is>
      </c>
      <c r="BL12" s="5" t="inlineStr"/>
      <c r="BM12" s="5" t="inlineStr"/>
      <c r="BN12" s="5" t="inlineStr"/>
      <c r="BO12" s="5" t="inlineStr"/>
      <c r="BP12" s="5" t="inlineStr"/>
      <c r="BQ12" s="5" t="inlineStr"/>
    </row>
    <row r="13">
      <c r="A13" s="10" t="inlineStr">
        <is>
          <t>WY-0011</t>
        </is>
      </c>
      <c r="B13" s="10" t="inlineStr">
        <is>
          <t>CHEAPASMOK-01</t>
        </is>
      </c>
      <c r="C13" s="10" t="inlineStr">
        <is>
          <t>Cheapasmokes</t>
        </is>
      </c>
      <c r="D13" s="10" t="inlineStr">
        <is>
          <t>Cheapasmokes</t>
        </is>
      </c>
      <c r="E13" s="10" t="inlineStr">
        <is>
          <t>Cheapasmokes Halifax</t>
        </is>
      </c>
      <c r="F13" s="10" t="inlineStr"/>
      <c r="G13" s="10" t="inlineStr">
        <is>
          <t>Tobacco Specialist</t>
        </is>
      </c>
      <c r="H13" s="10" t="inlineStr">
        <is>
          <t>Cut-price cigarette, tobacco and cigar specialist</t>
        </is>
      </c>
      <c r="I13" s="10" t="inlineStr">
        <is>
          <t>Regional Chain</t>
        </is>
      </c>
      <c r="J13" s="10" t="inlineStr"/>
      <c r="K13" s="10" t="inlineStr">
        <is>
          <t>https://www.cheapasmokes.com/pages/cheapasmokes-halifax</t>
        </is>
      </c>
      <c r="L13" s="10" t="inlineStr"/>
      <c r="M13" s="10" t="inlineStr"/>
      <c r="N13" s="10" t="inlineStr"/>
      <c r="O13" s="10" t="inlineStr">
        <is>
          <t>Unit 24, Borough Market</t>
        </is>
      </c>
      <c r="P13" s="10" t="inlineStr"/>
      <c r="Q13" s="10" t="inlineStr">
        <is>
          <t>Halifax</t>
        </is>
      </c>
      <c r="R13" s="10" t="inlineStr">
        <is>
          <t>West Yorkshire</t>
        </is>
      </c>
      <c r="S13" s="10" t="inlineStr">
        <is>
          <t>HX1 1DZ</t>
        </is>
      </c>
      <c r="T13" s="10" t="inlineStr">
        <is>
          <t>Yorkshire &amp; Humber</t>
        </is>
      </c>
      <c r="U13" s="10" t="inlineStr">
        <is>
          <t>England</t>
        </is>
      </c>
      <c r="V13" s="10" t="inlineStr">
        <is>
          <t>01422 355554</t>
        </is>
      </c>
      <c r="W13" s="10" t="inlineStr"/>
      <c r="X13" s="10" t="inlineStr"/>
      <c r="Y13" s="10" t="inlineStr"/>
      <c r="Z13" s="10" t="inlineStr">
        <is>
          <t>sales@cheapasmokes.com</t>
        </is>
      </c>
      <c r="AA13" s="10" t="inlineStr"/>
      <c r="AB13" s="10" t="inlineStr"/>
      <c r="AC13" s="10" t="inlineStr"/>
      <c r="AD13" s="10" t="inlineStr"/>
      <c r="AE13" s="10" t="inlineStr"/>
      <c r="AF13" s="10" t="inlineStr"/>
      <c r="AG13" s="10" t="inlineStr"/>
      <c r="AH13" s="10" t="inlineStr"/>
      <c r="AI13" s="10" t="inlineStr"/>
      <c r="AJ13" s="10" t="inlineStr"/>
      <c r="AK13" s="10" t="inlineStr">
        <is>
          <t>cigarettes; tobacco; cigars; vapes</t>
        </is>
      </c>
      <c r="AL13" s="10" t="inlineStr"/>
      <c r="AM13" s="10" t="inlineStr">
        <is>
          <t>Tobacco Specialist</t>
        </is>
      </c>
      <c r="AN13" s="10" t="inlineStr">
        <is>
          <t>Hunters &amp; Frankau stockist (cigars.co.uk location listing)</t>
        </is>
      </c>
      <c r="AO13" s="10" t="inlineStr">
        <is>
          <t>Physical shop inside Halifax Borough Market; part of the Cheapasmokes group which runs several shops plus a national online tobacconist (cheapasmokes.com).</t>
        </is>
      </c>
      <c r="AP13" s="10" t="inlineStr">
        <is>
          <t>High</t>
        </is>
      </c>
      <c r="AQ13" s="10" t="inlineStr">
        <is>
          <t>Multi-site retailer; Core relevant category; Public trade/sales contact; Active website</t>
        </is>
      </c>
      <c r="AR13" s="10" t="inlineStr">
        <is>
          <t>https://www.cheapasmokes.com/pages/cheapasmokes-halifax</t>
        </is>
      </c>
      <c r="AS13" s="10" t="inlineStr">
        <is>
          <t>https://www.cheapasmokes.com/pages/contact-us</t>
        </is>
      </c>
      <c r="AT13" s="10" t="inlineStr">
        <is>
          <t>4</t>
        </is>
      </c>
      <c r="AU13" s="10" t="inlineStr">
        <is>
          <t>No</t>
        </is>
      </c>
      <c r="AV13" s="10" t="inlineStr">
        <is>
          <t>No</t>
        </is>
      </c>
      <c r="AW13" s="10" t="inlineStr">
        <is>
          <t>Yes</t>
        </is>
      </c>
      <c r="AX13" s="10" t="inlineStr">
        <is>
          <t>No</t>
        </is>
      </c>
      <c r="AY13" s="10" t="inlineStr">
        <is>
          <t>Verified directory</t>
        </is>
      </c>
      <c r="AZ13" s="10" t="inlineStr">
        <is>
          <t>Website Found</t>
        </is>
      </c>
      <c r="BA13" s="10" t="inlineStr">
        <is>
          <t>2026-09-16</t>
        </is>
      </c>
      <c r="BB13" s="10" t="inlineStr">
        <is>
          <t>Partially Verified</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2026-09-16</t>
        </is>
      </c>
      <c r="BJ13" s="10" t="inlineStr">
        <is>
          <t>New</t>
        </is>
      </c>
      <c r="BK13" s="10" t="inlineStr">
        <is>
          <t>2026-09-16</t>
        </is>
      </c>
      <c r="BL13" s="10" t="inlineStr"/>
      <c r="BM13" s="10" t="inlineStr"/>
      <c r="BN13" s="10" t="inlineStr"/>
      <c r="BO13" s="10" t="inlineStr"/>
      <c r="BP13" s="10" t="inlineStr"/>
      <c r="BQ13" s="10" t="inlineStr"/>
    </row>
    <row r="14">
      <c r="A14" s="5" t="inlineStr">
        <is>
          <t>UK-000195</t>
        </is>
      </c>
      <c r="B14" s="5" t="inlineStr">
        <is>
          <t>COSTCUTTER-01</t>
        </is>
      </c>
      <c r="C14" s="5" t="inlineStr">
        <is>
          <t>Costcutter</t>
        </is>
      </c>
      <c r="D14" s="5" t="inlineStr">
        <is>
          <t>Costcutter Tadcaster</t>
        </is>
      </c>
      <c r="E14" s="5" t="inlineStr">
        <is>
          <t>Costcutter</t>
        </is>
      </c>
      <c r="F14" s="5" t="inlineStr"/>
      <c r="G14" s="5" t="inlineStr">
        <is>
          <t>Convenience Store</t>
        </is>
      </c>
      <c r="H14" s="5" t="inlineStr">
        <is>
          <t>Symbol-group convenience store</t>
        </is>
      </c>
      <c r="I14" s="5" t="inlineStr">
        <is>
          <t>Franchise / Symbol Group</t>
        </is>
      </c>
      <c r="J14" s="5" t="inlineStr">
        <is>
          <t>1</t>
        </is>
      </c>
      <c r="K14" s="5" t="inlineStr"/>
      <c r="L14" s="5" t="inlineStr"/>
      <c r="M14" s="5" t="inlineStr"/>
      <c r="N14" s="5" t="inlineStr"/>
      <c r="O14" s="5" t="inlineStr"/>
      <c r="P14" s="5" t="inlineStr"/>
      <c r="Q14" s="5" t="inlineStr">
        <is>
          <t>Tadcaster</t>
        </is>
      </c>
      <c r="R14" s="5" t="inlineStr">
        <is>
          <t>North Yorkshire</t>
        </is>
      </c>
      <c r="S14" s="5" t="inlineStr"/>
      <c r="T14" s="5" t="inlineStr">
        <is>
          <t>Yorkshire &amp; Humber</t>
        </is>
      </c>
      <c r="U14" s="5" t="inlineStr">
        <is>
          <t>England</t>
        </is>
      </c>
      <c r="V14" s="5" t="inlineStr"/>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convenience groceries; off-licence; confectionery; soft drinks</t>
        </is>
      </c>
      <c r="AL14" s="5" t="inlineStr"/>
      <c r="AM14" s="5" t="inlineStr">
        <is>
          <t>Convenience Store</t>
        </is>
      </c>
      <c r="AN14" s="5" t="inlineStr">
        <is>
          <t>Costcutter symbol group</t>
        </is>
      </c>
      <c r="AO14" s="5" t="inlineStr">
        <is>
          <t>Independently-owned corner shop trading under the Costcutter symbol fascia in Tadcaster (LS24). Listed on Yorkshire.com corner-shops directory; exact street address, postcode and phone not surfaced in search snippets, so left blank pending verification.</t>
        </is>
      </c>
      <c r="AP14" s="5" t="inlineStr">
        <is>
          <t>Medium</t>
        </is>
      </c>
      <c r="AQ14" s="5" t="inlineStr">
        <is>
          <t>Multi-site retailer; Independent retailer; Relevant category</t>
        </is>
      </c>
      <c r="AR14" s="5" t="inlineStr">
        <is>
          <t>https://www.yorkshire.com/tadcaster/shopping/corner-shops/costcutter-16</t>
        </is>
      </c>
      <c r="AS14" s="5" t="inlineStr"/>
      <c r="AT14" s="5" t="inlineStr">
        <is>
          <t>1</t>
        </is>
      </c>
      <c r="AU14" s="5" t="inlineStr">
        <is>
          <t>No</t>
        </is>
      </c>
      <c r="AV14" s="5" t="inlineStr">
        <is>
          <t>No</t>
        </is>
      </c>
      <c r="AW14" s="5" t="inlineStr">
        <is>
          <t>No</t>
        </is>
      </c>
      <c r="AX14" s="5" t="inlineStr">
        <is>
          <t>No</t>
        </is>
      </c>
      <c r="AY14" s="5" t="inlineStr">
        <is>
          <t>Not Found</t>
        </is>
      </c>
      <c r="AZ14" s="5" t="inlineStr">
        <is>
          <t>Not Found</t>
        </is>
      </c>
      <c r="BA14" s="5" t="inlineStr">
        <is>
          <t>2026-09-16</t>
        </is>
      </c>
      <c r="BB14" s="5" t="inlineStr">
        <is>
          <t>Requires Verification</t>
        </is>
      </c>
      <c r="BC14" s="5" t="inlineStr">
        <is>
          <t>Low</t>
        </is>
      </c>
      <c r="BD14" s="5" t="inlineStr"/>
      <c r="BE14" s="5" t="inlineStr">
        <is>
          <t>Business (B2B)</t>
        </is>
      </c>
      <c r="BF14" s="5" t="inlineStr">
        <is>
          <t>Legitimate interest (B2B) - assess per campaign; PECR: corporate subscribers</t>
        </is>
      </c>
      <c r="BG14" s="5" t="inlineStr"/>
      <c r="BH14" s="5" t="inlineStr">
        <is>
          <t>No</t>
        </is>
      </c>
      <c r="BI14" s="5" t="inlineStr">
        <is>
          <t>2026-09-16</t>
        </is>
      </c>
      <c r="BJ14" s="5" t="inlineStr">
        <is>
          <t>New</t>
        </is>
      </c>
      <c r="BK14" s="5" t="inlineStr">
        <is>
          <t>2026-09-16</t>
        </is>
      </c>
      <c r="BL14" s="5" t="inlineStr"/>
      <c r="BM14" s="5" t="inlineStr"/>
      <c r="BN14" s="5" t="inlineStr"/>
      <c r="BO14" s="5" t="inlineStr"/>
      <c r="BP14" s="5" t="inlineStr"/>
      <c r="BQ14" s="5" t="inlineStr"/>
    </row>
    <row r="15">
      <c r="A15" s="10" t="inlineStr">
        <is>
          <t>WY-0012</t>
        </is>
      </c>
      <c r="B15" s="10" t="inlineStr">
        <is>
          <t>DOMINIQUEL-01</t>
        </is>
      </c>
      <c r="C15" s="10" t="inlineStr">
        <is>
          <t>Dominique London Group / C.Gars Ltd</t>
        </is>
      </c>
      <c r="D15" s="10" t="inlineStr">
        <is>
          <t>C.Gars Leeds (Dominique London)</t>
        </is>
      </c>
      <c r="E15" s="10" t="inlineStr">
        <is>
          <t>C.Gars Leeds</t>
        </is>
      </c>
      <c r="F15" s="10" t="inlineStr"/>
      <c r="G15" s="10" t="inlineStr">
        <is>
          <t>Tobacco Specialist</t>
        </is>
      </c>
      <c r="H15" s="10" t="inlineStr">
        <is>
          <t>Havana cigar specialist - cigars, whisky, accessories</t>
        </is>
      </c>
      <c r="I15" s="10" t="inlineStr">
        <is>
          <t>National Chain</t>
        </is>
      </c>
      <c r="J15" s="10" t="inlineStr"/>
      <c r="K15" s="10" t="inlineStr">
        <is>
          <t>https://www.cgarsltd.co.uk/</t>
        </is>
      </c>
      <c r="L15" s="10" t="inlineStr">
        <is>
          <t>https://www.facebook.com/DominiqueLDN/</t>
        </is>
      </c>
      <c r="M15" s="10" t="inlineStr"/>
      <c r="N15" s="10" t="inlineStr"/>
      <c r="O15" s="10" t="inlineStr">
        <is>
          <t>22 Thornton's Arcade</t>
        </is>
      </c>
      <c r="P15" s="10" t="inlineStr">
        <is>
          <t>City Centre</t>
        </is>
      </c>
      <c r="Q15" s="10" t="inlineStr">
        <is>
          <t>Leeds</t>
        </is>
      </c>
      <c r="R15" s="10" t="inlineStr">
        <is>
          <t>West Yorkshire</t>
        </is>
      </c>
      <c r="S15" s="10" t="inlineStr">
        <is>
          <t>LS1 6LQ</t>
        </is>
      </c>
      <c r="T15" s="10" t="inlineStr">
        <is>
          <t>Yorkshire &amp; Humber</t>
        </is>
      </c>
      <c r="U15" s="10" t="inlineStr">
        <is>
          <t>England</t>
        </is>
      </c>
      <c r="V15" s="10" t="inlineStr">
        <is>
          <t>0113 244 5556</t>
        </is>
      </c>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Cuban cigars; New World cigars; single malt whisky; humidors; accessories</t>
        </is>
      </c>
      <c r="AL15" s="10" t="inlineStr"/>
      <c r="AM15" s="10" t="inlineStr">
        <is>
          <t>Tobacco Specialist</t>
        </is>
      </c>
      <c r="AN15" s="10" t="inlineStr">
        <is>
          <t>Hunters &amp; Frankau (Havana cigar UK distributor) announced the opening</t>
        </is>
      </c>
      <c r="AO15" s="10" t="inlineStr">
        <is>
          <t>Havana Cigar Specialist boutique in Thornton's Arcade with sampling lounge and client lockers; part of the Dominique London / C.Gars group of cigar boutiques (UK-wide chain, so head office is not local).</t>
        </is>
      </c>
      <c r="AP15" s="10" t="inlineStr">
        <is>
          <t>High</t>
        </is>
      </c>
      <c r="AQ15" s="10" t="inlineStr">
        <is>
          <t>Multi-site retailer; Core relevant category; Active website; Social presence</t>
        </is>
      </c>
      <c r="AR15" s="10" t="inlineStr">
        <is>
          <t>https://www.cgarsltd.co.uk/new-cgars-ltd-store-leeds-a-521.html</t>
        </is>
      </c>
      <c r="AS15" s="10" t="inlineStr">
        <is>
          <t>https://www.cgarsltd.co.uk/cigar-shops/CGars_Leeds_1.html</t>
        </is>
      </c>
      <c r="AT15" s="10" t="inlineStr">
        <is>
          <t>3</t>
        </is>
      </c>
      <c r="AU15" s="10" t="inlineStr">
        <is>
          <t>No</t>
        </is>
      </c>
      <c r="AV15" s="10" t="inlineStr">
        <is>
          <t>No</t>
        </is>
      </c>
      <c r="AW15" s="10" t="inlineStr">
        <is>
          <t>No</t>
        </is>
      </c>
      <c r="AX15" s="10" t="inlineStr">
        <is>
          <t>No</t>
        </is>
      </c>
      <c r="AY15" s="10" t="inlineStr">
        <is>
          <t>Verified directory</t>
        </is>
      </c>
      <c r="AZ15" s="10" t="inlineStr">
        <is>
          <t>Website Found</t>
        </is>
      </c>
      <c r="BA15" s="10" t="inlineStr">
        <is>
          <t>2026-09-16</t>
        </is>
      </c>
      <c r="BB15" s="10" t="inlineStr">
        <is>
          <t>Requires Verification</t>
        </is>
      </c>
      <c r="BC15" s="10" t="inlineStr">
        <is>
          <t>Medium</t>
        </is>
      </c>
      <c r="BD15" s="10" t="inlineStr"/>
      <c r="BE15" s="10" t="inlineStr">
        <is>
          <t>Business (B2B)</t>
        </is>
      </c>
      <c r="BF15" s="10" t="inlineStr">
        <is>
          <t>Legitimate interest (B2B) - assess per campaign; PECR: corporate subscribers</t>
        </is>
      </c>
      <c r="BG15" s="10" t="inlineStr"/>
      <c r="BH15" s="10" t="inlineStr">
        <is>
          <t>No</t>
        </is>
      </c>
      <c r="BI15" s="10" t="inlineStr">
        <is>
          <t>2026-09-16</t>
        </is>
      </c>
      <c r="BJ15" s="10" t="inlineStr">
        <is>
          <t>New</t>
        </is>
      </c>
      <c r="BK15" s="10" t="inlineStr">
        <is>
          <t>2026-09-16</t>
        </is>
      </c>
      <c r="BL15" s="10" t="inlineStr"/>
      <c r="BM15" s="10" t="inlineStr"/>
      <c r="BN15" s="10" t="inlineStr"/>
      <c r="BO15" s="10" t="inlineStr"/>
      <c r="BP15" s="10" t="inlineStr"/>
      <c r="BQ15" s="10" t="inlineStr"/>
    </row>
    <row r="16">
      <c r="A16" s="5" t="inlineStr">
        <is>
          <t>WY-0013</t>
        </is>
      </c>
      <c r="B16" s="5" t="inlineStr">
        <is>
          <t>ECIGNVAPE-01</t>
        </is>
      </c>
      <c r="C16" s="5" t="inlineStr">
        <is>
          <t>Ecig N Vape</t>
        </is>
      </c>
      <c r="D16" s="5" t="inlineStr">
        <is>
          <t>Ecig N Vape South Elmsall</t>
        </is>
      </c>
      <c r="E16" s="5" t="inlineStr">
        <is>
          <t>Ecig N Vape</t>
        </is>
      </c>
      <c r="F16" s="5" t="inlineStr">
        <is>
          <t>Ecig N Vape South Elmsall Ltd</t>
        </is>
      </c>
      <c r="G16" s="5" t="inlineStr">
        <is>
          <t>Vape Shop</t>
        </is>
      </c>
      <c r="H16" s="5" t="inlineStr">
        <is>
          <t>Vape retailer</t>
        </is>
      </c>
      <c r="I16" s="5" t="inlineStr">
        <is>
          <t>Multi-Site Independent</t>
        </is>
      </c>
      <c r="J16" s="5" t="inlineStr">
        <is>
          <t>2</t>
        </is>
      </c>
      <c r="K16" s="5" t="inlineStr"/>
      <c r="L16" s="5" t="inlineStr">
        <is>
          <t>https://www.facebook.com/Ecignvapesouthelmsall/</t>
        </is>
      </c>
      <c r="M16" s="5" t="inlineStr"/>
      <c r="N16" s="5" t="inlineStr"/>
      <c r="O16" s="5" t="inlineStr">
        <is>
          <t>13 Barnsley Road</t>
        </is>
      </c>
      <c r="P16" s="5" t="inlineStr"/>
      <c r="Q16" s="5" t="inlineStr">
        <is>
          <t>South Elmsall</t>
        </is>
      </c>
      <c r="R16" s="5" t="inlineStr">
        <is>
          <t>West Yorkshire</t>
        </is>
      </c>
      <c r="S16" s="5" t="inlineStr">
        <is>
          <t>WF9 2RJ</t>
        </is>
      </c>
      <c r="T16" s="5" t="inlineStr">
        <is>
          <t>Yorkshire &amp; Humber</t>
        </is>
      </c>
      <c r="U16" s="5" t="inlineStr">
        <is>
          <t>England</t>
        </is>
      </c>
      <c r="V16" s="5" t="inlineStr">
        <is>
          <t>01977 647267</t>
        </is>
      </c>
      <c r="W16" s="5" t="inlineStr"/>
      <c r="X16" s="5" t="inlineStr"/>
      <c r="Y16" s="5" t="inlineStr"/>
      <c r="Z16" s="5" t="inlineStr"/>
      <c r="AA16" s="5" t="inlineStr"/>
      <c r="AB16" s="5" t="inlineStr"/>
      <c r="AC16" s="5" t="inlineStr"/>
      <c r="AD16" s="5" t="inlineStr"/>
      <c r="AE16" s="5" t="inlineStr">
        <is>
          <t>12772350</t>
        </is>
      </c>
      <c r="AF16" s="5" t="inlineStr"/>
      <c r="AG16" s="5" t="inlineStr">
        <is>
          <t>ECIG N VAPE SOUTH ELMSALL LTD</t>
        </is>
      </c>
      <c r="AH16" s="5" t="inlineStr"/>
      <c r="AI16" s="5" t="inlineStr"/>
      <c r="AJ16" s="5" t="inlineStr"/>
      <c r="AK16" s="5" t="inlineStr">
        <is>
          <t>vape hardware; e-liquids; disposables</t>
        </is>
      </c>
      <c r="AL16" s="5" t="inlineStr"/>
      <c r="AM16" s="5" t="inlineStr">
        <is>
          <t>Vape Shop</t>
        </is>
      </c>
      <c r="AN16" s="5" t="inlineStr"/>
      <c r="AO16" s="5" t="inlineStr">
        <is>
          <t>Facebook posts announce a second 'Woodlands' shop at 256 Great North Road (Woodlands is over the Doncaster border - outside this batch's district). Companies House number found via search; full CH record (status/incorporation) not yet retrieved.</t>
        </is>
      </c>
      <c r="AP16" s="5" t="inlineStr">
        <is>
          <t>High</t>
        </is>
      </c>
      <c r="AQ16" s="5" t="inlineStr">
        <is>
          <t>Multi-site retailer; Independent retailer; Core relevant category; Social presence</t>
        </is>
      </c>
      <c r="AR16" s="5" t="inlineStr">
        <is>
          <t>https://find-and-update.company-information.service.gov.uk/company/12772350</t>
        </is>
      </c>
      <c r="AS16" s="5" t="inlineStr">
        <is>
          <t>https://www.facebook.com/Ecignvapesouthelmsall/</t>
        </is>
      </c>
      <c r="AT16" s="5" t="inlineStr">
        <is>
          <t>3</t>
        </is>
      </c>
      <c r="AU16" s="5" t="inlineStr">
        <is>
          <t>No</t>
        </is>
      </c>
      <c r="AV16" s="5" t="inlineStr">
        <is>
          <t>No</t>
        </is>
      </c>
      <c r="AW16" s="5" t="inlineStr">
        <is>
          <t>No</t>
        </is>
      </c>
      <c r="AX16" s="5" t="inlineStr">
        <is>
          <t>No</t>
        </is>
      </c>
      <c r="AY16" s="5" t="inlineStr">
        <is>
          <t>Verified directory</t>
        </is>
      </c>
      <c r="AZ16" s="5" t="inlineStr">
        <is>
          <t>Not Found</t>
        </is>
      </c>
      <c r="BA16" s="5" t="inlineStr">
        <is>
          <t>2026-09-16</t>
        </is>
      </c>
      <c r="BB16" s="5" t="inlineStr">
        <is>
          <t>Requires Verification</t>
        </is>
      </c>
      <c r="BC16" s="5" t="inlineStr">
        <is>
          <t>Medium</t>
        </is>
      </c>
      <c r="BD16" s="5" t="inlineStr"/>
      <c r="BE16" s="5" t="inlineStr">
        <is>
          <t>Business (B2B)</t>
        </is>
      </c>
      <c r="BF16" s="5" t="inlineStr">
        <is>
          <t>Legitimate interest (B2B) - assess per campaign; PECR: corporate subscribers</t>
        </is>
      </c>
      <c r="BG16" s="5" t="inlineStr"/>
      <c r="BH16" s="5" t="inlineStr">
        <is>
          <t>No</t>
        </is>
      </c>
      <c r="BI16" s="5" t="inlineStr">
        <is>
          <t>2026-09-16</t>
        </is>
      </c>
      <c r="BJ16" s="5" t="inlineStr">
        <is>
          <t>New</t>
        </is>
      </c>
      <c r="BK16" s="5" t="inlineStr">
        <is>
          <t>2026-09-16</t>
        </is>
      </c>
      <c r="BL16" s="5" t="inlineStr"/>
      <c r="BM16" s="5" t="inlineStr"/>
      <c r="BN16" s="5" t="inlineStr"/>
      <c r="BO16" s="5" t="inlineStr"/>
      <c r="BP16" s="5" t="inlineStr"/>
      <c r="BQ16" s="5" t="inlineStr"/>
    </row>
    <row r="17">
      <c r="A17" s="10" t="inlineStr">
        <is>
          <t>UK-000196</t>
        </is>
      </c>
      <c r="B17" s="10" t="inlineStr">
        <is>
          <t>ELECTRICVA-01</t>
        </is>
      </c>
      <c r="C17" s="10" t="inlineStr">
        <is>
          <t>Electric Vape</t>
        </is>
      </c>
      <c r="D17" s="10" t="inlineStr">
        <is>
          <t>Electric Vape Rotherham</t>
        </is>
      </c>
      <c r="E17" s="10" t="inlineStr">
        <is>
          <t>Electric Vape</t>
        </is>
      </c>
      <c r="F17" s="10" t="inlineStr"/>
      <c r="G17" s="10" t="inlineStr">
        <is>
          <t>Vape Shop</t>
        </is>
      </c>
      <c r="H17" s="10" t="inlineStr">
        <is>
          <t>Market-stall vape shop</t>
        </is>
      </c>
      <c r="I17" s="10" t="inlineStr">
        <is>
          <t>Multi-Site Independent</t>
        </is>
      </c>
      <c r="J17" s="10" t="inlineStr">
        <is>
          <t>1</t>
        </is>
      </c>
      <c r="K17" s="10" t="inlineStr">
        <is>
          <t>https://www.electricvape.co.uk/rotherham-shop</t>
        </is>
      </c>
      <c r="L17" s="10" t="inlineStr"/>
      <c r="M17" s="10" t="inlineStr"/>
      <c r="N17" s="10" t="inlineStr"/>
      <c r="O17" s="10" t="inlineStr">
        <is>
          <t>Units 53 and 55, Rotherham Centenary Indoor Market (Ground Floor)</t>
        </is>
      </c>
      <c r="P17" s="10" t="inlineStr">
        <is>
          <t>Howard Street</t>
        </is>
      </c>
      <c r="Q17" s="10" t="inlineStr">
        <is>
          <t>Rotherham</t>
        </is>
      </c>
      <c r="R17" s="10" t="inlineStr">
        <is>
          <t>South Yorkshire</t>
        </is>
      </c>
      <c r="S17" s="10" t="inlineStr">
        <is>
          <t>S65 1EL</t>
        </is>
      </c>
      <c r="T17" s="10" t="inlineStr">
        <is>
          <t>Yorkshire &amp; Humber</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vape hardware; e-liquids; disposables</t>
        </is>
      </c>
      <c r="AL17" s="10" t="inlineStr"/>
      <c r="AM17" s="10" t="inlineStr">
        <is>
          <t>Vape Shop</t>
        </is>
      </c>
      <c r="AN17" s="10" t="inlineStr"/>
      <c r="AO17" s="10" t="inlineStr">
        <is>
          <t>Electric Vape Ltd stall in Rotherham Centenary Indoor Market; open Mon-Sat 08:30-15:30. Related 'Electric Vaper' branch appears in Barnsley (separate record).</t>
        </is>
      </c>
      <c r="AP17" s="10" t="inlineStr">
        <is>
          <t>High</t>
        </is>
      </c>
      <c r="AQ17" s="10" t="inlineStr">
        <is>
          <t>Multi-site retailer; Independent retailer; Core relevant category; Active website</t>
        </is>
      </c>
      <c r="AR17" s="10" t="inlineStr">
        <is>
          <t>https://www.electricvape.co.uk/rotherham-shop</t>
        </is>
      </c>
      <c r="AS17" s="10" t="inlineStr"/>
      <c r="AT17" s="10" t="inlineStr">
        <is>
          <t>1</t>
        </is>
      </c>
      <c r="AU17" s="10" t="inlineStr">
        <is>
          <t>No</t>
        </is>
      </c>
      <c r="AV17" s="10" t="inlineStr">
        <is>
          <t>No</t>
        </is>
      </c>
      <c r="AW17" s="10" t="inlineStr">
        <is>
          <t>No</t>
        </is>
      </c>
      <c r="AX17" s="10" t="inlineStr">
        <is>
          <t>No</t>
        </is>
      </c>
      <c r="AY17" s="10" t="inlineStr">
        <is>
          <t>Not Found</t>
        </is>
      </c>
      <c r="AZ17" s="10" t="inlineStr">
        <is>
          <t>Website Found</t>
        </is>
      </c>
      <c r="BA17" s="10" t="inlineStr">
        <is>
          <t>2026-09-16</t>
        </is>
      </c>
      <c r="BB17" s="10" t="inlineStr">
        <is>
          <t>Requires Verification</t>
        </is>
      </c>
      <c r="BC17" s="10" t="inlineStr">
        <is>
          <t>Medium</t>
        </is>
      </c>
      <c r="BD17" s="10" t="inlineStr"/>
      <c r="BE17" s="10" t="inlineStr">
        <is>
          <t>Business (B2B)</t>
        </is>
      </c>
      <c r="BF17" s="10" t="inlineStr">
        <is>
          <t>Legitimate interest (B2B) - assess per campaign; PECR: corporate subscribers</t>
        </is>
      </c>
      <c r="BG17" s="10" t="inlineStr"/>
      <c r="BH17" s="10" t="inlineStr">
        <is>
          <t>No</t>
        </is>
      </c>
      <c r="BI17" s="10" t="inlineStr">
        <is>
          <t>2026-09-16</t>
        </is>
      </c>
      <c r="BJ17" s="10" t="inlineStr">
        <is>
          <t>New</t>
        </is>
      </c>
      <c r="BK17" s="10" t="inlineStr">
        <is>
          <t>2026-09-16</t>
        </is>
      </c>
      <c r="BL17" s="10" t="inlineStr"/>
      <c r="BM17" s="10" t="inlineStr"/>
      <c r="BN17" s="10" t="inlineStr"/>
      <c r="BO17" s="10" t="inlineStr"/>
      <c r="BP17" s="10" t="inlineStr"/>
      <c r="BQ17" s="10" t="inlineStr"/>
    </row>
    <row r="18">
      <c r="A18" s="5" t="inlineStr">
        <is>
          <t>UK-000197</t>
        </is>
      </c>
      <c r="B18" s="5" t="inlineStr">
        <is>
          <t>ELECTRICVA-02</t>
        </is>
      </c>
      <c r="C18" s="5" t="inlineStr">
        <is>
          <t>Electric Vape</t>
        </is>
      </c>
      <c r="D18" s="5" t="inlineStr">
        <is>
          <t>Electric Vaper Barnsley</t>
        </is>
      </c>
      <c r="E18" s="5" t="inlineStr">
        <is>
          <t>Electric Vaper</t>
        </is>
      </c>
      <c r="F18" s="5" t="inlineStr"/>
      <c r="G18" s="5" t="inlineStr">
        <is>
          <t>Vape Shop</t>
        </is>
      </c>
      <c r="H18" s="5" t="inlineStr">
        <is>
          <t>Vape shop</t>
        </is>
      </c>
      <c r="I18" s="5" t="inlineStr">
        <is>
          <t>Multi-Site Independent</t>
        </is>
      </c>
      <c r="J18" s="5" t="inlineStr">
        <is>
          <t>1</t>
        </is>
      </c>
      <c r="K18" s="5" t="inlineStr"/>
      <c r="L18" s="5" t="inlineStr"/>
      <c r="M18" s="5" t="inlineStr"/>
      <c r="N18" s="5" t="inlineStr"/>
      <c r="O18" s="5" t="inlineStr">
        <is>
          <t>11 May Day Green Arcade</t>
        </is>
      </c>
      <c r="P18" s="5" t="inlineStr"/>
      <c r="Q18" s="5" t="inlineStr">
        <is>
          <t>Barnsley</t>
        </is>
      </c>
      <c r="R18" s="5" t="inlineStr">
        <is>
          <t>South Yorkshire</t>
        </is>
      </c>
      <c r="S18" s="5" t="inlineStr"/>
      <c r="T18" s="5" t="inlineStr">
        <is>
          <t>Yorkshire &amp; Humber</t>
        </is>
      </c>
      <c r="U18" s="5" t="inlineStr">
        <is>
          <t>England</t>
        </is>
      </c>
      <c r="V18" s="5" t="inlineStr"/>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vape hardware; e-liquids; disposables</t>
        </is>
      </c>
      <c r="AL18" s="5" t="inlineStr"/>
      <c r="AM18" s="5" t="inlineStr">
        <is>
          <t>Vape Shop</t>
        </is>
      </c>
      <c r="AN18" s="5" t="inlineStr"/>
      <c r="AO18" s="5" t="inlineStr">
        <is>
          <t>Vape shop at 11 May Day Green Arcade, Barnsley (eCig Directory listing 'electric-vaper-barnsley'); likely linked to Electric Vape Rotherham. Postcode not captured.</t>
        </is>
      </c>
      <c r="AP18" s="5" t="inlineStr">
        <is>
          <t>Medium</t>
        </is>
      </c>
      <c r="AQ18" s="5" t="inlineStr">
        <is>
          <t>Multi-site retailer; Independent retailer; Core relevant category</t>
        </is>
      </c>
      <c r="AR18" s="5" t="inlineStr">
        <is>
          <t>https://ecigdirectory.co.uk/vape-shop/listing/electric-vaper-barnsley</t>
        </is>
      </c>
      <c r="AS18" s="5" t="inlineStr"/>
      <c r="AT18" s="5" t="inlineStr">
        <is>
          <t>1</t>
        </is>
      </c>
      <c r="AU18" s="5" t="inlineStr">
        <is>
          <t>No</t>
        </is>
      </c>
      <c r="AV18" s="5" t="inlineStr">
        <is>
          <t>No</t>
        </is>
      </c>
      <c r="AW18" s="5" t="inlineStr">
        <is>
          <t>No</t>
        </is>
      </c>
      <c r="AX18" s="5" t="inlineStr">
        <is>
          <t>No</t>
        </is>
      </c>
      <c r="AY18" s="5" t="inlineStr">
        <is>
          <t>Not Found</t>
        </is>
      </c>
      <c r="AZ18" s="5" t="inlineStr">
        <is>
          <t>Not Found</t>
        </is>
      </c>
      <c r="BA18" s="5" t="inlineStr">
        <is>
          <t>2026-09-16</t>
        </is>
      </c>
      <c r="BB18" s="5" t="inlineStr">
        <is>
          <t>Requires Verification</t>
        </is>
      </c>
      <c r="BC18" s="5" t="inlineStr">
        <is>
          <t>Low</t>
        </is>
      </c>
      <c r="BD18" s="5" t="inlineStr"/>
      <c r="BE18" s="5" t="inlineStr">
        <is>
          <t>Business (B2B)</t>
        </is>
      </c>
      <c r="BF18" s="5" t="inlineStr">
        <is>
          <t>Legitimate interest (B2B) - assess per campaign; PECR: corporate subscribers</t>
        </is>
      </c>
      <c r="BG18" s="5" t="inlineStr"/>
      <c r="BH18" s="5" t="inlineStr">
        <is>
          <t>No</t>
        </is>
      </c>
      <c r="BI18" s="5" t="inlineStr">
        <is>
          <t>2026-09-16</t>
        </is>
      </c>
      <c r="BJ18" s="5" t="inlineStr">
        <is>
          <t>New</t>
        </is>
      </c>
      <c r="BK18" s="5" t="inlineStr">
        <is>
          <t>2026-09-16</t>
        </is>
      </c>
      <c r="BL18" s="5" t="inlineStr"/>
      <c r="BM18" s="5" t="inlineStr"/>
      <c r="BN18" s="5" t="inlineStr"/>
      <c r="BO18" s="5" t="inlineStr"/>
      <c r="BP18" s="5" t="inlineStr"/>
      <c r="BQ18" s="5" t="inlineStr"/>
    </row>
    <row r="19">
      <c r="A19" s="10" t="inlineStr">
        <is>
          <t>UK-000198</t>
        </is>
      </c>
      <c r="B19" s="10" t="inlineStr">
        <is>
          <t>EZIVAPE-01</t>
        </is>
      </c>
      <c r="C19" s="10" t="inlineStr">
        <is>
          <t>Ezi Vape</t>
        </is>
      </c>
      <c r="D19" s="10" t="inlineStr">
        <is>
          <t>Ezi Vape Skipton</t>
        </is>
      </c>
      <c r="E19" s="10" t="inlineStr">
        <is>
          <t>Ezi Vape</t>
        </is>
      </c>
      <c r="F19" s="10" t="inlineStr"/>
      <c r="G19" s="10" t="inlineStr">
        <is>
          <t>Vape Shop</t>
        </is>
      </c>
      <c r="H19" s="10" t="inlineStr">
        <is>
          <t>Vape kits, e-liquids &amp; disposables</t>
        </is>
      </c>
      <c r="I19" s="10" t="inlineStr">
        <is>
          <t>Multi-Site Independent</t>
        </is>
      </c>
      <c r="J19" s="10" t="inlineStr">
        <is>
          <t>3</t>
        </is>
      </c>
      <c r="K19" s="10" t="inlineStr">
        <is>
          <t>https://www.ezi-vape.co.uk/</t>
        </is>
      </c>
      <c r="L19" s="10" t="inlineStr">
        <is>
          <t>https://www.facebook.com/EziVapour/</t>
        </is>
      </c>
      <c r="M19" s="10" t="inlineStr"/>
      <c r="N19" s="10" t="inlineStr"/>
      <c r="O19" s="10" t="inlineStr">
        <is>
          <t>25 High Street</t>
        </is>
      </c>
      <c r="P19" s="10" t="inlineStr"/>
      <c r="Q19" s="10" t="inlineStr">
        <is>
          <t>Skipton</t>
        </is>
      </c>
      <c r="R19" s="10" t="inlineStr">
        <is>
          <t>North Yorkshire</t>
        </is>
      </c>
      <c r="S19" s="10" t="inlineStr"/>
      <c r="T19" s="10" t="inlineStr">
        <is>
          <t>Yorkshire &amp; Humber</t>
        </is>
      </c>
      <c r="U19" s="10" t="inlineStr">
        <is>
          <t>England</t>
        </is>
      </c>
      <c r="V19" s="10" t="inlineStr">
        <is>
          <t>07967 075860</t>
        </is>
      </c>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vape kits; e-liquids; disposables; coils</t>
        </is>
      </c>
      <c r="AL19" s="10" t="inlineStr"/>
      <c r="AM19" s="10" t="inlineStr">
        <is>
          <t>Vape Shop</t>
        </is>
      </c>
      <c r="AN19" s="10" t="inlineStr"/>
      <c r="AO19" s="10" t="inlineStr">
        <is>
          <t>Small independent vape chain (ezi-vape.co.uk) with the main branch at 25 High Street, Skipton (BD23) plus shops in Barnoldswick and Ilkley. Full Skipton postcode not confirmed in snippets so left blank. Address/phone from Yell/Facebook/Mapcarta listings.</t>
        </is>
      </c>
      <c r="AP19" s="10" t="inlineStr">
        <is>
          <t>High</t>
        </is>
      </c>
      <c r="AQ19" s="10" t="inlineStr">
        <is>
          <t>Multi-site retailer; Independent retailer; Core relevant category; Active website; Social presence</t>
        </is>
      </c>
      <c r="AR19" s="10" t="inlineStr">
        <is>
          <t>https://www.ezi-vape.co.uk/</t>
        </is>
      </c>
      <c r="AS19" s="10" t="inlineStr">
        <is>
          <t>https://www.yell.com/s/vape+shops-skipton.html</t>
        </is>
      </c>
      <c r="AT19" s="10" t="inlineStr">
        <is>
          <t>2</t>
        </is>
      </c>
      <c r="AU19" s="10" t="inlineStr">
        <is>
          <t>No</t>
        </is>
      </c>
      <c r="AV19" s="10" t="inlineStr">
        <is>
          <t>No</t>
        </is>
      </c>
      <c r="AW19" s="10" t="inlineStr">
        <is>
          <t>No</t>
        </is>
      </c>
      <c r="AX19" s="10" t="inlineStr">
        <is>
          <t>No</t>
        </is>
      </c>
      <c r="AY19" s="10" t="inlineStr">
        <is>
          <t>Verified directory</t>
        </is>
      </c>
      <c r="AZ19" s="10" t="inlineStr">
        <is>
          <t>Website Found</t>
        </is>
      </c>
      <c r="BA19" s="10" t="inlineStr">
        <is>
          <t>2026-09-16</t>
        </is>
      </c>
      <c r="BB19" s="10" t="inlineStr">
        <is>
          <t>Requires Verification</t>
        </is>
      </c>
      <c r="BC19" s="10" t="inlineStr">
        <is>
          <t>Low</t>
        </is>
      </c>
      <c r="BD19" s="10" t="inlineStr"/>
      <c r="BE19" s="10" t="inlineStr">
        <is>
          <t>Business (B2B)</t>
        </is>
      </c>
      <c r="BF19" s="10" t="inlineStr">
        <is>
          <t>Legitimate interest (B2B) - assess per campaign; PECR: corporate subscribers</t>
        </is>
      </c>
      <c r="BG19" s="10" t="inlineStr"/>
      <c r="BH19" s="10" t="inlineStr">
        <is>
          <t>No</t>
        </is>
      </c>
      <c r="BI19" s="10" t="inlineStr">
        <is>
          <t>2026-09-16</t>
        </is>
      </c>
      <c r="BJ19" s="10" t="inlineStr">
        <is>
          <t>New</t>
        </is>
      </c>
      <c r="BK19" s="10" t="inlineStr">
        <is>
          <t>2026-09-16</t>
        </is>
      </c>
      <c r="BL19" s="10" t="inlineStr"/>
      <c r="BM19" s="10" t="inlineStr"/>
      <c r="BN19" s="10" t="inlineStr"/>
      <c r="BO19" s="10" t="inlineStr"/>
      <c r="BP19" s="10" t="inlineStr"/>
      <c r="BQ19" s="10" t="inlineStr"/>
    </row>
    <row r="20">
      <c r="A20" s="5" t="inlineStr">
        <is>
          <t>UK-000199</t>
        </is>
      </c>
      <c r="B20" s="5" t="inlineStr">
        <is>
          <t>FOODPLUS-01</t>
        </is>
      </c>
      <c r="C20" s="5" t="inlineStr">
        <is>
          <t>Food Plus</t>
        </is>
      </c>
      <c r="D20" s="5" t="inlineStr">
        <is>
          <t>Food Plus Hexthorpe (Polski Sklep)</t>
        </is>
      </c>
      <c r="E20" s="5" t="inlineStr">
        <is>
          <t>Food Plus</t>
        </is>
      </c>
      <c r="F20" s="5" t="inlineStr"/>
      <c r="G20" s="5" t="inlineStr">
        <is>
          <t>Independent Supermarket</t>
        </is>
      </c>
      <c r="H20" s="5" t="inlineStr">
        <is>
          <t>Polish / European grocery store</t>
        </is>
      </c>
      <c r="I20" s="5" t="inlineStr">
        <is>
          <t>Franchise / Symbol Group</t>
        </is>
      </c>
      <c r="J20" s="5" t="inlineStr">
        <is>
          <t>1</t>
        </is>
      </c>
      <c r="K20" s="5" t="inlineStr">
        <is>
          <t>https://www.foodplus.eu/</t>
        </is>
      </c>
      <c r="L20" s="5" t="inlineStr"/>
      <c r="M20" s="5" t="inlineStr"/>
      <c r="N20" s="5" t="inlineStr"/>
      <c r="O20" s="5" t="inlineStr"/>
      <c r="P20" s="5" t="inlineStr">
        <is>
          <t>Hexthorpe</t>
        </is>
      </c>
      <c r="Q20" s="5" t="inlineStr">
        <is>
          <t>Doncaster</t>
        </is>
      </c>
      <c r="R20" s="5" t="inlineStr">
        <is>
          <t>South Yorkshire</t>
        </is>
      </c>
      <c r="S20" s="5" t="inlineStr">
        <is>
          <t>DN4 0BD</t>
        </is>
      </c>
      <c r="T20" s="5" t="inlineStr">
        <is>
          <t>Yorkshire &amp; Humber</t>
        </is>
      </c>
      <c r="U20" s="5" t="inlineStr">
        <is>
          <t>England</t>
        </is>
      </c>
      <c r="V20" s="5" t="inlineStr"/>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Polish groceries; deli; frozen foods; European foods</t>
        </is>
      </c>
      <c r="AL20" s="5" t="inlineStr"/>
      <c r="AM20" s="5" t="inlineStr">
        <is>
          <t>Independent Supermarket</t>
        </is>
      </c>
      <c r="AN20" s="5" t="inlineStr">
        <is>
          <t>Food Plus franchise network</t>
        </is>
      </c>
      <c r="AO20" s="5" t="inlineStr">
        <is>
          <t>Polish/European grocery store in Hexthorpe, Doncaster, part of the Food Plus franchise network (stores across UK/EU). Postcode DN4 0BD from Food Plus store listing; exact street not captured.</t>
        </is>
      </c>
      <c r="AP20" s="5" t="inlineStr">
        <is>
          <t>Medium</t>
        </is>
      </c>
      <c r="AQ20" s="5" t="inlineStr">
        <is>
          <t>Multi-site retailer; Independent retailer; Relevant category; Active website</t>
        </is>
      </c>
      <c r="AR20" s="5" t="inlineStr">
        <is>
          <t>https://www.foodplus.eu/en/map/food-plus-polski-sklep-hexthorpe-dn4-0bd-doncaster</t>
        </is>
      </c>
      <c r="AS20" s="5" t="inlineStr"/>
      <c r="AT20" s="5" t="inlineStr">
        <is>
          <t>1</t>
        </is>
      </c>
      <c r="AU20" s="5" t="inlineStr">
        <is>
          <t>No</t>
        </is>
      </c>
      <c r="AV20" s="5" t="inlineStr">
        <is>
          <t>No</t>
        </is>
      </c>
      <c r="AW20" s="5" t="inlineStr">
        <is>
          <t>No</t>
        </is>
      </c>
      <c r="AX20" s="5" t="inlineStr">
        <is>
          <t>No</t>
        </is>
      </c>
      <c r="AY20" s="5" t="inlineStr">
        <is>
          <t>Not Found</t>
        </is>
      </c>
      <c r="AZ20" s="5" t="inlineStr">
        <is>
          <t>Website Found</t>
        </is>
      </c>
      <c r="BA20" s="5" t="inlineStr">
        <is>
          <t>2026-09-16</t>
        </is>
      </c>
      <c r="BB20" s="5" t="inlineStr">
        <is>
          <t>Requires Verification</t>
        </is>
      </c>
      <c r="BC20" s="5" t="inlineStr">
        <is>
          <t>Low</t>
        </is>
      </c>
      <c r="BD20" s="5" t="inlineStr"/>
      <c r="BE20" s="5" t="inlineStr">
        <is>
          <t>Business (B2B)</t>
        </is>
      </c>
      <c r="BF20" s="5" t="inlineStr">
        <is>
          <t>Legitimate interest (B2B) - assess per campaign; PECR: corporate subscribers</t>
        </is>
      </c>
      <c r="BG20" s="5" t="inlineStr"/>
      <c r="BH20" s="5" t="inlineStr">
        <is>
          <t>No</t>
        </is>
      </c>
      <c r="BI20" s="5" t="inlineStr">
        <is>
          <t>2026-09-16</t>
        </is>
      </c>
      <c r="BJ20" s="5" t="inlineStr">
        <is>
          <t>New</t>
        </is>
      </c>
      <c r="BK20" s="5" t="inlineStr">
        <is>
          <t>2026-09-16</t>
        </is>
      </c>
      <c r="BL20" s="5" t="inlineStr"/>
      <c r="BM20" s="5" t="inlineStr"/>
      <c r="BN20" s="5" t="inlineStr"/>
      <c r="BO20" s="5" t="inlineStr"/>
      <c r="BP20" s="5" t="inlineStr"/>
      <c r="BQ20" s="5" t="inlineStr"/>
    </row>
    <row r="21">
      <c r="A21" s="10" t="inlineStr">
        <is>
          <t>UK-000200</t>
        </is>
      </c>
      <c r="B21" s="10" t="inlineStr">
        <is>
          <t>FOODPLUS-02</t>
        </is>
      </c>
      <c r="C21" s="10" t="inlineStr">
        <is>
          <t>Food Plus</t>
        </is>
      </c>
      <c r="D21" s="10" t="inlineStr">
        <is>
          <t>Food Plus Rotherham (Polski Sklep)</t>
        </is>
      </c>
      <c r="E21" s="10" t="inlineStr">
        <is>
          <t>Food Plus</t>
        </is>
      </c>
      <c r="F21" s="10" t="inlineStr"/>
      <c r="G21" s="10" t="inlineStr">
        <is>
          <t>Independent Supermarket</t>
        </is>
      </c>
      <c r="H21" s="10" t="inlineStr">
        <is>
          <t>Polish / European grocery store</t>
        </is>
      </c>
      <c r="I21" s="10" t="inlineStr">
        <is>
          <t>Franchise / Symbol Group</t>
        </is>
      </c>
      <c r="J21" s="10" t="inlineStr">
        <is>
          <t>1</t>
        </is>
      </c>
      <c r="K21" s="10" t="inlineStr">
        <is>
          <t>https://www.foodplus.eu/</t>
        </is>
      </c>
      <c r="L21" s="10" t="inlineStr"/>
      <c r="M21" s="10" t="inlineStr"/>
      <c r="N21" s="10" t="inlineStr"/>
      <c r="O21" s="10" t="inlineStr"/>
      <c r="P21" s="10" t="inlineStr"/>
      <c r="Q21" s="10" t="inlineStr">
        <is>
          <t>Rotherham</t>
        </is>
      </c>
      <c r="R21" s="10" t="inlineStr">
        <is>
          <t>South Yorkshire</t>
        </is>
      </c>
      <c r="S21" s="10" t="inlineStr"/>
      <c r="T21" s="10" t="inlineStr">
        <is>
          <t>Yorkshire &amp; Humber</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Polish groceries; fresh deli; bakery items</t>
        </is>
      </c>
      <c r="AL21" s="10" t="inlineStr"/>
      <c r="AM21" s="10" t="inlineStr">
        <is>
          <t>Independent Supermarket</t>
        </is>
      </c>
      <c r="AN21" s="10" t="inlineStr">
        <is>
          <t>Food Plus franchise network</t>
        </is>
      </c>
      <c r="AO21" s="10" t="inlineStr">
        <is>
          <t>Polish grocery store in Rotherham (Food Plus network), noted for Polish groceries, fresh deli and bakery. Referenced in Rotherham international-supermarket search; exact address/postcode not captured.</t>
        </is>
      </c>
      <c r="AP21" s="10" t="inlineStr">
        <is>
          <t>Medium</t>
        </is>
      </c>
      <c r="AQ21" s="10" t="inlineStr">
        <is>
          <t>Multi-site retailer; Independent retailer; Relevant category; Active website</t>
        </is>
      </c>
      <c r="AR21" s="10" t="inlineStr">
        <is>
          <t>https://www.yorkshire.com/rotherham/shopping/grocers</t>
        </is>
      </c>
      <c r="AS21" s="10" t="inlineStr"/>
      <c r="AT21" s="10" t="inlineStr">
        <is>
          <t>1</t>
        </is>
      </c>
      <c r="AU21" s="10" t="inlineStr">
        <is>
          <t>No</t>
        </is>
      </c>
      <c r="AV21" s="10" t="inlineStr">
        <is>
          <t>No</t>
        </is>
      </c>
      <c r="AW21" s="10" t="inlineStr">
        <is>
          <t>No</t>
        </is>
      </c>
      <c r="AX21" s="10" t="inlineStr">
        <is>
          <t>No</t>
        </is>
      </c>
      <c r="AY21" s="10" t="inlineStr">
        <is>
          <t>Not Found</t>
        </is>
      </c>
      <c r="AZ21" s="10" t="inlineStr">
        <is>
          <t>Website Found</t>
        </is>
      </c>
      <c r="BA21" s="10" t="inlineStr">
        <is>
          <t>2026-09-16</t>
        </is>
      </c>
      <c r="BB21" s="10" t="inlineStr">
        <is>
          <t>Requires Verification</t>
        </is>
      </c>
      <c r="BC21" s="10" t="inlineStr">
        <is>
          <t>Low</t>
        </is>
      </c>
      <c r="BD21" s="10" t="inlineStr"/>
      <c r="BE21" s="10" t="inlineStr">
        <is>
          <t>Business (B2B)</t>
        </is>
      </c>
      <c r="BF21" s="10" t="inlineStr">
        <is>
          <t>Legitimate interest (B2B) - assess per campaign; PECR: corporate subscribers</t>
        </is>
      </c>
      <c r="BG21" s="10" t="inlineStr"/>
      <c r="BH21" s="10" t="inlineStr">
        <is>
          <t>No</t>
        </is>
      </c>
      <c r="BI21" s="10" t="inlineStr">
        <is>
          <t>2026-09-16</t>
        </is>
      </c>
      <c r="BJ21" s="10" t="inlineStr">
        <is>
          <t>New</t>
        </is>
      </c>
      <c r="BK21" s="10" t="inlineStr">
        <is>
          <t>2026-09-16</t>
        </is>
      </c>
      <c r="BL21" s="10" t="inlineStr"/>
      <c r="BM21" s="10" t="inlineStr"/>
      <c r="BN21" s="10" t="inlineStr"/>
      <c r="BO21" s="10" t="inlineStr"/>
      <c r="BP21" s="10" t="inlineStr"/>
      <c r="BQ21" s="10" t="inlineStr"/>
    </row>
    <row r="22">
      <c r="A22" s="5" t="inlineStr">
        <is>
          <t>WY-0014</t>
        </is>
      </c>
      <c r="B22" s="5" t="inlineStr">
        <is>
          <t>GTNEWS-01</t>
        </is>
      </c>
      <c r="C22" s="5" t="inlineStr">
        <is>
          <t>GT News</t>
        </is>
      </c>
      <c r="D22" s="5" t="inlineStr">
        <is>
          <t>GT News (White Rose Shopping Centre)</t>
        </is>
      </c>
      <c r="E22" s="5" t="inlineStr">
        <is>
          <t>GT News</t>
        </is>
      </c>
      <c r="F22" s="5" t="inlineStr"/>
      <c r="G22" s="5" t="inlineStr">
        <is>
          <t>Newsagent</t>
        </is>
      </c>
      <c r="H22" s="5" t="inlineStr">
        <is>
          <t>Shopping-centre newsagent and convenience kiosk</t>
        </is>
      </c>
      <c r="I22" s="5" t="inlineStr">
        <is>
          <t>Multi-Site Independent</t>
        </is>
      </c>
      <c r="J22" s="5" t="inlineStr">
        <is>
          <t>2</t>
        </is>
      </c>
      <c r="K22" s="5" t="inlineStr">
        <is>
          <t>http://www.gtnews.co.uk/</t>
        </is>
      </c>
      <c r="L22" s="5" t="inlineStr"/>
      <c r="M22" s="5" t="inlineStr"/>
      <c r="N22" s="5" t="inlineStr"/>
      <c r="O22" s="5" t="inlineStr">
        <is>
          <t>Unit 28E Lower Level, White Rose Shopping Centre</t>
        </is>
      </c>
      <c r="P22" s="5" t="inlineStr">
        <is>
          <t>Dewsbury Road</t>
        </is>
      </c>
      <c r="Q22" s="5" t="inlineStr">
        <is>
          <t>Leeds</t>
        </is>
      </c>
      <c r="R22" s="5" t="inlineStr">
        <is>
          <t>West Yorkshire</t>
        </is>
      </c>
      <c r="S22" s="5" t="inlineStr">
        <is>
          <t>LS11 8LU</t>
        </is>
      </c>
      <c r="T22" s="5" t="inlineStr">
        <is>
          <t>Yorkshire &amp; Humber</t>
        </is>
      </c>
      <c r="U22" s="5" t="inlineStr">
        <is>
          <t>England</t>
        </is>
      </c>
      <c r="V22" s="5" t="inlineStr">
        <is>
          <t>0113 228 6446</t>
        </is>
      </c>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newspapers; magazines; lottery; mobile top-ups; tobacco; sweets; drinks</t>
        </is>
      </c>
      <c r="AL22" s="5" t="inlineStr"/>
      <c r="AM22" s="5" t="inlineStr">
        <is>
          <t>Newsagent</t>
        </is>
      </c>
      <c r="AN22" s="5" t="inlineStr"/>
      <c r="AO22" s="5" t="inlineStr">
        <is>
          <t>Operates at least two units in the White Rose Shopping Centre (28E Lower Level and U102 Upper Level); multi-site newsagent operator.</t>
        </is>
      </c>
      <c r="AP22" s="5" t="inlineStr">
        <is>
          <t>Medium</t>
        </is>
      </c>
      <c r="AQ22" s="5" t="inlineStr">
        <is>
          <t>Multi-site retailer; Independent retailer; Relevant category; Active website</t>
        </is>
      </c>
      <c r="AR22" s="5" t="inlineStr">
        <is>
          <t>https://www.leedsonline.co.uk/info/17974/</t>
        </is>
      </c>
      <c r="AS22" s="5" t="inlineStr">
        <is>
          <t>https://www.misterwhat.co.uk/company/2740902-gt-news-leeds</t>
        </is>
      </c>
      <c r="AT22" s="5" t="inlineStr">
        <is>
          <t>2</t>
        </is>
      </c>
      <c r="AU22" s="5" t="inlineStr">
        <is>
          <t>No</t>
        </is>
      </c>
      <c r="AV22" s="5" t="inlineStr">
        <is>
          <t>No</t>
        </is>
      </c>
      <c r="AW22" s="5" t="inlineStr">
        <is>
          <t>No</t>
        </is>
      </c>
      <c r="AX22" s="5" t="inlineStr">
        <is>
          <t>No</t>
        </is>
      </c>
      <c r="AY22" s="5" t="inlineStr">
        <is>
          <t>Verified directory</t>
        </is>
      </c>
      <c r="AZ22" s="5" t="inlineStr">
        <is>
          <t>Website Found</t>
        </is>
      </c>
      <c r="BA22" s="5" t="inlineStr">
        <is>
          <t>2026-09-16</t>
        </is>
      </c>
      <c r="BB22" s="5" t="inlineStr">
        <is>
          <t>Requires Verification</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2026-09-16</t>
        </is>
      </c>
      <c r="BJ22" s="5" t="inlineStr">
        <is>
          <t>New</t>
        </is>
      </c>
      <c r="BK22" s="5" t="inlineStr">
        <is>
          <t>2026-09-16</t>
        </is>
      </c>
      <c r="BL22" s="5" t="inlineStr"/>
      <c r="BM22" s="5" t="inlineStr"/>
      <c r="BN22" s="5" t="inlineStr"/>
      <c r="BO22" s="5" t="inlineStr"/>
      <c r="BP22" s="5" t="inlineStr"/>
      <c r="BQ22" s="5" t="inlineStr"/>
    </row>
    <row r="23">
      <c r="A23" s="10" t="inlineStr">
        <is>
          <t>WY-0015</t>
        </is>
      </c>
      <c r="B23" s="10" t="inlineStr">
        <is>
          <t>KPMVAPES-01</t>
        </is>
      </c>
      <c r="C23" s="10" t="inlineStr">
        <is>
          <t>KPM Vapes</t>
        </is>
      </c>
      <c r="D23" s="10" t="inlineStr">
        <is>
          <t>KPM Vapes</t>
        </is>
      </c>
      <c r="E23" s="10" t="inlineStr">
        <is>
          <t>KPM Vapes</t>
        </is>
      </c>
      <c r="F23" s="10" t="inlineStr"/>
      <c r="G23" s="10" t="inlineStr">
        <is>
          <t>Vape Shop</t>
        </is>
      </c>
      <c r="H23" s="10" t="inlineStr">
        <is>
          <t>Vape retail and wholesale</t>
        </is>
      </c>
      <c r="I23" s="10" t="inlineStr">
        <is>
          <t>Multi-Site Independent</t>
        </is>
      </c>
      <c r="J23" s="10" t="inlineStr">
        <is>
          <t>2</t>
        </is>
      </c>
      <c r="K23" s="10" t="inlineStr"/>
      <c r="L23" s="10" t="inlineStr">
        <is>
          <t>https://www.facebook.com/people/KPM-Vapes/61556161391449/</t>
        </is>
      </c>
      <c r="M23" s="10" t="inlineStr">
        <is>
          <t>https://www.instagram.com/kpmvapes/</t>
        </is>
      </c>
      <c r="N23" s="10" t="inlineStr"/>
      <c r="O23" s="10" t="inlineStr">
        <is>
          <t>87/89 Wakefield Road</t>
        </is>
      </c>
      <c r="P23" s="10" t="inlineStr">
        <is>
          <t>Moldgreen</t>
        </is>
      </c>
      <c r="Q23" s="10" t="inlineStr">
        <is>
          <t>Huddersfield</t>
        </is>
      </c>
      <c r="R23" s="10" t="inlineStr">
        <is>
          <t>West Yorkshire</t>
        </is>
      </c>
      <c r="S23" s="10" t="inlineStr">
        <is>
          <t>HD5 9AB</t>
        </is>
      </c>
      <c r="T23" s="10" t="inlineStr">
        <is>
          <t>Yorkshire &amp; Humber</t>
        </is>
      </c>
      <c r="U23" s="10" t="inlineStr">
        <is>
          <t>England</t>
        </is>
      </c>
      <c r="V23" s="10" t="inlineStr">
        <is>
          <t>07463 530406</t>
        </is>
      </c>
      <c r="W23" s="10" t="inlineStr"/>
      <c r="X23" s="10" t="inlineStr"/>
      <c r="Y23" s="10" t="inlineStr">
        <is>
          <t>kpmvapes@outlook.com</t>
        </is>
      </c>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vape hardware; e-liquids; disposable vapes; wholesale vape supplies</t>
        </is>
      </c>
      <c r="AL23" s="10" t="inlineStr"/>
      <c r="AM23" s="10" t="inlineStr">
        <is>
          <t>Vape Shop</t>
        </is>
      </c>
      <c r="AN23" s="10" t="inlineStr">
        <is>
          <t>Offers wholesale as well as retail</t>
        </is>
      </c>
      <c r="AO23" s="10" t="inlineStr">
        <is>
          <t>Second branch at 289 Tong Street, Bradford BD4 9QS (outside Kirklees). Email seen in Yellowtom directory listing, not on an owned page, so marked Unverified. Alternative phone 07774 002629 also listed.</t>
        </is>
      </c>
      <c r="AP23" s="10" t="inlineStr">
        <is>
          <t>High</t>
        </is>
      </c>
      <c r="AQ23" s="10" t="inlineStr">
        <is>
          <t>Multi-site retailer; Independent retailer; Core relevant category; Public email available; Social presence</t>
        </is>
      </c>
      <c r="AR23" s="10" t="inlineStr">
        <is>
          <t>https://www.facebook.com/people/KPM-Vapes/61556161391449/</t>
        </is>
      </c>
      <c r="AS23" s="10" t="inlineStr">
        <is>
          <t>https://www.instagram.com/kpmvapes/</t>
        </is>
      </c>
      <c r="AT23" s="10" t="inlineStr">
        <is>
          <t>3</t>
        </is>
      </c>
      <c r="AU23" s="10" t="inlineStr">
        <is>
          <t>No</t>
        </is>
      </c>
      <c r="AV23" s="10" t="inlineStr">
        <is>
          <t>No</t>
        </is>
      </c>
      <c r="AW23" s="10" t="inlineStr">
        <is>
          <t>No</t>
        </is>
      </c>
      <c r="AX23" s="10" t="inlineStr">
        <is>
          <t>No</t>
        </is>
      </c>
      <c r="AY23" s="10" t="inlineStr">
        <is>
          <t>Verified directory</t>
        </is>
      </c>
      <c r="AZ23" s="10" t="inlineStr">
        <is>
          <t>Unverified</t>
        </is>
      </c>
      <c r="BA23" s="10" t="inlineStr">
        <is>
          <t>2026-09-16</t>
        </is>
      </c>
      <c r="BB23" s="10" t="inlineStr">
        <is>
          <t>Requires Verification</t>
        </is>
      </c>
      <c r="BC23" s="10" t="inlineStr">
        <is>
          <t>Medium</t>
        </is>
      </c>
      <c r="BD23" s="10" t="inlineStr"/>
      <c r="BE23" s="10" t="inlineStr">
        <is>
          <t>Business (B2B)</t>
        </is>
      </c>
      <c r="BF23" s="10" t="inlineStr">
        <is>
          <t>Legitimate interest (B2B) - assess per campaign; PECR: corporate subscribers</t>
        </is>
      </c>
      <c r="BG23" s="10" t="inlineStr"/>
      <c r="BH23" s="10" t="inlineStr">
        <is>
          <t>No</t>
        </is>
      </c>
      <c r="BI23" s="10" t="inlineStr">
        <is>
          <t>2026-09-16</t>
        </is>
      </c>
      <c r="BJ23" s="10" t="inlineStr">
        <is>
          <t>New</t>
        </is>
      </c>
      <c r="BK23" s="10" t="inlineStr">
        <is>
          <t>2026-09-16</t>
        </is>
      </c>
      <c r="BL23" s="10" t="inlineStr"/>
      <c r="BM23" s="10" t="inlineStr"/>
      <c r="BN23" s="10" t="inlineStr"/>
      <c r="BO23" s="10" t="inlineStr"/>
      <c r="BP23" s="10" t="inlineStr"/>
      <c r="BQ23" s="10" t="inlineStr"/>
    </row>
    <row r="24">
      <c r="A24" s="5" t="inlineStr">
        <is>
          <t>WY-0016</t>
        </is>
      </c>
      <c r="B24" s="5" t="inlineStr">
        <is>
          <t>KARANRETAI-01</t>
        </is>
      </c>
      <c r="C24" s="5" t="inlineStr">
        <is>
          <t>Karan Retail Ltd</t>
        </is>
      </c>
      <c r="D24" s="5" t="inlineStr">
        <is>
          <t>Chidswell Service Station (Karan Retail)</t>
        </is>
      </c>
      <c r="E24" s="5" t="inlineStr">
        <is>
          <t>Chidswell Service Station</t>
        </is>
      </c>
      <c r="F24" s="5" t="inlineStr">
        <is>
          <t>Karan Retail Ltd</t>
        </is>
      </c>
      <c r="G24" s="5" t="inlineStr">
        <is>
          <t>Petrol Station / Forecourt</t>
        </is>
      </c>
      <c r="H24" s="5" t="inlineStr">
        <is>
          <t>Forecourt with convenience store</t>
        </is>
      </c>
      <c r="I24" s="5" t="inlineStr">
        <is>
          <t>Multi-Site Independent</t>
        </is>
      </c>
      <c r="J24" s="5" t="inlineStr"/>
      <c r="K24" s="5" t="inlineStr"/>
      <c r="L24" s="5" t="inlineStr"/>
      <c r="M24" s="5" t="inlineStr"/>
      <c r="N24" s="5" t="inlineStr"/>
      <c r="O24" s="5" t="inlineStr">
        <is>
          <t>Off A653 (Chidswell)</t>
        </is>
      </c>
      <c r="P24" s="5" t="inlineStr"/>
      <c r="Q24" s="5" t="inlineStr">
        <is>
          <t>Dewsbury</t>
        </is>
      </c>
      <c r="R24" s="5" t="inlineStr">
        <is>
          <t>West Yorkshire</t>
        </is>
      </c>
      <c r="S24" s="5" t="inlineStr"/>
      <c r="T24" s="5" t="inlineStr">
        <is>
          <t>Yorkshire &amp; Humber</t>
        </is>
      </c>
      <c r="U24" s="5" t="inlineStr">
        <is>
          <t>England</t>
        </is>
      </c>
      <c r="V24" s="5" t="inlineStr"/>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fuel; convenience retail</t>
        </is>
      </c>
      <c r="AL24" s="5" t="inlineStr"/>
      <c r="AM24" s="5" t="inlineStr">
        <is>
          <t>Petrol Station / Forecourt</t>
        </is>
      </c>
      <c r="AN24" s="5" t="inlineStr"/>
      <c r="AO24" s="5"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24" s="5" t="inlineStr">
        <is>
          <t>Medium</t>
        </is>
      </c>
      <c r="AQ24" s="5" t="inlineStr">
        <is>
          <t>Multi-site retailer; Independent retailer; Relevant category</t>
        </is>
      </c>
      <c r="AR24" s="5" t="inlineStr">
        <is>
          <t>https://www.asiantrader.biz/karan-retail-chidswell-service-station-acquisition</t>
        </is>
      </c>
      <c r="AS24" s="5" t="inlineStr"/>
      <c r="AT24" s="5" t="inlineStr">
        <is>
          <t>1</t>
        </is>
      </c>
      <c r="AU24" s="5" t="inlineStr">
        <is>
          <t>No</t>
        </is>
      </c>
      <c r="AV24" s="5" t="inlineStr">
        <is>
          <t>No</t>
        </is>
      </c>
      <c r="AW24" s="5" t="inlineStr">
        <is>
          <t>No</t>
        </is>
      </c>
      <c r="AX24" s="5" t="inlineStr">
        <is>
          <t>No</t>
        </is>
      </c>
      <c r="AY24" s="5" t="inlineStr">
        <is>
          <t>Not Found</t>
        </is>
      </c>
      <c r="AZ24" s="5" t="inlineStr">
        <is>
          <t>Not Found</t>
        </is>
      </c>
      <c r="BA24" s="5" t="inlineStr">
        <is>
          <t>2026-09-16</t>
        </is>
      </c>
      <c r="BB24" s="5" t="inlineStr">
        <is>
          <t>Requires Verification</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2026-09-16</t>
        </is>
      </c>
      <c r="BJ24" s="5" t="inlineStr">
        <is>
          <t>New</t>
        </is>
      </c>
      <c r="BK24" s="5" t="inlineStr">
        <is>
          <t>2026-09-16</t>
        </is>
      </c>
      <c r="BL24" s="5" t="inlineStr"/>
      <c r="BM24" s="5" t="inlineStr"/>
      <c r="BN24" s="5" t="inlineStr"/>
      <c r="BO24" s="5" t="inlineStr"/>
      <c r="BP24" s="5" t="inlineStr"/>
      <c r="BQ24" s="5" t="inlineStr"/>
    </row>
    <row r="25">
      <c r="A25" s="10" t="inlineStr">
        <is>
          <t>WY-0017</t>
        </is>
      </c>
      <c r="B25" s="10" t="inlineStr">
        <is>
          <t>MANCHESTER-01</t>
        </is>
      </c>
      <c r="C25" s="10" t="inlineStr">
        <is>
          <t>Manchester Super Stores</t>
        </is>
      </c>
      <c r="D25" s="10" t="inlineStr">
        <is>
          <t>Manchester Superstore (Wakefield)</t>
        </is>
      </c>
      <c r="E25" s="10" t="inlineStr">
        <is>
          <t>Manchester Superstore</t>
        </is>
      </c>
      <c r="F25" s="10" t="inlineStr">
        <is>
          <t>Manchester Super Store (Wakefield) Ltd</t>
        </is>
      </c>
      <c r="G25" s="10" t="inlineStr">
        <is>
          <t>Independent Supermarket</t>
        </is>
      </c>
      <c r="H25" s="10" t="inlineStr">
        <is>
          <t>Ethnic / Asian supermarket with halal meat</t>
        </is>
      </c>
      <c r="I25" s="10" t="inlineStr">
        <is>
          <t>Regional Chain</t>
        </is>
      </c>
      <c r="J25" s="10" t="inlineStr"/>
      <c r="K25" s="10" t="inlineStr">
        <is>
          <t>https://manchestersuperstores.co.uk/store-locations/manchester-super-stores-in-wakefield/</t>
        </is>
      </c>
      <c r="L25" s="10" t="inlineStr">
        <is>
          <t>https://www.facebook.com/p/Manchester-superstore-100067793681757/</t>
        </is>
      </c>
      <c r="M25" s="10" t="inlineStr"/>
      <c r="N25" s="10" t="inlineStr"/>
      <c r="O25" s="10" t="inlineStr">
        <is>
          <t>38 Park Lodge Lane</t>
        </is>
      </c>
      <c r="P25" s="10" t="inlineStr"/>
      <c r="Q25" s="10" t="inlineStr">
        <is>
          <t>Wakefield</t>
        </is>
      </c>
      <c r="R25" s="10" t="inlineStr">
        <is>
          <t>West Yorkshire</t>
        </is>
      </c>
      <c r="S25" s="10" t="inlineStr">
        <is>
          <t>WF1 4NL</t>
        </is>
      </c>
      <c r="T25" s="10" t="inlineStr">
        <is>
          <t>Yorkshire &amp; Humber</t>
        </is>
      </c>
      <c r="U25" s="10" t="inlineStr">
        <is>
          <t>England</t>
        </is>
      </c>
      <c r="V25" s="10" t="inlineStr">
        <is>
          <t>01924 369105</t>
        </is>
      </c>
      <c r="W25" s="10" t="inlineStr"/>
      <c r="X25" s="10" t="inlineStr"/>
      <c r="Y25" s="10" t="inlineStr"/>
      <c r="Z25" s="10" t="inlineStr"/>
      <c r="AA25" s="10" t="inlineStr"/>
      <c r="AB25" s="10" t="inlineStr"/>
      <c r="AC25" s="10" t="inlineStr"/>
      <c r="AD25" s="10" t="inlineStr"/>
      <c r="AE25" s="10" t="inlineStr">
        <is>
          <t>08447369</t>
        </is>
      </c>
      <c r="AF25" s="10" t="inlineStr"/>
      <c r="AG25" s="10" t="inlineStr">
        <is>
          <t>MANCHESTER SUPER STORE (WAKEFIELD) LTD</t>
        </is>
      </c>
      <c r="AH25" s="10" t="inlineStr"/>
      <c r="AI25" s="10" t="inlineStr"/>
      <c r="AJ25" s="10" t="inlineStr"/>
      <c r="AK25" s="10" t="inlineStr">
        <is>
          <t>halal meat; fish; spices; exotic fruit and veg; ethnic grocery brands; toiletries</t>
        </is>
      </c>
      <c r="AL25" s="10" t="inlineStr"/>
      <c r="AM25" s="10" t="inlineStr">
        <is>
          <t>Independent Supermarket</t>
        </is>
      </c>
      <c r="AN25" s="10" t="inlineStr"/>
      <c r="AO25" s="10" t="inlineStr">
        <is>
          <t>Wakefield branch of the award-winning Manchester Super Stores group (BBC Food &amp; Farming Awards, Asian Food &amp; Restaurant Awards). Own dedicated store page on group website. Full Companies House record (status/incorporation) not yet retrieved.</t>
        </is>
      </c>
      <c r="AP25" s="10" t="inlineStr">
        <is>
          <t>Medium</t>
        </is>
      </c>
      <c r="AQ25" s="10" t="inlineStr">
        <is>
          <t>Multi-site retailer; Relevant category; Active website; Social presence</t>
        </is>
      </c>
      <c r="AR25" s="10" t="inlineStr">
        <is>
          <t>https://manchestersuperstores.co.uk/store-locations/manchester-super-stores-in-wakefield/</t>
        </is>
      </c>
      <c r="AS25" s="10" t="inlineStr">
        <is>
          <t>https://find-and-update.company-information.service.gov.uk/company/08447369</t>
        </is>
      </c>
      <c r="AT25" s="10" t="inlineStr">
        <is>
          <t>3</t>
        </is>
      </c>
      <c r="AU25" s="10" t="inlineStr">
        <is>
          <t>No</t>
        </is>
      </c>
      <c r="AV25" s="10" t="inlineStr">
        <is>
          <t>No</t>
        </is>
      </c>
      <c r="AW25" s="10" t="inlineStr">
        <is>
          <t>No</t>
        </is>
      </c>
      <c r="AX25" s="10" t="inlineStr">
        <is>
          <t>No</t>
        </is>
      </c>
      <c r="AY25" s="10" t="inlineStr">
        <is>
          <t>Verified directory</t>
        </is>
      </c>
      <c r="AZ25" s="10" t="inlineStr">
        <is>
          <t>Website Found</t>
        </is>
      </c>
      <c r="BA25" s="10" t="inlineStr">
        <is>
          <t>2026-09-16</t>
        </is>
      </c>
      <c r="BB25" s="10" t="inlineStr">
        <is>
          <t>Requires Verification</t>
        </is>
      </c>
      <c r="BC25" s="10" t="inlineStr">
        <is>
          <t>Medium</t>
        </is>
      </c>
      <c r="BD25" s="10" t="inlineStr"/>
      <c r="BE25" s="10" t="inlineStr">
        <is>
          <t>Business (B2B)</t>
        </is>
      </c>
      <c r="BF25" s="10" t="inlineStr">
        <is>
          <t>Legitimate interest (B2B) - assess per campaign; PECR: corporate subscribers</t>
        </is>
      </c>
      <c r="BG25" s="10" t="inlineStr"/>
      <c r="BH25" s="10" t="inlineStr">
        <is>
          <t>No</t>
        </is>
      </c>
      <c r="BI25" s="10" t="inlineStr">
        <is>
          <t>2026-09-16</t>
        </is>
      </c>
      <c r="BJ25" s="10" t="inlineStr">
        <is>
          <t>New</t>
        </is>
      </c>
      <c r="BK25" s="10" t="inlineStr">
        <is>
          <t>2026-09-16</t>
        </is>
      </c>
      <c r="BL25" s="10" t="inlineStr"/>
      <c r="BM25" s="10" t="inlineStr"/>
      <c r="BN25" s="10" t="inlineStr"/>
      <c r="BO25" s="10" t="inlineStr"/>
      <c r="BP25" s="10" t="inlineStr"/>
      <c r="BQ25" s="10" t="inlineStr"/>
    </row>
    <row r="26">
      <c r="A26" s="5" t="inlineStr">
        <is>
          <t>WY-0018</t>
        </is>
      </c>
      <c r="B26" s="5" t="inlineStr">
        <is>
          <t>MANCHESTER-02</t>
        </is>
      </c>
      <c r="C26" s="5" t="inlineStr">
        <is>
          <t>Manchester Super Stores</t>
        </is>
      </c>
      <c r="D26" s="5" t="inlineStr">
        <is>
          <t>Manchester Superstore Bradford</t>
        </is>
      </c>
      <c r="E26" s="5" t="inlineStr">
        <is>
          <t>Manchester Superstore</t>
        </is>
      </c>
      <c r="F26" s="5" t="inlineStr"/>
      <c r="G26" s="5" t="inlineStr">
        <is>
          <t>Independent Supermarket</t>
        </is>
      </c>
      <c r="H26" s="5" t="inlineStr">
        <is>
          <t>Asian / halal superstore</t>
        </is>
      </c>
      <c r="I26" s="5" t="inlineStr">
        <is>
          <t>Multi-Site Independent</t>
        </is>
      </c>
      <c r="J26" s="5" t="inlineStr"/>
      <c r="K26" s="5" t="inlineStr">
        <is>
          <t>https://manchestersuperstores.co.uk/store-locations/manchester-super-stores-in-bradford/</t>
        </is>
      </c>
      <c r="L26" s="5" t="inlineStr">
        <is>
          <t>https://www.facebook.com/p/Manchester-SuperStore-Bradford-100066139307711/</t>
        </is>
      </c>
      <c r="M26" s="5" t="inlineStr"/>
      <c r="N26" s="5" t="inlineStr"/>
      <c r="O26" s="5" t="inlineStr">
        <is>
          <t>Florence Street</t>
        </is>
      </c>
      <c r="P26" s="5" t="inlineStr">
        <is>
          <t>Off Leeds Road</t>
        </is>
      </c>
      <c r="Q26" s="5" t="inlineStr">
        <is>
          <t>Bradford</t>
        </is>
      </c>
      <c r="R26" s="5" t="inlineStr">
        <is>
          <t>West Yorkshire</t>
        </is>
      </c>
      <c r="S26" s="5" t="inlineStr">
        <is>
          <t>BD3 8EX</t>
        </is>
      </c>
      <c r="T26" s="5" t="inlineStr">
        <is>
          <t>Yorkshire &amp; Humber</t>
        </is>
      </c>
      <c r="U26" s="5" t="inlineStr">
        <is>
          <t>England</t>
        </is>
      </c>
      <c r="V26" s="5" t="inlineStr">
        <is>
          <t>01274 668800</t>
        </is>
      </c>
      <c r="W26" s="5" t="inlineStr"/>
      <c r="X26" s="5" t="inlineStr"/>
      <c r="Y26" s="5" t="inlineStr">
        <is>
          <t>mssbradford01@gmail.com</t>
        </is>
      </c>
      <c r="Z26" s="5" t="inlineStr"/>
      <c r="AA26" s="5" t="inlineStr"/>
      <c r="AB26" s="5" t="inlineStr"/>
      <c r="AC26" s="5" t="inlineStr"/>
      <c r="AD26" s="5" t="inlineStr"/>
      <c r="AE26" s="5" t="inlineStr"/>
      <c r="AF26" s="5" t="inlineStr"/>
      <c r="AG26" s="5" t="inlineStr"/>
      <c r="AH26" s="5" t="inlineStr"/>
      <c r="AI26" s="5" t="inlineStr"/>
      <c r="AJ26" s="5" t="inlineStr"/>
      <c r="AK26" s="5" t="inlineStr">
        <is>
          <t>fresh halal meat; fish; spices; exotic fruit &amp; veg; toiletries; ethnic brands</t>
        </is>
      </c>
      <c r="AL26" s="5" t="inlineStr"/>
      <c r="AM26" s="5" t="inlineStr">
        <is>
          <t>Independent Supermarket</t>
        </is>
      </c>
      <c r="AN26" s="5" t="inlineStr"/>
      <c r="AO26" s="5" t="inlineStr">
        <is>
          <t>Bradford branch of the Manchester Super Stores group (multi-site, has store-locations page on its own website).</t>
        </is>
      </c>
      <c r="AP26" s="5" t="inlineStr">
        <is>
          <t>High</t>
        </is>
      </c>
      <c r="AQ26" s="5" t="inlineStr">
        <is>
          <t>Multi-site retailer; Independent retailer; Relevant category; Public email available; Active website; Social presence</t>
        </is>
      </c>
      <c r="AR26" s="5" t="inlineStr">
        <is>
          <t>https://manchestersuperstores.co.uk/store-locations/manchester-super-stores-in-bradford/</t>
        </is>
      </c>
      <c r="AS26" s="5" t="inlineStr">
        <is>
          <t>https://www.facebook.com/p/Manchester-SuperStore-Bradford-100066139307711/</t>
        </is>
      </c>
      <c r="AT26" s="5" t="inlineStr">
        <is>
          <t>3</t>
        </is>
      </c>
      <c r="AU26" s="5" t="inlineStr">
        <is>
          <t>No</t>
        </is>
      </c>
      <c r="AV26" s="5" t="inlineStr">
        <is>
          <t>No</t>
        </is>
      </c>
      <c r="AW26" s="5" t="inlineStr">
        <is>
          <t>Yes</t>
        </is>
      </c>
      <c r="AX26" s="5" t="inlineStr">
        <is>
          <t>No</t>
        </is>
      </c>
      <c r="AY26" s="5" t="inlineStr">
        <is>
          <t>Verified directory</t>
        </is>
      </c>
      <c r="AZ26" s="5" t="inlineStr">
        <is>
          <t>Website Found</t>
        </is>
      </c>
      <c r="BA26" s="5" t="inlineStr">
        <is>
          <t>2026-09-16</t>
        </is>
      </c>
      <c r="BB26" s="5" t="inlineStr">
        <is>
          <t>Partially Verified</t>
        </is>
      </c>
      <c r="BC26" s="5" t="inlineStr">
        <is>
          <t>Medium</t>
        </is>
      </c>
      <c r="BD26" s="5" t="inlineStr"/>
      <c r="BE26" s="5" t="inlineStr">
        <is>
          <t>Business (B2B)</t>
        </is>
      </c>
      <c r="BF26" s="5" t="inlineStr">
        <is>
          <t>Legitimate interest (B2B) - assess per campaign; PECR: corporate subscribers</t>
        </is>
      </c>
      <c r="BG26" s="5" t="inlineStr"/>
      <c r="BH26" s="5" t="inlineStr">
        <is>
          <t>No</t>
        </is>
      </c>
      <c r="BI26" s="5" t="inlineStr">
        <is>
          <t>2026-09-16</t>
        </is>
      </c>
      <c r="BJ26" s="5" t="inlineStr">
        <is>
          <t>New</t>
        </is>
      </c>
      <c r="BK26" s="5" t="inlineStr">
        <is>
          <t>2026-09-16</t>
        </is>
      </c>
      <c r="BL26" s="5" t="inlineStr"/>
      <c r="BM26" s="5" t="inlineStr"/>
      <c r="BN26" s="5" t="inlineStr"/>
      <c r="BO26" s="5" t="inlineStr"/>
      <c r="BP26" s="5" t="inlineStr"/>
      <c r="BQ26" s="5" t="inlineStr"/>
    </row>
    <row r="27">
      <c r="A27" s="10" t="inlineStr">
        <is>
          <t>WY-0019</t>
        </is>
      </c>
      <c r="B27" s="10" t="inlineStr">
        <is>
          <t>MULLACO-01</t>
        </is>
      </c>
      <c r="C27" s="10" t="inlineStr">
        <is>
          <t>Mullaco</t>
        </is>
      </c>
      <c r="D27" s="10" t="inlineStr">
        <is>
          <t>Mullaco (Batley)</t>
        </is>
      </c>
      <c r="E27" s="10" t="inlineStr">
        <is>
          <t>Mullaco</t>
        </is>
      </c>
      <c r="F27" s="10" t="inlineStr"/>
      <c r="G27" s="10" t="inlineStr">
        <is>
          <t>Independent Supermarket</t>
        </is>
      </c>
      <c r="H27" s="10" t="inlineStr">
        <is>
          <t>Asian and continental world foods store</t>
        </is>
      </c>
      <c r="I27" s="10" t="inlineStr">
        <is>
          <t>Regional Chain</t>
        </is>
      </c>
      <c r="J27" s="10" t="inlineStr">
        <is>
          <t>3</t>
        </is>
      </c>
      <c r="K27" s="10" t="inlineStr">
        <is>
          <t>https://mullaco.co.uk/</t>
        </is>
      </c>
      <c r="L27" s="10" t="inlineStr">
        <is>
          <t>https://www.facebook.com/mullaco.supermarket/</t>
        </is>
      </c>
      <c r="M27" s="10" t="inlineStr">
        <is>
          <t>https://www.instagram.com/mullacosupermarket/</t>
        </is>
      </c>
      <c r="N27" s="10" t="inlineStr"/>
      <c r="O27" s="10" t="inlineStr">
        <is>
          <t>35 Oxford Street</t>
        </is>
      </c>
      <c r="P27" s="10" t="inlineStr"/>
      <c r="Q27" s="10" t="inlineStr">
        <is>
          <t>Batley</t>
        </is>
      </c>
      <c r="R27" s="10" t="inlineStr">
        <is>
          <t>West Yorkshire</t>
        </is>
      </c>
      <c r="S27" s="10" t="inlineStr">
        <is>
          <t>WF17 7PJ</t>
        </is>
      </c>
      <c r="T27" s="10" t="inlineStr">
        <is>
          <t>Yorkshire &amp; Humber</t>
        </is>
      </c>
      <c r="U27" s="10" t="inlineStr">
        <is>
          <t>England</t>
        </is>
      </c>
      <c r="V27" s="10" t="inlineStr">
        <is>
          <t>01924 939128</t>
        </is>
      </c>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world foods; halal meat and poultry; groceries</t>
        </is>
      </c>
      <c r="AL27" s="10" t="inlineStr"/>
      <c r="AM27" s="10" t="inlineStr">
        <is>
          <t>Independent Supermarket</t>
        </is>
      </c>
      <c r="AN27" s="10" t="inlineStr"/>
      <c r="AO27" s="10" t="inlineStr">
        <is>
          <t>Batley branch of the Mullaco world foods group (parent record: Mullaco Supermarket Dewsbury).</t>
        </is>
      </c>
      <c r="AP27" s="10" t="inlineStr">
        <is>
          <t>Medium</t>
        </is>
      </c>
      <c r="AQ27" s="10" t="inlineStr">
        <is>
          <t>Multi-site retailer; Relevant category; Active website; Social presence</t>
        </is>
      </c>
      <c r="AR27" s="10" t="inlineStr">
        <is>
          <t>https://mullaco.co.uk/contact-us/</t>
        </is>
      </c>
      <c r="AS27" s="10" t="inlineStr">
        <is>
          <t>https://www.zoominfo.com/c/mullaco-ltd/370332224</t>
        </is>
      </c>
      <c r="AT27" s="10" t="inlineStr">
        <is>
          <t>3</t>
        </is>
      </c>
      <c r="AU27" s="10" t="inlineStr">
        <is>
          <t>No</t>
        </is>
      </c>
      <c r="AV27" s="10" t="inlineStr">
        <is>
          <t>No</t>
        </is>
      </c>
      <c r="AW27" s="10" t="inlineStr">
        <is>
          <t>No</t>
        </is>
      </c>
      <c r="AX27" s="10" t="inlineStr">
        <is>
          <t>No</t>
        </is>
      </c>
      <c r="AY27" s="10" t="inlineStr">
        <is>
          <t>Verified directory</t>
        </is>
      </c>
      <c r="AZ27" s="10" t="inlineStr">
        <is>
          <t>Website Found</t>
        </is>
      </c>
      <c r="BA27" s="10" t="inlineStr">
        <is>
          <t>2026-09-16</t>
        </is>
      </c>
      <c r="BB27" s="10" t="inlineStr">
        <is>
          <t>Requires Verification</t>
        </is>
      </c>
      <c r="BC27" s="10" t="inlineStr">
        <is>
          <t>Medium</t>
        </is>
      </c>
      <c r="BD27" s="10" t="inlineStr"/>
      <c r="BE27" s="10" t="inlineStr">
        <is>
          <t>Business (B2B)</t>
        </is>
      </c>
      <c r="BF27" s="10" t="inlineStr">
        <is>
          <t>Legitimate interest (B2B) - assess per campaign; PECR: corporate subscribers</t>
        </is>
      </c>
      <c r="BG27" s="10" t="inlineStr"/>
      <c r="BH27" s="10" t="inlineStr">
        <is>
          <t>No</t>
        </is>
      </c>
      <c r="BI27" s="10" t="inlineStr">
        <is>
          <t>2026-09-16</t>
        </is>
      </c>
      <c r="BJ27" s="10" t="inlineStr">
        <is>
          <t>New</t>
        </is>
      </c>
      <c r="BK27" s="10" t="inlineStr">
        <is>
          <t>2026-09-16</t>
        </is>
      </c>
      <c r="BL27" s="10" t="inlineStr"/>
      <c r="BM27" s="10" t="inlineStr"/>
      <c r="BN27" s="10" t="inlineStr"/>
      <c r="BO27" s="10" t="inlineStr"/>
      <c r="BP27" s="10" t="inlineStr"/>
      <c r="BQ27" s="10" t="inlineStr"/>
    </row>
    <row r="28">
      <c r="A28" s="5" t="inlineStr">
        <is>
          <t>WY-0020</t>
        </is>
      </c>
      <c r="B28" s="5" t="inlineStr">
        <is>
          <t>MULLACO-02</t>
        </is>
      </c>
      <c r="C28" s="5" t="inlineStr">
        <is>
          <t>Mullaco</t>
        </is>
      </c>
      <c r="D28" s="5" t="inlineStr">
        <is>
          <t>Mullaco Minimarket (Dewsbury)</t>
        </is>
      </c>
      <c r="E28" s="5" t="inlineStr">
        <is>
          <t>Mullaco Minimarket</t>
        </is>
      </c>
      <c r="F28" s="5" t="inlineStr"/>
      <c r="G28" s="5" t="inlineStr">
        <is>
          <t>Convenience Store</t>
        </is>
      </c>
      <c r="H28" s="5" t="inlineStr">
        <is>
          <t>World foods minimarket</t>
        </is>
      </c>
      <c r="I28" s="5" t="inlineStr">
        <is>
          <t>Regional Chain</t>
        </is>
      </c>
      <c r="J28" s="5" t="inlineStr">
        <is>
          <t>3</t>
        </is>
      </c>
      <c r="K28" s="5" t="inlineStr">
        <is>
          <t>https://mullaco.co.uk/</t>
        </is>
      </c>
      <c r="L28" s="5" t="inlineStr">
        <is>
          <t>https://www.facebook.com/mullaco.supermarket/</t>
        </is>
      </c>
      <c r="M28" s="5" t="inlineStr"/>
      <c r="N28" s="5" t="inlineStr"/>
      <c r="O28" s="5" t="inlineStr"/>
      <c r="P28" s="5" t="inlineStr"/>
      <c r="Q28" s="5" t="inlineStr">
        <is>
          <t>Dewsbury</t>
        </is>
      </c>
      <c r="R28" s="5" t="inlineStr">
        <is>
          <t>West Yorkshire</t>
        </is>
      </c>
      <c r="S28" s="5" t="inlineStr">
        <is>
          <t>WF12 9LX</t>
        </is>
      </c>
      <c r="T28" s="5" t="inlineStr">
        <is>
          <t>Yorkshire &amp; Humber</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world foods; groceries; convenience goods</t>
        </is>
      </c>
      <c r="AL28" s="5" t="inlineStr"/>
      <c r="AM28" s="5" t="inlineStr">
        <is>
          <t>Convenience Store</t>
        </is>
      </c>
      <c r="AN28" s="5" t="inlineStr"/>
      <c r="AO28" s="5" t="inlineStr">
        <is>
          <t>Mullaco minimarket location in Dewsbury at postcode WF12 9LX per search results; street address not captured because mullaco.co.uk fetch was blocked.</t>
        </is>
      </c>
      <c r="AP28" s="5" t="inlineStr">
        <is>
          <t>Medium</t>
        </is>
      </c>
      <c r="AQ28" s="5" t="inlineStr">
        <is>
          <t>Multi-site retailer; Relevant category; Active website; Social presence</t>
        </is>
      </c>
      <c r="AR28" s="5" t="inlineStr">
        <is>
          <t>https://www.facebook.com/mullaco.supermarket/</t>
        </is>
      </c>
      <c r="AS28" s="5" t="inlineStr">
        <is>
          <t>https://www.zoominfo.com/c/mullaco-ltd/370332224</t>
        </is>
      </c>
      <c r="AT28" s="5" t="inlineStr">
        <is>
          <t>2</t>
        </is>
      </c>
      <c r="AU28" s="5" t="inlineStr">
        <is>
          <t>No</t>
        </is>
      </c>
      <c r="AV28" s="5" t="inlineStr">
        <is>
          <t>No</t>
        </is>
      </c>
      <c r="AW28" s="5" t="inlineStr">
        <is>
          <t>No</t>
        </is>
      </c>
      <c r="AX28" s="5" t="inlineStr">
        <is>
          <t>No</t>
        </is>
      </c>
      <c r="AY28" s="5" t="inlineStr">
        <is>
          <t>Not Found</t>
        </is>
      </c>
      <c r="AZ28" s="5" t="inlineStr">
        <is>
          <t>Website Found</t>
        </is>
      </c>
      <c r="BA28" s="5" t="inlineStr">
        <is>
          <t>2026-09-16</t>
        </is>
      </c>
      <c r="BB28" s="5" t="inlineStr">
        <is>
          <t>Requires Verification</t>
        </is>
      </c>
      <c r="BC28" s="5" t="inlineStr">
        <is>
          <t>Medium</t>
        </is>
      </c>
      <c r="BD28" s="5" t="inlineStr"/>
      <c r="BE28" s="5" t="inlineStr">
        <is>
          <t>Business (B2B)</t>
        </is>
      </c>
      <c r="BF28" s="5" t="inlineStr">
        <is>
          <t>Legitimate interest (B2B) - assess per campaign; PECR: corporate subscribers</t>
        </is>
      </c>
      <c r="BG28" s="5" t="inlineStr"/>
      <c r="BH28" s="5" t="inlineStr">
        <is>
          <t>No</t>
        </is>
      </c>
      <c r="BI28" s="5" t="inlineStr">
        <is>
          <t>2026-09-16</t>
        </is>
      </c>
      <c r="BJ28" s="5" t="inlineStr">
        <is>
          <t>New</t>
        </is>
      </c>
      <c r="BK28" s="5" t="inlineStr">
        <is>
          <t>2026-09-16</t>
        </is>
      </c>
      <c r="BL28" s="5" t="inlineStr"/>
      <c r="BM28" s="5" t="inlineStr"/>
      <c r="BN28" s="5" t="inlineStr"/>
      <c r="BO28" s="5" t="inlineStr"/>
      <c r="BP28" s="5" t="inlineStr"/>
      <c r="BQ28" s="5" t="inlineStr"/>
    </row>
    <row r="29">
      <c r="A29" s="10" t="inlineStr">
        <is>
          <t>WY-0021</t>
        </is>
      </c>
      <c r="B29" s="10" t="inlineStr">
        <is>
          <t>MULLACO-03</t>
        </is>
      </c>
      <c r="C29" s="10" t="inlineStr">
        <is>
          <t>Mullaco</t>
        </is>
      </c>
      <c r="D29" s="10" t="inlineStr">
        <is>
          <t>Mullaco Supermarket (Dewsbury)</t>
        </is>
      </c>
      <c r="E29" s="10" t="inlineStr">
        <is>
          <t>Mullaco Supermarket</t>
        </is>
      </c>
      <c r="F29" s="10" t="inlineStr">
        <is>
          <t>Mullaco (Dewsbury) Ltd</t>
        </is>
      </c>
      <c r="G29" s="10" t="inlineStr">
        <is>
          <t>Independent Supermarket</t>
        </is>
      </c>
      <c r="H29" s="10" t="inlineStr">
        <is>
          <t>Asian and continental world foods supermarket</t>
        </is>
      </c>
      <c r="I29" s="10" t="inlineStr">
        <is>
          <t>Regional Chain</t>
        </is>
      </c>
      <c r="J29" s="10" t="inlineStr">
        <is>
          <t>3</t>
        </is>
      </c>
      <c r="K29" s="10" t="inlineStr">
        <is>
          <t>https://mullaco.co.uk/</t>
        </is>
      </c>
      <c r="L29" s="10" t="inlineStr">
        <is>
          <t>https://www.facebook.com/mullaco.supermarket/</t>
        </is>
      </c>
      <c r="M29" s="10" t="inlineStr">
        <is>
          <t>https://www.instagram.com/mullacosupermarket/</t>
        </is>
      </c>
      <c r="N29" s="10" t="inlineStr"/>
      <c r="O29" s="10" t="inlineStr">
        <is>
          <t>Mullaco Retail Park, Slaithwaite Road</t>
        </is>
      </c>
      <c r="P29" s="10" t="inlineStr">
        <is>
          <t>Thornhill Lees</t>
        </is>
      </c>
      <c r="Q29" s="10" t="inlineStr">
        <is>
          <t>Dewsbury</t>
        </is>
      </c>
      <c r="R29" s="10" t="inlineStr">
        <is>
          <t>West Yorkshire</t>
        </is>
      </c>
      <c r="S29" s="10" t="inlineStr">
        <is>
          <t>WF12 0AA</t>
        </is>
      </c>
      <c r="T29" s="10" t="inlineStr">
        <is>
          <t>Yorkshire &amp; Humber</t>
        </is>
      </c>
      <c r="U29" s="10" t="inlineStr">
        <is>
          <t>England</t>
        </is>
      </c>
      <c r="V29" s="10" t="inlineStr">
        <is>
          <t>01924 465909</t>
        </is>
      </c>
      <c r="W29" s="10" t="inlineStr"/>
      <c r="X29" s="10" t="inlineStr"/>
      <c r="Y29" s="10" t="inlineStr"/>
      <c r="Z29" s="10" t="inlineStr"/>
      <c r="AA29" s="10" t="inlineStr"/>
      <c r="AB29" s="10" t="inlineStr"/>
      <c r="AC29" s="10" t="inlineStr"/>
      <c r="AD29" s="10" t="inlineStr"/>
      <c r="AE29" s="10" t="inlineStr">
        <is>
          <t>06629345</t>
        </is>
      </c>
      <c r="AF29" s="10" t="inlineStr"/>
      <c r="AG29" s="10" t="inlineStr">
        <is>
          <t>MULLACO (DEWSBURY) LTD</t>
        </is>
      </c>
      <c r="AH29" s="10" t="inlineStr"/>
      <c r="AI29" s="10" t="inlineStr"/>
      <c r="AJ29" s="10" t="inlineStr"/>
      <c r="AK29" s="10" t="inlineStr">
        <is>
          <t>world foods; halal meat and poultry; fresh fruit and vegetables; groceries</t>
        </is>
      </c>
      <c r="AL29" s="10" t="inlineStr"/>
      <c r="AM29" s="10" t="inlineStr">
        <is>
          <t>Independent Supermarket</t>
        </is>
      </c>
      <c r="AN29" s="10" t="inlineStr"/>
      <c r="AO29" s="10" t="inlineStr">
        <is>
          <t>Family-run world foods group with stores in Dewsbury, Batley and a Dewsbury minimarket; head office listed as 7 Wellington Street, Batley WF17 5BH (ZoomInfo). Own website mullaco.co.uk could not be fetched (proxy blocked).</t>
        </is>
      </c>
      <c r="AP29" s="10" t="inlineStr">
        <is>
          <t>Medium</t>
        </is>
      </c>
      <c r="AQ29" s="10" t="inlineStr">
        <is>
          <t>Multi-site retailer; Relevant category; Active website; Social presence</t>
        </is>
      </c>
      <c r="AR29" s="10" t="inlineStr">
        <is>
          <t>https://mullaco.co.uk/contact-us/</t>
        </is>
      </c>
      <c r="AS29" s="10" t="inlineStr">
        <is>
          <t>https://find-and-update.company-information.service.gov.uk/company/06629345</t>
        </is>
      </c>
      <c r="AT29" s="10" t="inlineStr">
        <is>
          <t>4</t>
        </is>
      </c>
      <c r="AU29" s="10" t="inlineStr">
        <is>
          <t>No</t>
        </is>
      </c>
      <c r="AV29" s="10" t="inlineStr">
        <is>
          <t>No</t>
        </is>
      </c>
      <c r="AW29" s="10" t="inlineStr">
        <is>
          <t>No</t>
        </is>
      </c>
      <c r="AX29" s="10" t="inlineStr">
        <is>
          <t>No</t>
        </is>
      </c>
      <c r="AY29" s="10" t="inlineStr">
        <is>
          <t>Verified directory</t>
        </is>
      </c>
      <c r="AZ29" s="10" t="inlineStr">
        <is>
          <t>Website Found</t>
        </is>
      </c>
      <c r="BA29" s="10" t="inlineStr">
        <is>
          <t>2026-09-16</t>
        </is>
      </c>
      <c r="BB29" s="10" t="inlineStr">
        <is>
          <t>Requires Verification</t>
        </is>
      </c>
      <c r="BC29" s="10" t="inlineStr">
        <is>
          <t>Medium</t>
        </is>
      </c>
      <c r="BD29" s="10" t="inlineStr"/>
      <c r="BE29" s="10" t="inlineStr">
        <is>
          <t>Business (B2B)</t>
        </is>
      </c>
      <c r="BF29" s="10" t="inlineStr">
        <is>
          <t>Legitimate interest (B2B) - assess per campaign; PECR: corporate subscribers</t>
        </is>
      </c>
      <c r="BG29" s="10" t="inlineStr"/>
      <c r="BH29" s="10" t="inlineStr">
        <is>
          <t>No</t>
        </is>
      </c>
      <c r="BI29" s="10" t="inlineStr">
        <is>
          <t>2026-09-16</t>
        </is>
      </c>
      <c r="BJ29" s="10" t="inlineStr">
        <is>
          <t>New</t>
        </is>
      </c>
      <c r="BK29" s="10" t="inlineStr">
        <is>
          <t>2026-09-16</t>
        </is>
      </c>
      <c r="BL29" s="10" t="inlineStr"/>
      <c r="BM29" s="10" t="inlineStr"/>
      <c r="BN29" s="10" t="inlineStr"/>
      <c r="BO29" s="10" t="inlineStr"/>
      <c r="BP29" s="10" t="inlineStr"/>
      <c r="BQ29" s="10" t="inlineStr"/>
    </row>
    <row r="30">
      <c r="A30" s="5" t="inlineStr">
        <is>
          <t>UK-000201</t>
        </is>
      </c>
      <c r="B30" s="5" t="inlineStr">
        <is>
          <t>NISA-01</t>
        </is>
      </c>
      <c r="C30" s="5" t="inlineStr">
        <is>
          <t>Nisa</t>
        </is>
      </c>
      <c r="D30" s="5" t="inlineStr">
        <is>
          <t>Nisa Express Grimsby (Victor Street)</t>
        </is>
      </c>
      <c r="E30" s="5" t="inlineStr">
        <is>
          <t>Nisa Express</t>
        </is>
      </c>
      <c r="F30" s="5" t="inlineStr"/>
      <c r="G30" s="5" t="inlineStr">
        <is>
          <t>Convenience Store</t>
        </is>
      </c>
      <c r="H30" s="5" t="inlineStr">
        <is>
          <t>Symbol-group convenience store</t>
        </is>
      </c>
      <c r="I30" s="5" t="inlineStr">
        <is>
          <t>Franchise / Symbol Group</t>
        </is>
      </c>
      <c r="J30" s="5" t="inlineStr">
        <is>
          <t>1</t>
        </is>
      </c>
      <c r="K30" s="5" t="inlineStr"/>
      <c r="L30" s="5" t="inlineStr"/>
      <c r="M30" s="5" t="inlineStr"/>
      <c r="N30" s="5" t="inlineStr"/>
      <c r="O30" s="5" t="inlineStr">
        <is>
          <t>129 Victor Street</t>
        </is>
      </c>
      <c r="P30" s="5" t="inlineStr"/>
      <c r="Q30" s="5" t="inlineStr">
        <is>
          <t>Grimsby</t>
        </is>
      </c>
      <c r="R30" s="5" t="inlineStr">
        <is>
          <t>Lincolnshire</t>
        </is>
      </c>
      <c r="S30" s="5" t="inlineStr"/>
      <c r="T30" s="5" t="inlineStr">
        <is>
          <t>Yorkshire &amp; Humber</t>
        </is>
      </c>
      <c r="U30" s="5" t="inlineStr">
        <is>
          <t>England</t>
        </is>
      </c>
      <c r="V30" s="5" t="inlineStr"/>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groceries; convenience; off-licence; news</t>
        </is>
      </c>
      <c r="AL30" s="5" t="inlineStr"/>
      <c r="AM30" s="5" t="inlineStr">
        <is>
          <t>Convenience Store</t>
        </is>
      </c>
      <c r="AN30" s="5" t="inlineStr"/>
      <c r="AO30" s="5" t="inlineStr">
        <is>
          <t>Nisa symbol-group convenience store, 129 Victor Street, Grimsby. No postcode/phone in search results.</t>
        </is>
      </c>
      <c r="AP30" s="5" t="inlineStr">
        <is>
          <t>Medium</t>
        </is>
      </c>
      <c r="AQ30" s="5" t="inlineStr">
        <is>
          <t>Multi-site retailer; Independent retailer; Relevant category</t>
        </is>
      </c>
      <c r="AR30" s="5" t="inlineStr">
        <is>
          <t>https://www.nisalocally.co.uk/stores/north-east-lincs/grimsby/129-victor-st</t>
        </is>
      </c>
      <c r="AS30" s="5" t="inlineStr"/>
      <c r="AT30" s="5" t="inlineStr">
        <is>
          <t>1</t>
        </is>
      </c>
      <c r="AU30" s="5" t="inlineStr">
        <is>
          <t>No</t>
        </is>
      </c>
      <c r="AV30" s="5" t="inlineStr">
        <is>
          <t>No</t>
        </is>
      </c>
      <c r="AW30" s="5" t="inlineStr">
        <is>
          <t>No</t>
        </is>
      </c>
      <c r="AX30" s="5" t="inlineStr">
        <is>
          <t>No</t>
        </is>
      </c>
      <c r="AY30" s="5" t="inlineStr">
        <is>
          <t>Not Found</t>
        </is>
      </c>
      <c r="AZ30" s="5" t="inlineStr">
        <is>
          <t>Not Found</t>
        </is>
      </c>
      <c r="BA30" s="5" t="inlineStr">
        <is>
          <t>2026-09-16</t>
        </is>
      </c>
      <c r="BB30" s="5" t="inlineStr">
        <is>
          <t>Requires Verification</t>
        </is>
      </c>
      <c r="BC30" s="5" t="inlineStr">
        <is>
          <t>Low</t>
        </is>
      </c>
      <c r="BD30" s="5" t="inlineStr"/>
      <c r="BE30" s="5" t="inlineStr">
        <is>
          <t>Business (B2B)</t>
        </is>
      </c>
      <c r="BF30" s="5" t="inlineStr">
        <is>
          <t>Legitimate interest (B2B) - assess per campaign; PECR: corporate subscribers</t>
        </is>
      </c>
      <c r="BG30" s="5" t="inlineStr"/>
      <c r="BH30" s="5" t="inlineStr">
        <is>
          <t>No</t>
        </is>
      </c>
      <c r="BI30" s="5" t="inlineStr">
        <is>
          <t>2026-09-16</t>
        </is>
      </c>
      <c r="BJ30" s="5" t="inlineStr">
        <is>
          <t>New</t>
        </is>
      </c>
      <c r="BK30" s="5" t="inlineStr">
        <is>
          <t>2026-09-16</t>
        </is>
      </c>
      <c r="BL30" s="5" t="inlineStr"/>
      <c r="BM30" s="5" t="inlineStr"/>
      <c r="BN30" s="5" t="inlineStr"/>
      <c r="BO30" s="5" t="inlineStr"/>
      <c r="BP30" s="5" t="inlineStr"/>
      <c r="BQ30" s="5" t="inlineStr"/>
    </row>
    <row r="31">
      <c r="A31" s="10" t="inlineStr">
        <is>
          <t>UK-000202</t>
        </is>
      </c>
      <c r="B31" s="10" t="inlineStr">
        <is>
          <t>NISA-02</t>
        </is>
      </c>
      <c r="C31" s="10" t="inlineStr">
        <is>
          <t>Nisa</t>
        </is>
      </c>
      <c r="D31" s="10" t="inlineStr">
        <is>
          <t>Nisa Local Cleethorpes (Grimsby Road)</t>
        </is>
      </c>
      <c r="E31" s="10" t="inlineStr">
        <is>
          <t>Nisa Local</t>
        </is>
      </c>
      <c r="F31" s="10" t="inlineStr"/>
      <c r="G31" s="10" t="inlineStr">
        <is>
          <t>Convenience Store</t>
        </is>
      </c>
      <c r="H31" s="10" t="inlineStr">
        <is>
          <t>Symbol-group convenience store</t>
        </is>
      </c>
      <c r="I31" s="10" t="inlineStr">
        <is>
          <t>Franchise / Symbol Group</t>
        </is>
      </c>
      <c r="J31" s="10" t="inlineStr">
        <is>
          <t>1</t>
        </is>
      </c>
      <c r="K31" s="10" t="inlineStr"/>
      <c r="L31" s="10" t="inlineStr"/>
      <c r="M31" s="10" t="inlineStr"/>
      <c r="N31" s="10" t="inlineStr"/>
      <c r="O31" s="10" t="inlineStr">
        <is>
          <t>29-31 Grimsby Road</t>
        </is>
      </c>
      <c r="P31" s="10" t="inlineStr"/>
      <c r="Q31" s="10" t="inlineStr">
        <is>
          <t>Cleethorpes</t>
        </is>
      </c>
      <c r="R31" s="10" t="inlineStr">
        <is>
          <t>Lincolnshire</t>
        </is>
      </c>
      <c r="S31" s="10" t="inlineStr"/>
      <c r="T31" s="10" t="inlineStr">
        <is>
          <t>Yorkshire &amp; Humber</t>
        </is>
      </c>
      <c r="U31" s="10" t="inlineStr">
        <is>
          <t>England</t>
        </is>
      </c>
      <c r="V31" s="10" t="inlineStr"/>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groceries; convenience; off-licence; news</t>
        </is>
      </c>
      <c r="AL31" s="10" t="inlineStr"/>
      <c r="AM31" s="10" t="inlineStr">
        <is>
          <t>Convenience Store</t>
        </is>
      </c>
      <c r="AN31" s="10" t="inlineStr"/>
      <c r="AO31" s="10" t="inlineStr">
        <is>
          <t>Nisa Local symbol-group store, 29-31 Grimsby Road, Cleethorpes. No postcode/phone in search results.</t>
        </is>
      </c>
      <c r="AP31" s="10" t="inlineStr">
        <is>
          <t>Medium</t>
        </is>
      </c>
      <c r="AQ31" s="10" t="inlineStr">
        <is>
          <t>Multi-site retailer; Independent retailer; Relevant category</t>
        </is>
      </c>
      <c r="AR31" s="10" t="inlineStr">
        <is>
          <t>https://ratings.food.gov.uk/business/1631635/nisa-local-grimsby-local-store</t>
        </is>
      </c>
      <c r="AS31" s="10" t="inlineStr"/>
      <c r="AT31" s="10" t="inlineStr">
        <is>
          <t>1</t>
        </is>
      </c>
      <c r="AU31" s="10" t="inlineStr">
        <is>
          <t>No</t>
        </is>
      </c>
      <c r="AV31" s="10" t="inlineStr">
        <is>
          <t>No</t>
        </is>
      </c>
      <c r="AW31" s="10" t="inlineStr">
        <is>
          <t>No</t>
        </is>
      </c>
      <c r="AX31" s="10" t="inlineStr">
        <is>
          <t>No</t>
        </is>
      </c>
      <c r="AY31" s="10" t="inlineStr">
        <is>
          <t>Not Found</t>
        </is>
      </c>
      <c r="AZ31" s="10" t="inlineStr">
        <is>
          <t>Not Found</t>
        </is>
      </c>
      <c r="BA31" s="10" t="inlineStr">
        <is>
          <t>2026-09-16</t>
        </is>
      </c>
      <c r="BB31" s="10" t="inlineStr">
        <is>
          <t>Requires Verification</t>
        </is>
      </c>
      <c r="BC31" s="10" t="inlineStr">
        <is>
          <t>Low</t>
        </is>
      </c>
      <c r="BD31" s="10" t="inlineStr"/>
      <c r="BE31" s="10" t="inlineStr">
        <is>
          <t>Business (B2B)</t>
        </is>
      </c>
      <c r="BF31" s="10" t="inlineStr">
        <is>
          <t>Legitimate interest (B2B) - assess per campaign; PECR: corporate subscribers</t>
        </is>
      </c>
      <c r="BG31" s="10" t="inlineStr"/>
      <c r="BH31" s="10" t="inlineStr">
        <is>
          <t>No</t>
        </is>
      </c>
      <c r="BI31" s="10" t="inlineStr">
        <is>
          <t>2026-09-16</t>
        </is>
      </c>
      <c r="BJ31" s="10" t="inlineStr">
        <is>
          <t>New</t>
        </is>
      </c>
      <c r="BK31" s="10" t="inlineStr">
        <is>
          <t>2026-09-16</t>
        </is>
      </c>
      <c r="BL31" s="10" t="inlineStr"/>
      <c r="BM31" s="10" t="inlineStr"/>
      <c r="BN31" s="10" t="inlineStr"/>
      <c r="BO31" s="10" t="inlineStr"/>
      <c r="BP31" s="10" t="inlineStr"/>
      <c r="BQ31" s="10" t="inlineStr"/>
    </row>
    <row r="32">
      <c r="A32" s="5" t="inlineStr">
        <is>
          <t>UK-000203</t>
        </is>
      </c>
      <c r="B32" s="5" t="inlineStr">
        <is>
          <t>PARFETTSTH-01</t>
        </is>
      </c>
      <c r="C32" s="5" t="inlineStr">
        <is>
          <t>Parfetts / The Local</t>
        </is>
      </c>
      <c r="D32" s="5" t="inlineStr">
        <is>
          <t>The Local (Marfleet Lane)</t>
        </is>
      </c>
      <c r="E32" s="5" t="inlineStr">
        <is>
          <t>The Local</t>
        </is>
      </c>
      <c r="F32" s="5" t="inlineStr"/>
      <c r="G32" s="5" t="inlineStr">
        <is>
          <t>Convenience Store</t>
        </is>
      </c>
      <c r="H32" s="5" t="inlineStr">
        <is>
          <t>Symbol-group convenience store</t>
        </is>
      </c>
      <c r="I32" s="5" t="inlineStr">
        <is>
          <t>Franchise / Symbol Group</t>
        </is>
      </c>
      <c r="J32" s="5" t="inlineStr">
        <is>
          <t>1</t>
        </is>
      </c>
      <c r="K32" s="5" t="inlineStr"/>
      <c r="L32" s="5" t="inlineStr"/>
      <c r="M32" s="5" t="inlineStr"/>
      <c r="N32" s="5" t="inlineStr"/>
      <c r="O32" s="5" t="inlineStr">
        <is>
          <t>Marfleet Lane</t>
        </is>
      </c>
      <c r="P32" s="5" t="inlineStr"/>
      <c r="Q32" s="5" t="inlineStr">
        <is>
          <t>Kingston upon Hull</t>
        </is>
      </c>
      <c r="R32" s="5" t="inlineStr">
        <is>
          <t>East Riding of Yorkshire</t>
        </is>
      </c>
      <c r="S32" s="5" t="inlineStr"/>
      <c r="T32" s="5" t="inlineStr">
        <is>
          <t>Yorkshire &amp; Humber</t>
        </is>
      </c>
      <c r="U32" s="5" t="inlineStr">
        <is>
          <t>England</t>
        </is>
      </c>
      <c r="V32" s="5" t="inlineStr"/>
      <c r="W32" s="5" t="inlineStr"/>
      <c r="X32" s="5" t="inlineStr"/>
      <c r="Y32" s="5" t="inlineStr"/>
      <c r="Z32" s="5" t="inlineStr"/>
      <c r="AA32" s="5" t="inlineStr"/>
      <c r="AB32" s="5" t="inlineStr">
        <is>
          <t>Prasath Balakrishnan</t>
        </is>
      </c>
      <c r="AC32" s="5" t="inlineStr">
        <is>
          <t>Owner</t>
        </is>
      </c>
      <c r="AD32" s="5" t="inlineStr">
        <is>
          <t>Talking Retail / Wholesale Manager trade press (Feb 2024)</t>
        </is>
      </c>
      <c r="AE32" s="5" t="inlineStr"/>
      <c r="AF32" s="5" t="inlineStr"/>
      <c r="AG32" s="5" t="inlineStr"/>
      <c r="AH32" s="5" t="inlineStr"/>
      <c r="AI32" s="5" t="inlineStr"/>
      <c r="AJ32" s="5" t="inlineStr"/>
      <c r="AK32" s="5" t="inlineStr">
        <is>
          <t>groceries; convenience; off-licence; news</t>
        </is>
      </c>
      <c r="AL32" s="5" t="inlineStr"/>
      <c r="AM32" s="5" t="inlineStr">
        <is>
          <t>Convenience Store</t>
        </is>
      </c>
      <c r="AN32" s="5" t="inlineStr"/>
      <c r="AO32" s="5" t="inlineStr">
        <is>
          <t>The Local (Parfetts symbol group) store on Marfleet Lane, Hull, acquired Feb 2024 by owner Prasath Balakrishnan (named in trade press). No postcode/phone in search results.</t>
        </is>
      </c>
      <c r="AP32" s="5" t="inlineStr">
        <is>
          <t>Medium</t>
        </is>
      </c>
      <c r="AQ32" s="5" t="inlineStr">
        <is>
          <t>Multi-site retailer; Independent retailer; Relevant category</t>
        </is>
      </c>
      <c r="AR32" s="5" t="inlineStr">
        <is>
          <t>https://wholesalemanager.co.uk/new-the-local-store-opens-in-hull/</t>
        </is>
      </c>
      <c r="AS32" s="5" t="inlineStr">
        <is>
          <t>https://www.talkingretail.com/stores/retailer-profiles/mini-profile-new-the-local-store-opens-in-hull-11-07-2024/</t>
        </is>
      </c>
      <c r="AT32" s="5" t="inlineStr">
        <is>
          <t>2</t>
        </is>
      </c>
      <c r="AU32" s="5" t="inlineStr">
        <is>
          <t>No</t>
        </is>
      </c>
      <c r="AV32" s="5" t="inlineStr">
        <is>
          <t>No</t>
        </is>
      </c>
      <c r="AW32" s="5" t="inlineStr">
        <is>
          <t>No</t>
        </is>
      </c>
      <c r="AX32" s="5" t="inlineStr">
        <is>
          <t>No</t>
        </is>
      </c>
      <c r="AY32" s="5" t="inlineStr">
        <is>
          <t>Not Found</t>
        </is>
      </c>
      <c r="AZ32" s="5" t="inlineStr">
        <is>
          <t>Not Found</t>
        </is>
      </c>
      <c r="BA32" s="5" t="inlineStr">
        <is>
          <t>2026-09-16</t>
        </is>
      </c>
      <c r="BB32" s="5" t="inlineStr">
        <is>
          <t>Requires Verification</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2026-09-16</t>
        </is>
      </c>
      <c r="BJ32" s="5" t="inlineStr">
        <is>
          <t>New</t>
        </is>
      </c>
      <c r="BK32" s="5" t="inlineStr">
        <is>
          <t>2026-09-16</t>
        </is>
      </c>
      <c r="BL32" s="5" t="inlineStr"/>
      <c r="BM32" s="5" t="inlineStr"/>
      <c r="BN32" s="5" t="inlineStr"/>
      <c r="BO32" s="5" t="inlineStr"/>
      <c r="BP32" s="5" t="inlineStr"/>
      <c r="BQ32" s="5" t="inlineStr"/>
    </row>
    <row r="33">
      <c r="A33" s="10" t="inlineStr">
        <is>
          <t>UK-000204</t>
        </is>
      </c>
      <c r="B33" s="10" t="inlineStr">
        <is>
          <t>PREMIERBOO-01</t>
        </is>
      </c>
      <c r="C33" s="10" t="inlineStr">
        <is>
          <t>Premier (Booker Group)</t>
        </is>
      </c>
      <c r="D33" s="10" t="inlineStr">
        <is>
          <t>Premier Stores Ripon</t>
        </is>
      </c>
      <c r="E33" s="10" t="inlineStr">
        <is>
          <t>Premier Stores</t>
        </is>
      </c>
      <c r="F33" s="10" t="inlineStr"/>
      <c r="G33" s="10" t="inlineStr">
        <is>
          <t>Convenience Store</t>
        </is>
      </c>
      <c r="H33" s="10" t="inlineStr">
        <is>
          <t>Symbol-group convenience store</t>
        </is>
      </c>
      <c r="I33" s="10" t="inlineStr">
        <is>
          <t>Franchise / Symbol Group</t>
        </is>
      </c>
      <c r="J33" s="10" t="inlineStr">
        <is>
          <t>1</t>
        </is>
      </c>
      <c r="K33" s="10" t="inlineStr"/>
      <c r="L33" s="10" t="inlineStr"/>
      <c r="M33" s="10" t="inlineStr"/>
      <c r="N33" s="10" t="inlineStr"/>
      <c r="O33" s="10" t="inlineStr">
        <is>
          <t>64 Bondgate</t>
        </is>
      </c>
      <c r="P33" s="10" t="inlineStr"/>
      <c r="Q33" s="10" t="inlineStr">
        <is>
          <t>Ripon</t>
        </is>
      </c>
      <c r="R33" s="10" t="inlineStr">
        <is>
          <t>North Yorkshire</t>
        </is>
      </c>
      <c r="S33" s="10" t="inlineStr"/>
      <c r="T33" s="10" t="inlineStr">
        <is>
          <t>Yorkshire &amp; Humber</t>
        </is>
      </c>
      <c r="U33" s="10" t="inlineStr">
        <is>
          <t>England</t>
        </is>
      </c>
      <c r="V33" s="10" t="inlineStr"/>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c r="AK33" s="10" t="inlineStr">
        <is>
          <t>convenience groceries; confectionery; soft drinks; tobacco</t>
        </is>
      </c>
      <c r="AL33" s="10" t="inlineStr"/>
      <c r="AM33" s="10" t="inlineStr">
        <is>
          <t>Convenience Store</t>
        </is>
      </c>
      <c r="AN33" s="10" t="inlineStr">
        <is>
          <t>Premier symbol group (supplied by Booker)</t>
        </is>
      </c>
      <c r="AO33" s="10" t="inlineStr">
        <is>
          <t>Independently-owned convenience store trading under the Premier symbol fascia at 64 Bondgate, Ripon (HG4). Full postcode and phone not surfaced in search snippets. From LocalStore directory listing.</t>
        </is>
      </c>
      <c r="AP33" s="10" t="inlineStr">
        <is>
          <t>Medium</t>
        </is>
      </c>
      <c r="AQ33" s="10" t="inlineStr">
        <is>
          <t>Multi-site retailer; Independent retailer; Relevant category</t>
        </is>
      </c>
      <c r="AR33" s="10" t="inlineStr">
        <is>
          <t>https://www.localstore.co.uk/store/394275/premier-stores/ripon/</t>
        </is>
      </c>
      <c r="AS33" s="10" t="inlineStr"/>
      <c r="AT33" s="10" t="inlineStr">
        <is>
          <t>1</t>
        </is>
      </c>
      <c r="AU33" s="10" t="inlineStr">
        <is>
          <t>No</t>
        </is>
      </c>
      <c r="AV33" s="10" t="inlineStr">
        <is>
          <t>No</t>
        </is>
      </c>
      <c r="AW33" s="10" t="inlineStr">
        <is>
          <t>No</t>
        </is>
      </c>
      <c r="AX33" s="10" t="inlineStr">
        <is>
          <t>No</t>
        </is>
      </c>
      <c r="AY33" s="10" t="inlineStr">
        <is>
          <t>Not Found</t>
        </is>
      </c>
      <c r="AZ33" s="10" t="inlineStr">
        <is>
          <t>Not Found</t>
        </is>
      </c>
      <c r="BA33" s="10" t="inlineStr">
        <is>
          <t>2026-09-16</t>
        </is>
      </c>
      <c r="BB33" s="10" t="inlineStr">
        <is>
          <t>Requires Verification</t>
        </is>
      </c>
      <c r="BC33" s="10" t="inlineStr">
        <is>
          <t>Low</t>
        </is>
      </c>
      <c r="BD33" s="10" t="inlineStr"/>
      <c r="BE33" s="10" t="inlineStr">
        <is>
          <t>Business (B2B)</t>
        </is>
      </c>
      <c r="BF33" s="10" t="inlineStr">
        <is>
          <t>Legitimate interest (B2B) - assess per campaign; PECR: corporate subscribers</t>
        </is>
      </c>
      <c r="BG33" s="10" t="inlineStr"/>
      <c r="BH33" s="10" t="inlineStr">
        <is>
          <t>No</t>
        </is>
      </c>
      <c r="BI33" s="10" t="inlineStr">
        <is>
          <t>2026-09-16</t>
        </is>
      </c>
      <c r="BJ33" s="10" t="inlineStr">
        <is>
          <t>New</t>
        </is>
      </c>
      <c r="BK33" s="10" t="inlineStr">
        <is>
          <t>2026-09-16</t>
        </is>
      </c>
      <c r="BL33" s="10" t="inlineStr"/>
      <c r="BM33" s="10" t="inlineStr"/>
      <c r="BN33" s="10" t="inlineStr"/>
      <c r="BO33" s="10" t="inlineStr"/>
      <c r="BP33" s="10" t="inlineStr"/>
      <c r="BQ33" s="10" t="inlineStr"/>
    </row>
    <row r="34">
      <c r="A34" s="5" t="inlineStr">
        <is>
          <t>UK-000205</t>
        </is>
      </c>
      <c r="B34" s="5" t="inlineStr">
        <is>
          <t>PREMIERBOO-01</t>
        </is>
      </c>
      <c r="C34" s="5" t="inlineStr">
        <is>
          <t>Premier (Booker)</t>
        </is>
      </c>
      <c r="D34" s="5" t="inlineStr">
        <is>
          <t>Firth Park Convenience Store</t>
        </is>
      </c>
      <c r="E34" s="5" t="inlineStr">
        <is>
          <t>Firth Park Convenience Store</t>
        </is>
      </c>
      <c r="F34" s="5" t="inlineStr"/>
      <c r="G34" s="5" t="inlineStr">
        <is>
          <t>Convenience Store</t>
        </is>
      </c>
      <c r="H34" s="5" t="inlineStr">
        <is>
          <t>Convenience store (symbol group)</t>
        </is>
      </c>
      <c r="I34" s="5" t="inlineStr">
        <is>
          <t>Franchise / Symbol Group</t>
        </is>
      </c>
      <c r="J34" s="5" t="inlineStr">
        <is>
          <t>1</t>
        </is>
      </c>
      <c r="K34" s="5" t="inlineStr">
        <is>
          <t>https://www.premier-stores.co.uk/our-stores/firth-park-convenience-store</t>
        </is>
      </c>
      <c r="L34" s="5" t="inlineStr"/>
      <c r="M34" s="5" t="inlineStr"/>
      <c r="N34" s="5" t="inlineStr"/>
      <c r="O34" s="5" t="inlineStr">
        <is>
          <t>11-13 Stubbin Lane</t>
        </is>
      </c>
      <c r="P34" s="5" t="inlineStr">
        <is>
          <t>Firth Park</t>
        </is>
      </c>
      <c r="Q34" s="5" t="inlineStr">
        <is>
          <t>Sheffield</t>
        </is>
      </c>
      <c r="R34" s="5" t="inlineStr">
        <is>
          <t>South Yorkshire</t>
        </is>
      </c>
      <c r="S34" s="5" t="inlineStr">
        <is>
          <t>S5 6QG</t>
        </is>
      </c>
      <c r="T34" s="5" t="inlineStr">
        <is>
          <t>Yorkshire &amp; Humber</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groceries; confectionery; soft drinks; alcohol; tobacco</t>
        </is>
      </c>
      <c r="AL34" s="5" t="inlineStr"/>
      <c r="AM34" s="5" t="inlineStr">
        <is>
          <t>Convenience Store</t>
        </is>
      </c>
      <c r="AN34" s="5" t="inlineStr">
        <is>
          <t>Premier symbol group (Booker)</t>
        </is>
      </c>
      <c r="AO34" s="5" t="inlineStr">
        <is>
          <t>Independently owned Premier symbol-group convenience store at 11-13 Stubbin Lane, Firth Park district of Sheffield. Address/postcode from Premier store locator.</t>
        </is>
      </c>
      <c r="AP34" s="5" t="inlineStr">
        <is>
          <t>Medium</t>
        </is>
      </c>
      <c r="AQ34" s="5" t="inlineStr">
        <is>
          <t>Multi-site retailer; Independent retailer; Relevant category; Active website</t>
        </is>
      </c>
      <c r="AR34" s="5" t="inlineStr">
        <is>
          <t>https://www.premier-stores.co.uk/our-stores/firth-park-convenience-store</t>
        </is>
      </c>
      <c r="AS34" s="5" t="inlineStr"/>
      <c r="AT34" s="5" t="inlineStr">
        <is>
          <t>1</t>
        </is>
      </c>
      <c r="AU34" s="5" t="inlineStr">
        <is>
          <t>No</t>
        </is>
      </c>
      <c r="AV34" s="5" t="inlineStr">
        <is>
          <t>No</t>
        </is>
      </c>
      <c r="AW34" s="5" t="inlineStr">
        <is>
          <t>No</t>
        </is>
      </c>
      <c r="AX34" s="5" t="inlineStr">
        <is>
          <t>No</t>
        </is>
      </c>
      <c r="AY34" s="5" t="inlineStr">
        <is>
          <t>Not Found</t>
        </is>
      </c>
      <c r="AZ34" s="5" t="inlineStr">
        <is>
          <t>Not Found</t>
        </is>
      </c>
      <c r="BA34" s="5" t="inlineStr">
        <is>
          <t>2026-09-16</t>
        </is>
      </c>
      <c r="BB34" s="5" t="inlineStr">
        <is>
          <t>Requires Verification</t>
        </is>
      </c>
      <c r="BC34" s="5" t="inlineStr">
        <is>
          <t>Low</t>
        </is>
      </c>
      <c r="BD34" s="5" t="inlineStr"/>
      <c r="BE34" s="5" t="inlineStr">
        <is>
          <t>Business (B2B)</t>
        </is>
      </c>
      <c r="BF34" s="5" t="inlineStr">
        <is>
          <t>Legitimate interest (B2B) - assess per campaign; PECR: corporate subscribers</t>
        </is>
      </c>
      <c r="BG34" s="5" t="inlineStr"/>
      <c r="BH34" s="5" t="inlineStr">
        <is>
          <t>No</t>
        </is>
      </c>
      <c r="BI34" s="5" t="inlineStr">
        <is>
          <t>2026-09-16</t>
        </is>
      </c>
      <c r="BJ34" s="5" t="inlineStr">
        <is>
          <t>New</t>
        </is>
      </c>
      <c r="BK34" s="5" t="inlineStr">
        <is>
          <t>2026-09-16</t>
        </is>
      </c>
      <c r="BL34" s="5" t="inlineStr"/>
      <c r="BM34" s="5" t="inlineStr"/>
      <c r="BN34" s="5" t="inlineStr"/>
      <c r="BO34" s="5" t="inlineStr"/>
      <c r="BP34" s="5" t="inlineStr"/>
      <c r="BQ34" s="5" t="inlineStr"/>
    </row>
    <row r="35">
      <c r="A35" s="10" t="inlineStr">
        <is>
          <t>UK-000206</t>
        </is>
      </c>
      <c r="B35" s="10" t="inlineStr">
        <is>
          <t>PREMIERBOO-02</t>
        </is>
      </c>
      <c r="C35" s="10" t="inlineStr">
        <is>
          <t>Premier (Booker)</t>
        </is>
      </c>
      <c r="D35" s="10" t="inlineStr">
        <is>
          <t>Premier (Grimsby Road, Cleethorpes)</t>
        </is>
      </c>
      <c r="E35" s="10" t="inlineStr">
        <is>
          <t>Premier</t>
        </is>
      </c>
      <c r="F35" s="10" t="inlineStr"/>
      <c r="G35" s="10" t="inlineStr">
        <is>
          <t>Convenience Store</t>
        </is>
      </c>
      <c r="H35" s="10" t="inlineStr">
        <is>
          <t>Symbol-group convenience store</t>
        </is>
      </c>
      <c r="I35" s="10" t="inlineStr">
        <is>
          <t>Franchise / Symbol Group</t>
        </is>
      </c>
      <c r="J35" s="10" t="inlineStr">
        <is>
          <t>1</t>
        </is>
      </c>
      <c r="K35" s="10" t="inlineStr"/>
      <c r="L35" s="10" t="inlineStr"/>
      <c r="M35" s="10" t="inlineStr"/>
      <c r="N35" s="10" t="inlineStr"/>
      <c r="O35" s="10" t="inlineStr">
        <is>
          <t>141-143 Grimsby Road</t>
        </is>
      </c>
      <c r="P35" s="10" t="inlineStr"/>
      <c r="Q35" s="10" t="inlineStr">
        <is>
          <t>Cleethorpes</t>
        </is>
      </c>
      <c r="R35" s="10" t="inlineStr">
        <is>
          <t>Lincolnshire</t>
        </is>
      </c>
      <c r="S35" s="10" t="inlineStr"/>
      <c r="T35" s="10" t="inlineStr">
        <is>
          <t>Yorkshire &amp; Humber</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groceries; convenience; off-licence; news</t>
        </is>
      </c>
      <c r="AL35" s="10" t="inlineStr"/>
      <c r="AM35" s="10" t="inlineStr">
        <is>
          <t>Convenience Store</t>
        </is>
      </c>
      <c r="AN35" s="10" t="inlineStr"/>
      <c r="AO35" s="10" t="inlineStr">
        <is>
          <t>Premier symbol-group convenience store, 141-143 Grimsby Road, Cleethorpes. No postcode/phone in search results.</t>
        </is>
      </c>
      <c r="AP35" s="10" t="inlineStr">
        <is>
          <t>Medium</t>
        </is>
      </c>
      <c r="AQ35" s="10" t="inlineStr">
        <is>
          <t>Multi-site retailer; Independent retailer; Relevant category</t>
        </is>
      </c>
      <c r="AR35" s="10" t="inlineStr">
        <is>
          <t>https://www.premier-stores.co.uk/our-stores/grimsby-road</t>
        </is>
      </c>
      <c r="AS35" s="10" t="inlineStr"/>
      <c r="AT35" s="10" t="inlineStr">
        <is>
          <t>1</t>
        </is>
      </c>
      <c r="AU35" s="10" t="inlineStr">
        <is>
          <t>No</t>
        </is>
      </c>
      <c r="AV35" s="10" t="inlineStr">
        <is>
          <t>No</t>
        </is>
      </c>
      <c r="AW35" s="10" t="inlineStr">
        <is>
          <t>No</t>
        </is>
      </c>
      <c r="AX35" s="10" t="inlineStr">
        <is>
          <t>No</t>
        </is>
      </c>
      <c r="AY35" s="10" t="inlineStr">
        <is>
          <t>Not Found</t>
        </is>
      </c>
      <c r="AZ35" s="10" t="inlineStr">
        <is>
          <t>Not Found</t>
        </is>
      </c>
      <c r="BA35" s="10" t="inlineStr">
        <is>
          <t>2026-09-16</t>
        </is>
      </c>
      <c r="BB35" s="10" t="inlineStr">
        <is>
          <t>Requires Verification</t>
        </is>
      </c>
      <c r="BC35" s="10" t="inlineStr">
        <is>
          <t>Low</t>
        </is>
      </c>
      <c r="BD35" s="10" t="inlineStr"/>
      <c r="BE35" s="10" t="inlineStr">
        <is>
          <t>Business (B2B)</t>
        </is>
      </c>
      <c r="BF35" s="10" t="inlineStr">
        <is>
          <t>Legitimate interest (B2B) - assess per campaign; PECR: corporate subscribers</t>
        </is>
      </c>
      <c r="BG35" s="10" t="inlineStr"/>
      <c r="BH35" s="10" t="inlineStr">
        <is>
          <t>No</t>
        </is>
      </c>
      <c r="BI35" s="10" t="inlineStr">
        <is>
          <t>2026-09-16</t>
        </is>
      </c>
      <c r="BJ35" s="10" t="inlineStr">
        <is>
          <t>New</t>
        </is>
      </c>
      <c r="BK35" s="10" t="inlineStr">
        <is>
          <t>2026-09-16</t>
        </is>
      </c>
      <c r="BL35" s="10" t="inlineStr"/>
      <c r="BM35" s="10" t="inlineStr"/>
      <c r="BN35" s="10" t="inlineStr"/>
      <c r="BO35" s="10" t="inlineStr"/>
      <c r="BP35" s="10" t="inlineStr"/>
      <c r="BQ35" s="10" t="inlineStr"/>
    </row>
    <row r="36">
      <c r="A36" s="5" t="inlineStr">
        <is>
          <t>UK-000207</t>
        </is>
      </c>
      <c r="B36" s="5" t="inlineStr">
        <is>
          <t>PREMIERBOO-03</t>
        </is>
      </c>
      <c r="C36" s="5" t="inlineStr">
        <is>
          <t>Premier (Booker)</t>
        </is>
      </c>
      <c r="D36" s="5" t="inlineStr">
        <is>
          <t>Premier Mexborough Convenience Store</t>
        </is>
      </c>
      <c r="E36" s="5" t="inlineStr">
        <is>
          <t>Premier Mexborough Convenience</t>
        </is>
      </c>
      <c r="F36" s="5" t="inlineStr"/>
      <c r="G36" s="5" t="inlineStr">
        <is>
          <t>Convenience Store</t>
        </is>
      </c>
      <c r="H36" s="5" t="inlineStr">
        <is>
          <t>Convenience store (symbol group)</t>
        </is>
      </c>
      <c r="I36" s="5" t="inlineStr">
        <is>
          <t>Franchise / Symbol Group</t>
        </is>
      </c>
      <c r="J36" s="5" t="inlineStr">
        <is>
          <t>1</t>
        </is>
      </c>
      <c r="K36" s="5" t="inlineStr">
        <is>
          <t>https://www.premier-stores.co.uk/our-stores/mexborough-convenience-store</t>
        </is>
      </c>
      <c r="L36" s="5" t="inlineStr">
        <is>
          <t>https://www.facebook.com/p/Premier-Mexborough-Convenience-Store-100068015556730/</t>
        </is>
      </c>
      <c r="M36" s="5" t="inlineStr"/>
      <c r="N36" s="5" t="inlineStr"/>
      <c r="O36" s="5" t="inlineStr">
        <is>
          <t>41-43 Wath Road</t>
        </is>
      </c>
      <c r="P36" s="5" t="inlineStr"/>
      <c r="Q36" s="5" t="inlineStr">
        <is>
          <t>Mexborough</t>
        </is>
      </c>
      <c r="R36" s="5" t="inlineStr">
        <is>
          <t>South Yorkshire</t>
        </is>
      </c>
      <c r="S36" s="5" t="inlineStr">
        <is>
          <t>S64 9QZ</t>
        </is>
      </c>
      <c r="T36" s="5" t="inlineStr">
        <is>
          <t>Yorkshire &amp; Humber</t>
        </is>
      </c>
      <c r="U36" s="5" t="inlineStr">
        <is>
          <t>England</t>
        </is>
      </c>
      <c r="V36" s="5" t="inlineStr">
        <is>
          <t>01709 581369</t>
        </is>
      </c>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groceries; newspapers; PayPoint; lottery; alcohol; tobacco</t>
        </is>
      </c>
      <c r="AL36" s="5" t="inlineStr"/>
      <c r="AM36" s="5" t="inlineStr">
        <is>
          <t>Convenience Store</t>
        </is>
      </c>
      <c r="AN36" s="5" t="inlineStr">
        <is>
          <t>Premier symbol group (Booker)</t>
        </is>
      </c>
      <c r="AO36" s="5" t="inlineStr">
        <is>
          <t>Independently owned Premier symbol-group convenience store at 41-43 Wath Road, Mexborough. Offers PayPoint, lottery, newspapers, Evri parcel shop, Western Union. Address/postcode/phone from Premier store page and food hygiene listing.</t>
        </is>
      </c>
      <c r="AP36" s="5" t="inlineStr">
        <is>
          <t>High</t>
        </is>
      </c>
      <c r="AQ36" s="5" t="inlineStr">
        <is>
          <t>Multi-site retailer; Independent retailer; Relevant category; Active website; Social presence</t>
        </is>
      </c>
      <c r="AR36" s="5" t="inlineStr">
        <is>
          <t>https://www.premier-stores.co.uk/our-stores/mexborough-convenience-store</t>
        </is>
      </c>
      <c r="AS36" s="5" t="inlineStr">
        <is>
          <t>https://ratings.food.gov.uk/business/763850</t>
        </is>
      </c>
      <c r="AT36" s="5" t="inlineStr">
        <is>
          <t>2</t>
        </is>
      </c>
      <c r="AU36" s="5" t="inlineStr">
        <is>
          <t>No</t>
        </is>
      </c>
      <c r="AV36" s="5" t="inlineStr">
        <is>
          <t>No</t>
        </is>
      </c>
      <c r="AW36" s="5" t="inlineStr">
        <is>
          <t>No</t>
        </is>
      </c>
      <c r="AX36" s="5" t="inlineStr">
        <is>
          <t>No</t>
        </is>
      </c>
      <c r="AY36" s="5" t="inlineStr">
        <is>
          <t>Verified directory</t>
        </is>
      </c>
      <c r="AZ36" s="5" t="inlineStr">
        <is>
          <t>Not Found</t>
        </is>
      </c>
      <c r="BA36" s="5" t="inlineStr">
        <is>
          <t>2026-09-16</t>
        </is>
      </c>
      <c r="BB36" s="5" t="inlineStr">
        <is>
          <t>Requires Verification</t>
        </is>
      </c>
      <c r="BC36" s="5" t="inlineStr">
        <is>
          <t>Medium</t>
        </is>
      </c>
      <c r="BD36" s="5" t="inlineStr"/>
      <c r="BE36" s="5" t="inlineStr">
        <is>
          <t>Business (B2B)</t>
        </is>
      </c>
      <c r="BF36" s="5" t="inlineStr">
        <is>
          <t>Legitimate interest (B2B) - assess per campaign; PECR: corporate subscribers</t>
        </is>
      </c>
      <c r="BG36" s="5" t="inlineStr"/>
      <c r="BH36" s="5" t="inlineStr">
        <is>
          <t>No</t>
        </is>
      </c>
      <c r="BI36" s="5" t="inlineStr">
        <is>
          <t>2026-09-16</t>
        </is>
      </c>
      <c r="BJ36" s="5" t="inlineStr">
        <is>
          <t>New</t>
        </is>
      </c>
      <c r="BK36" s="5" t="inlineStr">
        <is>
          <t>2026-09-16</t>
        </is>
      </c>
      <c r="BL36" s="5" t="inlineStr"/>
      <c r="BM36" s="5" t="inlineStr"/>
      <c r="BN36" s="5" t="inlineStr"/>
      <c r="BO36" s="5" t="inlineStr"/>
      <c r="BP36" s="5" t="inlineStr"/>
      <c r="BQ36" s="5" t="inlineStr"/>
    </row>
    <row r="37">
      <c r="A37" s="10" t="inlineStr">
        <is>
          <t>UK-000208</t>
        </is>
      </c>
      <c r="B37" s="10" t="inlineStr">
        <is>
          <t>PREMIERBOO-04</t>
        </is>
      </c>
      <c r="C37" s="10" t="inlineStr">
        <is>
          <t>Premier (Booker)</t>
        </is>
      </c>
      <c r="D37" s="10" t="inlineStr">
        <is>
          <t>Premier Super Convenience Store Barnsley</t>
        </is>
      </c>
      <c r="E37" s="10" t="inlineStr">
        <is>
          <t>Premier Super Convenience Store</t>
        </is>
      </c>
      <c r="F37" s="10" t="inlineStr"/>
      <c r="G37" s="10" t="inlineStr">
        <is>
          <t>Convenience Store</t>
        </is>
      </c>
      <c r="H37" s="10" t="inlineStr">
        <is>
          <t>Convenience store (symbol group)</t>
        </is>
      </c>
      <c r="I37" s="10" t="inlineStr">
        <is>
          <t>Franchise / Symbol Group</t>
        </is>
      </c>
      <c r="J37" s="10" t="inlineStr">
        <is>
          <t>1</t>
        </is>
      </c>
      <c r="K37" s="10" t="inlineStr"/>
      <c r="L37" s="10" t="inlineStr">
        <is>
          <t>https://web.facebook.com/premier3840/</t>
        </is>
      </c>
      <c r="M37" s="10" t="inlineStr"/>
      <c r="N37" s="10" t="inlineStr"/>
      <c r="O37" s="10" t="inlineStr">
        <is>
          <t>38-40 Dodworth Road</t>
        </is>
      </c>
      <c r="P37" s="10" t="inlineStr"/>
      <c r="Q37" s="10" t="inlineStr">
        <is>
          <t>Barnsley</t>
        </is>
      </c>
      <c r="R37" s="10" t="inlineStr">
        <is>
          <t>South Yorkshire</t>
        </is>
      </c>
      <c r="S37" s="10" t="inlineStr"/>
      <c r="T37" s="10" t="inlineStr">
        <is>
          <t>Yorkshire &amp; Humber</t>
        </is>
      </c>
      <c r="U37" s="10" t="inlineStr">
        <is>
          <t>England</t>
        </is>
      </c>
      <c r="V37" s="10" t="inlineStr"/>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c r="AK37" s="10" t="inlineStr">
        <is>
          <t>groceries; confectionery; soft drinks; alcohol; tobacco</t>
        </is>
      </c>
      <c r="AL37" s="10" t="inlineStr"/>
      <c r="AM37" s="10" t="inlineStr">
        <is>
          <t>Convenience Store</t>
        </is>
      </c>
      <c r="AN37" s="10" t="inlineStr">
        <is>
          <t>Premier symbol group (Booker)</t>
        </is>
      </c>
      <c r="AO37" s="10" t="inlineStr">
        <is>
          <t>Independently owned Premier symbol-group convenience store at 38-40 Dodworth Road, Barnsley. Facebook page found; postcode not captured.</t>
        </is>
      </c>
      <c r="AP37" s="10" t="inlineStr">
        <is>
          <t>Medium</t>
        </is>
      </c>
      <c r="AQ37" s="10" t="inlineStr">
        <is>
          <t>Multi-site retailer; Independent retailer; Relevant category; Social presence</t>
        </is>
      </c>
      <c r="AR37" s="10" t="inlineStr">
        <is>
          <t>https://web.facebook.com/premier3840/</t>
        </is>
      </c>
      <c r="AS37" s="10" t="inlineStr"/>
      <c r="AT37" s="10" t="inlineStr">
        <is>
          <t>1</t>
        </is>
      </c>
      <c r="AU37" s="10" t="inlineStr">
        <is>
          <t>No</t>
        </is>
      </c>
      <c r="AV37" s="10" t="inlineStr">
        <is>
          <t>No</t>
        </is>
      </c>
      <c r="AW37" s="10" t="inlineStr">
        <is>
          <t>No</t>
        </is>
      </c>
      <c r="AX37" s="10" t="inlineStr">
        <is>
          <t>No</t>
        </is>
      </c>
      <c r="AY37" s="10" t="inlineStr">
        <is>
          <t>Not Found</t>
        </is>
      </c>
      <c r="AZ37" s="10" t="inlineStr">
        <is>
          <t>Not Found</t>
        </is>
      </c>
      <c r="BA37" s="10" t="inlineStr">
        <is>
          <t>2026-09-16</t>
        </is>
      </c>
      <c r="BB37" s="10" t="inlineStr">
        <is>
          <t>Requires Verification</t>
        </is>
      </c>
      <c r="BC37" s="10" t="inlineStr">
        <is>
          <t>Low</t>
        </is>
      </c>
      <c r="BD37" s="10" t="inlineStr"/>
      <c r="BE37" s="10" t="inlineStr">
        <is>
          <t>Business (B2B)</t>
        </is>
      </c>
      <c r="BF37" s="10" t="inlineStr">
        <is>
          <t>Legitimate interest (B2B) - assess per campaign; PECR: corporate subscribers</t>
        </is>
      </c>
      <c r="BG37" s="10" t="inlineStr"/>
      <c r="BH37" s="10" t="inlineStr">
        <is>
          <t>No</t>
        </is>
      </c>
      <c r="BI37" s="10" t="inlineStr">
        <is>
          <t>2026-09-16</t>
        </is>
      </c>
      <c r="BJ37" s="10" t="inlineStr">
        <is>
          <t>New</t>
        </is>
      </c>
      <c r="BK37" s="10" t="inlineStr">
        <is>
          <t>2026-09-16</t>
        </is>
      </c>
      <c r="BL37" s="10" t="inlineStr"/>
      <c r="BM37" s="10" t="inlineStr"/>
      <c r="BN37" s="10" t="inlineStr"/>
      <c r="BO37" s="10" t="inlineStr"/>
      <c r="BP37" s="10" t="inlineStr"/>
      <c r="BQ37" s="10" t="inlineStr"/>
    </row>
    <row r="38">
      <c r="A38" s="5" t="inlineStr">
        <is>
          <t>UK-000209</t>
        </is>
      </c>
      <c r="B38" s="5" t="inlineStr">
        <is>
          <t>PREMIERBOO-05</t>
        </is>
      </c>
      <c r="C38" s="5" t="inlineStr">
        <is>
          <t>Premier (Booker)</t>
        </is>
      </c>
      <c r="D38" s="5" t="inlineStr">
        <is>
          <t>Premier Wombwell Convenience Store</t>
        </is>
      </c>
      <c r="E38" s="5" t="inlineStr">
        <is>
          <t>Premier Wombwell Convenience</t>
        </is>
      </c>
      <c r="F38" s="5" t="inlineStr"/>
      <c r="G38" s="5" t="inlineStr">
        <is>
          <t>Convenience Store</t>
        </is>
      </c>
      <c r="H38" s="5" t="inlineStr">
        <is>
          <t>Convenience store (symbol group)</t>
        </is>
      </c>
      <c r="I38" s="5" t="inlineStr">
        <is>
          <t>Franchise / Symbol Group</t>
        </is>
      </c>
      <c r="J38" s="5" t="inlineStr">
        <is>
          <t>1</t>
        </is>
      </c>
      <c r="K38" s="5" t="inlineStr">
        <is>
          <t>https://www.premier-stores.co.uk/our-stores/wombwell-convenience-store</t>
        </is>
      </c>
      <c r="L38" s="5" t="inlineStr"/>
      <c r="M38" s="5" t="inlineStr"/>
      <c r="N38" s="5" t="inlineStr"/>
      <c r="O38" s="5" t="inlineStr">
        <is>
          <t>2 Pearson Crescent</t>
        </is>
      </c>
      <c r="P38" s="5" t="inlineStr">
        <is>
          <t>Wombwell</t>
        </is>
      </c>
      <c r="Q38" s="5" t="inlineStr">
        <is>
          <t>Barnsley</t>
        </is>
      </c>
      <c r="R38" s="5" t="inlineStr">
        <is>
          <t>South Yorkshire</t>
        </is>
      </c>
      <c r="S38" s="5" t="inlineStr">
        <is>
          <t>S73 8SN</t>
        </is>
      </c>
      <c r="T38" s="5" t="inlineStr">
        <is>
          <t>Yorkshire &amp; Humber</t>
        </is>
      </c>
      <c r="U38" s="5" t="inlineStr">
        <is>
          <t>England</t>
        </is>
      </c>
      <c r="V38" s="5" t="inlineStr"/>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groceries; confectionery; soft drinks; alcohol; tobacco</t>
        </is>
      </c>
      <c r="AL38" s="5" t="inlineStr"/>
      <c r="AM38" s="5" t="inlineStr">
        <is>
          <t>Convenience Store</t>
        </is>
      </c>
      <c r="AN38" s="5" t="inlineStr">
        <is>
          <t>Premier symbol group (Booker)</t>
        </is>
      </c>
      <c r="AO38" s="5" t="inlineStr">
        <is>
          <t>Independently owned Premier symbol-group convenience store at 2 Pearson Crescent, Wombwell (Barnsley). Address/postcode from Premier store locator.</t>
        </is>
      </c>
      <c r="AP38" s="5" t="inlineStr">
        <is>
          <t>Medium</t>
        </is>
      </c>
      <c r="AQ38" s="5" t="inlineStr">
        <is>
          <t>Multi-site retailer; Independent retailer; Relevant category; Active website</t>
        </is>
      </c>
      <c r="AR38" s="5" t="inlineStr">
        <is>
          <t>https://www.premier-stores.co.uk/our-stores/wombwell-convenience-store</t>
        </is>
      </c>
      <c r="AS38" s="5" t="inlineStr"/>
      <c r="AT38" s="5" t="inlineStr">
        <is>
          <t>1</t>
        </is>
      </c>
      <c r="AU38" s="5" t="inlineStr">
        <is>
          <t>No</t>
        </is>
      </c>
      <c r="AV38" s="5" t="inlineStr">
        <is>
          <t>No</t>
        </is>
      </c>
      <c r="AW38" s="5" t="inlineStr">
        <is>
          <t>No</t>
        </is>
      </c>
      <c r="AX38" s="5" t="inlineStr">
        <is>
          <t>No</t>
        </is>
      </c>
      <c r="AY38" s="5" t="inlineStr">
        <is>
          <t>Not Found</t>
        </is>
      </c>
      <c r="AZ38" s="5" t="inlineStr">
        <is>
          <t>Not Found</t>
        </is>
      </c>
      <c r="BA38" s="5" t="inlineStr">
        <is>
          <t>2026-09-16</t>
        </is>
      </c>
      <c r="BB38" s="5" t="inlineStr">
        <is>
          <t>Requires Verification</t>
        </is>
      </c>
      <c r="BC38" s="5" t="inlineStr">
        <is>
          <t>Low</t>
        </is>
      </c>
      <c r="BD38" s="5" t="inlineStr"/>
      <c r="BE38" s="5" t="inlineStr">
        <is>
          <t>Business (B2B)</t>
        </is>
      </c>
      <c r="BF38" s="5" t="inlineStr">
        <is>
          <t>Legitimate interest (B2B) - assess per campaign; PECR: corporate subscribers</t>
        </is>
      </c>
      <c r="BG38" s="5" t="inlineStr"/>
      <c r="BH38" s="5" t="inlineStr">
        <is>
          <t>No</t>
        </is>
      </c>
      <c r="BI38" s="5" t="inlineStr">
        <is>
          <t>2026-09-16</t>
        </is>
      </c>
      <c r="BJ38" s="5" t="inlineStr">
        <is>
          <t>New</t>
        </is>
      </c>
      <c r="BK38" s="5" t="inlineStr">
        <is>
          <t>2026-09-16</t>
        </is>
      </c>
      <c r="BL38" s="5" t="inlineStr"/>
      <c r="BM38" s="5" t="inlineStr"/>
      <c r="BN38" s="5" t="inlineStr"/>
      <c r="BO38" s="5" t="inlineStr"/>
      <c r="BP38" s="5" t="inlineStr"/>
      <c r="BQ38" s="5" t="inlineStr"/>
    </row>
    <row r="39">
      <c r="A39" s="10" t="inlineStr">
        <is>
          <t>UK-000210</t>
        </is>
      </c>
      <c r="B39" s="10" t="inlineStr">
        <is>
          <t>PREMIERBOO-06</t>
        </is>
      </c>
      <c r="C39" s="10" t="inlineStr">
        <is>
          <t>Premier (Booker)</t>
        </is>
      </c>
      <c r="D39" s="10" t="inlineStr">
        <is>
          <t>Sheffield Road Premier Convenience Store</t>
        </is>
      </c>
      <c r="E39" s="10" t="inlineStr">
        <is>
          <t>Sheffield Road Premier Convenience Store</t>
        </is>
      </c>
      <c r="F39" s="10" t="inlineStr"/>
      <c r="G39" s="10" t="inlineStr">
        <is>
          <t>Convenience Store</t>
        </is>
      </c>
      <c r="H39" s="10" t="inlineStr">
        <is>
          <t>Convenience store (symbol group)</t>
        </is>
      </c>
      <c r="I39" s="10" t="inlineStr">
        <is>
          <t>Franchise / Symbol Group</t>
        </is>
      </c>
      <c r="J39" s="10" t="inlineStr">
        <is>
          <t>1</t>
        </is>
      </c>
      <c r="K39" s="10" t="inlineStr"/>
      <c r="L39" s="10" t="inlineStr"/>
      <c r="M39" s="10" t="inlineStr"/>
      <c r="N39" s="10" t="inlineStr"/>
      <c r="O39" s="10" t="inlineStr">
        <is>
          <t>110-112 Sheffield Road</t>
        </is>
      </c>
      <c r="P39" s="10" t="inlineStr"/>
      <c r="Q39" s="10" t="inlineStr">
        <is>
          <t>Barnsley</t>
        </is>
      </c>
      <c r="R39" s="10" t="inlineStr">
        <is>
          <t>South Yorkshire</t>
        </is>
      </c>
      <c r="S39" s="10" t="inlineStr">
        <is>
          <t>S70 1JB</t>
        </is>
      </c>
      <c r="T39" s="10" t="inlineStr">
        <is>
          <t>Yorkshire &amp; Humber</t>
        </is>
      </c>
      <c r="U39" s="10" t="inlineStr">
        <is>
          <t>England</t>
        </is>
      </c>
      <c r="V39" s="10" t="inlineStr"/>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groceries; confectionery; soft drinks; alcohol; tobacco</t>
        </is>
      </c>
      <c r="AL39" s="10" t="inlineStr"/>
      <c r="AM39" s="10" t="inlineStr">
        <is>
          <t>Convenience Store</t>
        </is>
      </c>
      <c r="AN39" s="10" t="inlineStr">
        <is>
          <t>Premier symbol group (Booker)</t>
        </is>
      </c>
      <c r="AO39" s="10" t="inlineStr">
        <is>
          <t>Premier symbol-group convenience store at 110-112 Sheffield Road, Barnsley S70 1JB (subject of a Barnsley Council premises licence application). Independently owned.</t>
        </is>
      </c>
      <c r="AP39" s="10" t="inlineStr">
        <is>
          <t>Medium</t>
        </is>
      </c>
      <c r="AQ39" s="10" t="inlineStr">
        <is>
          <t>Multi-site retailer; Independent retailer; Relevant category</t>
        </is>
      </c>
      <c r="AR39" s="10" t="inlineStr">
        <is>
          <t>https://www.barnsley.gov.uk/services/licences-and-permissions/premises-licences/pending-premises-licence-applications/sheffield-road-premier-convenience-store-application-for-a-new-premises-licence</t>
        </is>
      </c>
      <c r="AS39" s="10" t="inlineStr"/>
      <c r="AT39" s="10" t="inlineStr">
        <is>
          <t>1</t>
        </is>
      </c>
      <c r="AU39" s="10" t="inlineStr">
        <is>
          <t>No</t>
        </is>
      </c>
      <c r="AV39" s="10" t="inlineStr">
        <is>
          <t>No</t>
        </is>
      </c>
      <c r="AW39" s="10" t="inlineStr">
        <is>
          <t>No</t>
        </is>
      </c>
      <c r="AX39" s="10" t="inlineStr">
        <is>
          <t>No</t>
        </is>
      </c>
      <c r="AY39" s="10" t="inlineStr">
        <is>
          <t>Not Found</t>
        </is>
      </c>
      <c r="AZ39" s="10" t="inlineStr">
        <is>
          <t>Not Found</t>
        </is>
      </c>
      <c r="BA39" s="10" t="inlineStr">
        <is>
          <t>2026-09-16</t>
        </is>
      </c>
      <c r="BB39" s="10" t="inlineStr">
        <is>
          <t>Requires Verification</t>
        </is>
      </c>
      <c r="BC39" s="10" t="inlineStr">
        <is>
          <t>Low</t>
        </is>
      </c>
      <c r="BD39" s="10" t="inlineStr"/>
      <c r="BE39" s="10" t="inlineStr">
        <is>
          <t>Business (B2B)</t>
        </is>
      </c>
      <c r="BF39" s="10" t="inlineStr">
        <is>
          <t>Legitimate interest (B2B) - assess per campaign; PECR: corporate subscribers</t>
        </is>
      </c>
      <c r="BG39" s="10" t="inlineStr"/>
      <c r="BH39" s="10" t="inlineStr">
        <is>
          <t>No</t>
        </is>
      </c>
      <c r="BI39" s="10" t="inlineStr">
        <is>
          <t>2026-09-16</t>
        </is>
      </c>
      <c r="BJ39" s="10" t="inlineStr">
        <is>
          <t>New</t>
        </is>
      </c>
      <c r="BK39" s="10" t="inlineStr">
        <is>
          <t>2026-09-16</t>
        </is>
      </c>
      <c r="BL39" s="10" t="inlineStr"/>
      <c r="BM39" s="10" t="inlineStr"/>
      <c r="BN39" s="10" t="inlineStr"/>
      <c r="BO39" s="10" t="inlineStr"/>
      <c r="BP39" s="10" t="inlineStr"/>
      <c r="BQ39" s="10" t="inlineStr"/>
    </row>
    <row r="40">
      <c r="A40" s="5" t="inlineStr">
        <is>
          <t>WY-0022</t>
        </is>
      </c>
      <c r="B40" s="5" t="inlineStr">
        <is>
          <t>SMKD-01</t>
        </is>
      </c>
      <c r="C40" s="5" t="inlineStr">
        <is>
          <t>SMKD</t>
        </is>
      </c>
      <c r="D40" s="5" t="inlineStr">
        <is>
          <t>SMKD</t>
        </is>
      </c>
      <c r="E40" s="5" t="inlineStr">
        <is>
          <t>SMKD Halifax</t>
        </is>
      </c>
      <c r="F40" s="5" t="inlineStr">
        <is>
          <t>SMKD VAPE LIMITED</t>
        </is>
      </c>
      <c r="G40" s="5" t="inlineStr">
        <is>
          <t>Vape Shop</t>
        </is>
      </c>
      <c r="H40" s="5" t="inlineStr">
        <is>
          <t>Vape chain store</t>
        </is>
      </c>
      <c r="I40" s="5" t="inlineStr">
        <is>
          <t>Regional Chain</t>
        </is>
      </c>
      <c r="J40" s="5" t="inlineStr"/>
      <c r="K40" s="5" t="inlineStr">
        <is>
          <t>https://smkd.com/vape-shop-locator/smkd-halifax-vape-shop-market-street/</t>
        </is>
      </c>
      <c r="L40" s="5" t="inlineStr">
        <is>
          <t>https://www.facebook.com/SmkdVapeShop/</t>
        </is>
      </c>
      <c r="M40" s="5" t="inlineStr"/>
      <c r="N40" s="5" t="inlineStr"/>
      <c r="O40" s="5" t="inlineStr">
        <is>
          <t>31-32 Market Street</t>
        </is>
      </c>
      <c r="P40" s="5" t="inlineStr">
        <is>
          <t>Borough Market</t>
        </is>
      </c>
      <c r="Q40" s="5" t="inlineStr">
        <is>
          <t>Halifax</t>
        </is>
      </c>
      <c r="R40" s="5" t="inlineStr">
        <is>
          <t>West Yorkshire</t>
        </is>
      </c>
      <c r="S40" s="5" t="inlineStr">
        <is>
          <t>HX1 1DZ</t>
        </is>
      </c>
      <c r="T40" s="5" t="inlineStr">
        <is>
          <t>Yorkshire &amp; Humber</t>
        </is>
      </c>
      <c r="U40" s="5" t="inlineStr">
        <is>
          <t>England</t>
        </is>
      </c>
      <c r="V40" s="5" t="inlineStr"/>
      <c r="W40" s="5" t="inlineStr"/>
      <c r="X40" s="5" t="inlineStr"/>
      <c r="Y40" s="5" t="inlineStr">
        <is>
          <t>info@smkd.com</t>
        </is>
      </c>
      <c r="Z40" s="5" t="inlineStr"/>
      <c r="AA40" s="5" t="inlineStr"/>
      <c r="AB40" s="5" t="inlineStr"/>
      <c r="AC40" s="5" t="inlineStr"/>
      <c r="AD40" s="5" t="inlineStr"/>
      <c r="AE40" s="5" t="inlineStr">
        <is>
          <t>16161027</t>
        </is>
      </c>
      <c r="AF40" s="5" t="inlineStr">
        <is>
          <t>Active</t>
        </is>
      </c>
      <c r="AG40" s="5" t="inlineStr">
        <is>
          <t>SMKD VAPE LIMITED</t>
        </is>
      </c>
      <c r="AH40" s="5" t="inlineStr">
        <is>
          <t>Bradford Chamber Business Park, New Lane, Laisterdyke, Bradford, BD4 8BX</t>
        </is>
      </c>
      <c r="AI40" s="5" t="inlineStr">
        <is>
          <t>2025-01-03</t>
        </is>
      </c>
      <c r="AJ40" s="5" t="inlineStr"/>
      <c r="AK40" s="5" t="inlineStr">
        <is>
          <t>vape hardware; e-liquids; disposables</t>
        </is>
      </c>
      <c r="AL40" s="5" t="inlineStr"/>
      <c r="AM40" s="5" t="inlineStr">
        <is>
          <t>Vape Shop</t>
        </is>
      </c>
      <c r="AN40" s="5" t="inlineStr"/>
      <c r="AO40" s="5"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40" s="5" t="inlineStr">
        <is>
          <t>High</t>
        </is>
      </c>
      <c r="AQ40" s="5" t="inlineStr">
        <is>
          <t>Multi-site retailer; Core relevant category; Public email available; Active website; Social presence</t>
        </is>
      </c>
      <c r="AR40" s="5" t="inlineStr">
        <is>
          <t>https://smkd.com/vape-shop-locator/smkd-halifax-vape-shop-market-street/</t>
        </is>
      </c>
      <c r="AS40" s="5" t="inlineStr">
        <is>
          <t>https://www.ukmalls.co.uk/shopping-centres/england/yorkshire-and-the-humber/halifax/halifax-borough-market/smkd-e-cigarettes-and-vape-shop-halifax</t>
        </is>
      </c>
      <c r="AT40" s="5" t="inlineStr">
        <is>
          <t>2</t>
        </is>
      </c>
      <c r="AU40" s="5" t="inlineStr">
        <is>
          <t>No</t>
        </is>
      </c>
      <c r="AV40" s="5" t="inlineStr">
        <is>
          <t>No</t>
        </is>
      </c>
      <c r="AW40" s="5" t="inlineStr">
        <is>
          <t>Yes</t>
        </is>
      </c>
      <c r="AX40" s="5" t="inlineStr">
        <is>
          <t>Yes</t>
        </is>
      </c>
      <c r="AY40" s="5" t="inlineStr">
        <is>
          <t>Not Found</t>
        </is>
      </c>
      <c r="AZ40" s="5" t="inlineStr">
        <is>
          <t>Website Found</t>
        </is>
      </c>
      <c r="BA40" s="5" t="inlineStr">
        <is>
          <t>2026-09-16</t>
        </is>
      </c>
      <c r="BB40" s="5" t="inlineStr">
        <is>
          <t>Partially Verified</t>
        </is>
      </c>
      <c r="BC40" s="5" t="inlineStr">
        <is>
          <t>Medium</t>
        </is>
      </c>
      <c r="BD40" s="5" t="inlineStr"/>
      <c r="BE40" s="5" t="inlineStr">
        <is>
          <t>Business (B2B)</t>
        </is>
      </c>
      <c r="BF40" s="5" t="inlineStr">
        <is>
          <t>Legitimate interest (B2B) - assess per campaign; PECR: corporate subscribers</t>
        </is>
      </c>
      <c r="BG40" s="5" t="inlineStr"/>
      <c r="BH40" s="5" t="inlineStr">
        <is>
          <t>No</t>
        </is>
      </c>
      <c r="BI40" s="5" t="inlineStr">
        <is>
          <t>2026-09-16</t>
        </is>
      </c>
      <c r="BJ40" s="5" t="inlineStr">
        <is>
          <t>New</t>
        </is>
      </c>
      <c r="BK40" s="5" t="inlineStr">
        <is>
          <t>2026-09-16</t>
        </is>
      </c>
      <c r="BL40" s="5" t="inlineStr"/>
      <c r="BM40" s="5" t="inlineStr"/>
      <c r="BN40" s="5" t="inlineStr"/>
      <c r="BO40" s="5" t="inlineStr"/>
      <c r="BP40" s="5" t="inlineStr"/>
      <c r="BQ40" s="5" t="inlineStr"/>
    </row>
    <row r="41">
      <c r="A41" s="10" t="inlineStr">
        <is>
          <t>WY-0023</t>
        </is>
      </c>
      <c r="B41" s="10" t="inlineStr">
        <is>
          <t>SMKD-02</t>
        </is>
      </c>
      <c r="C41" s="10" t="inlineStr">
        <is>
          <t>SMKD</t>
        </is>
      </c>
      <c r="D41" s="10" t="inlineStr">
        <is>
          <t>SMKD</t>
        </is>
      </c>
      <c r="E41" s="10" t="inlineStr">
        <is>
          <t>SMKD Hebden Bridge</t>
        </is>
      </c>
      <c r="F41" s="10" t="inlineStr">
        <is>
          <t>SMKD VAPE LIMITED</t>
        </is>
      </c>
      <c r="G41" s="10" t="inlineStr">
        <is>
          <t>Vape Shop</t>
        </is>
      </c>
      <c r="H41" s="10" t="inlineStr">
        <is>
          <t>Vape chain store with same-day local delivery</t>
        </is>
      </c>
      <c r="I41" s="10" t="inlineStr">
        <is>
          <t>Regional Chain</t>
        </is>
      </c>
      <c r="J41" s="10" t="inlineStr"/>
      <c r="K41" s="10" t="inlineStr">
        <is>
          <t>https://smkd.com/vape-shop-locator/smkd-hebden-bridge-vape-shop-west-end/</t>
        </is>
      </c>
      <c r="L41" s="10" t="inlineStr">
        <is>
          <t>https://www.facebook.com/SmkdVapeShop/</t>
        </is>
      </c>
      <c r="M41" s="10" t="inlineStr"/>
      <c r="N41" s="10" t="inlineStr"/>
      <c r="O41" s="10" t="inlineStr"/>
      <c r="P41" s="10" t="inlineStr">
        <is>
          <t>West End</t>
        </is>
      </c>
      <c r="Q41" s="10" t="inlineStr">
        <is>
          <t>Hebden Bridge</t>
        </is>
      </c>
      <c r="R41" s="10" t="inlineStr">
        <is>
          <t>West Yorkshire</t>
        </is>
      </c>
      <c r="S41" s="10" t="inlineStr"/>
      <c r="T41" s="10" t="inlineStr">
        <is>
          <t>Yorkshire &amp; Humber</t>
        </is>
      </c>
      <c r="U41" s="10" t="inlineStr">
        <is>
          <t>England</t>
        </is>
      </c>
      <c r="V41" s="10" t="inlineStr">
        <is>
          <t>01274 270303</t>
        </is>
      </c>
      <c r="W41" s="10" t="inlineStr"/>
      <c r="X41" s="10" t="inlineStr"/>
      <c r="Y41" s="10" t="inlineStr">
        <is>
          <t>info@smkd.com</t>
        </is>
      </c>
      <c r="Z41" s="10" t="inlineStr"/>
      <c r="AA41" s="10" t="inlineStr"/>
      <c r="AB41" s="10" t="inlineStr"/>
      <c r="AC41" s="10" t="inlineStr"/>
      <c r="AD41" s="10" t="inlineStr"/>
      <c r="AE41" s="10" t="inlineStr">
        <is>
          <t>16161027</t>
        </is>
      </c>
      <c r="AF41" s="10" t="inlineStr">
        <is>
          <t>Active</t>
        </is>
      </c>
      <c r="AG41" s="10" t="inlineStr">
        <is>
          <t>SMKD VAPE LIMITED</t>
        </is>
      </c>
      <c r="AH41" s="10" t="inlineStr">
        <is>
          <t>Bradford Chamber Business Park, New Lane, Laisterdyke, Bradford, BD4 8BX</t>
        </is>
      </c>
      <c r="AI41" s="10" t="inlineStr">
        <is>
          <t>2025-01-03</t>
        </is>
      </c>
      <c r="AJ41" s="10" t="inlineStr"/>
      <c r="AK41" s="10" t="inlineStr">
        <is>
          <t>vape hardware; e-liquids; disposables</t>
        </is>
      </c>
      <c r="AL41" s="10" t="inlineStr"/>
      <c r="AM41" s="10" t="inlineStr">
        <is>
          <t>Vape Shop</t>
        </is>
      </c>
      <c r="AN41" s="10" t="inlineStr"/>
      <c r="AO41" s="10"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41" s="10" t="inlineStr">
        <is>
          <t>High</t>
        </is>
      </c>
      <c r="AQ41" s="10" t="inlineStr">
        <is>
          <t>Multi-site retailer; Core relevant category; Public email available; Active website; Social presence</t>
        </is>
      </c>
      <c r="AR41" s="10" t="inlineStr">
        <is>
          <t>https://smkd.com/vape-shop-locator/smkd-hebden-bridge-vape-shop-west-end/</t>
        </is>
      </c>
      <c r="AS41" s="10" t="inlineStr">
        <is>
          <t>https://find-and-update.company-information.service.gov.uk/company/16161027</t>
        </is>
      </c>
      <c r="AT41" s="10" t="inlineStr">
        <is>
          <t>3</t>
        </is>
      </c>
      <c r="AU41" s="10" t="inlineStr">
        <is>
          <t>No</t>
        </is>
      </c>
      <c r="AV41" s="10" t="inlineStr">
        <is>
          <t>No</t>
        </is>
      </c>
      <c r="AW41" s="10" t="inlineStr">
        <is>
          <t>No</t>
        </is>
      </c>
      <c r="AX41" s="10" t="inlineStr">
        <is>
          <t>Yes</t>
        </is>
      </c>
      <c r="AY41" s="10" t="inlineStr">
        <is>
          <t>Unverified</t>
        </is>
      </c>
      <c r="AZ41" s="10" t="inlineStr">
        <is>
          <t>Publicly Listed</t>
        </is>
      </c>
      <c r="BA41" s="10" t="inlineStr">
        <is>
          <t>2026-09-16</t>
        </is>
      </c>
      <c r="BB41" s="10" t="inlineStr">
        <is>
          <t>Partially Verified</t>
        </is>
      </c>
      <c r="BC41" s="10" t="inlineStr">
        <is>
          <t>Medium</t>
        </is>
      </c>
      <c r="BD41" s="10" t="inlineStr"/>
      <c r="BE41" s="10" t="inlineStr">
        <is>
          <t>Business (B2B)</t>
        </is>
      </c>
      <c r="BF41" s="10" t="inlineStr">
        <is>
          <t>Legitimate interest (B2B) - assess per campaign; PECR: corporate subscribers</t>
        </is>
      </c>
      <c r="BG41" s="10" t="inlineStr"/>
      <c r="BH41" s="10" t="inlineStr">
        <is>
          <t>No</t>
        </is>
      </c>
      <c r="BI41" s="10" t="inlineStr">
        <is>
          <t>2026-09-16</t>
        </is>
      </c>
      <c r="BJ41" s="10" t="inlineStr">
        <is>
          <t>New</t>
        </is>
      </c>
      <c r="BK41" s="10" t="inlineStr">
        <is>
          <t>2026-09-16</t>
        </is>
      </c>
      <c r="BL41" s="10" t="inlineStr"/>
      <c r="BM41" s="10" t="inlineStr"/>
      <c r="BN41" s="10" t="inlineStr"/>
      <c r="BO41" s="10" t="inlineStr"/>
      <c r="BP41" s="10" t="inlineStr"/>
      <c r="BQ41" s="10" t="inlineStr"/>
    </row>
    <row r="42">
      <c r="A42" s="5" t="inlineStr">
        <is>
          <t>WY-0024</t>
        </is>
      </c>
      <c r="B42" s="5" t="inlineStr">
        <is>
          <t>SMKD-03</t>
        </is>
      </c>
      <c r="C42" s="5" t="inlineStr">
        <is>
          <t>SMKD</t>
        </is>
      </c>
      <c r="D42" s="5" t="inlineStr">
        <is>
          <t>SMKD - E Cigarettes and Vape Shop (Wakefield)</t>
        </is>
      </c>
      <c r="E42" s="5" t="inlineStr">
        <is>
          <t>SMKD</t>
        </is>
      </c>
      <c r="F42" s="5" t="inlineStr">
        <is>
          <t>SMKD Vape Limited</t>
        </is>
      </c>
      <c r="G42" s="5" t="inlineStr">
        <is>
          <t>Vape Shop</t>
        </is>
      </c>
      <c r="H42" s="5" t="inlineStr">
        <is>
          <t>Vape hardware and e-liquid retailer</t>
        </is>
      </c>
      <c r="I42" s="5" t="inlineStr">
        <is>
          <t>Regional Chain</t>
        </is>
      </c>
      <c r="J42" s="5" t="inlineStr"/>
      <c r="K42" s="5" t="inlineStr">
        <is>
          <t>https://smkd.com</t>
        </is>
      </c>
      <c r="L42" s="5" t="inlineStr">
        <is>
          <t>https://www.facebook.com/SmkdVapeShop/</t>
        </is>
      </c>
      <c r="M42" s="5" t="inlineStr"/>
      <c r="N42" s="5" t="inlineStr"/>
      <c r="O42" s="5" t="inlineStr">
        <is>
          <t>Ridings Shopping Centre</t>
        </is>
      </c>
      <c r="P42" s="5" t="inlineStr">
        <is>
          <t>Trinity Walk area, city centre</t>
        </is>
      </c>
      <c r="Q42" s="5" t="inlineStr">
        <is>
          <t>Wakefield</t>
        </is>
      </c>
      <c r="R42" s="5" t="inlineStr">
        <is>
          <t>West Yorkshire</t>
        </is>
      </c>
      <c r="S42" s="5" t="inlineStr">
        <is>
          <t>WF1 1DS</t>
        </is>
      </c>
      <c r="T42" s="5" t="inlineStr">
        <is>
          <t>Yorkshire &amp; Humber</t>
        </is>
      </c>
      <c r="U42" s="5" t="inlineStr">
        <is>
          <t>England</t>
        </is>
      </c>
      <c r="V42" s="5" t="inlineStr">
        <is>
          <t>01924 728100</t>
        </is>
      </c>
      <c r="W42" s="5" t="inlineStr"/>
      <c r="X42" s="5" t="inlineStr"/>
      <c r="Y42" s="5" t="inlineStr">
        <is>
          <t>info@smkd.com</t>
        </is>
      </c>
      <c r="Z42" s="5" t="inlineStr"/>
      <c r="AA42" s="5" t="inlineStr"/>
      <c r="AB42" s="5" t="inlineStr"/>
      <c r="AC42" s="5" t="inlineStr"/>
      <c r="AD42" s="5" t="inlineStr"/>
      <c r="AE42" s="5" t="inlineStr">
        <is>
          <t>16161027</t>
        </is>
      </c>
      <c r="AF42" s="5" t="inlineStr">
        <is>
          <t>Active</t>
        </is>
      </c>
      <c r="AG42" s="5" t="inlineStr">
        <is>
          <t>SMKD VAPE LIMITED</t>
        </is>
      </c>
      <c r="AH42" s="5" t="inlineStr">
        <is>
          <t>Bradford Chamber Business Park, New Lane, Laisterdyke, Bradford, BD4 8BX</t>
        </is>
      </c>
      <c r="AI42" s="5" t="inlineStr">
        <is>
          <t>2025-01-03</t>
        </is>
      </c>
      <c r="AJ42" s="5" t="inlineStr"/>
      <c r="AK42" s="5" t="inlineStr">
        <is>
          <t>vape hardware; e-liquids; disposables</t>
        </is>
      </c>
      <c r="AL42" s="5" t="inlineStr"/>
      <c r="AM42" s="5" t="inlineStr">
        <is>
          <t>Vape Shop</t>
        </is>
      </c>
      <c r="AN42" s="5" t="inlineStr"/>
      <c r="AO42" s="5"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42" s="5" t="inlineStr">
        <is>
          <t>High</t>
        </is>
      </c>
      <c r="AQ42" s="5" t="inlineStr">
        <is>
          <t>Multi-site retailer; Core relevant category; Public email available; Active website; Social presence</t>
        </is>
      </c>
      <c r="AR42" s="5" t="inlineStr">
        <is>
          <t>https://smkd.com/vape-shop-locator/wakefield-vape-shop-ridings-shopping-centre/</t>
        </is>
      </c>
      <c r="AS42" s="5" t="inlineStr">
        <is>
          <t>https://find-and-update.company-information.service.gov.uk/company/16161027</t>
        </is>
      </c>
      <c r="AT42" s="5" t="inlineStr">
        <is>
          <t>5</t>
        </is>
      </c>
      <c r="AU42" s="5" t="inlineStr">
        <is>
          <t>No</t>
        </is>
      </c>
      <c r="AV42" s="5" t="inlineStr">
        <is>
          <t>No</t>
        </is>
      </c>
      <c r="AW42" s="5" t="inlineStr">
        <is>
          <t>No</t>
        </is>
      </c>
      <c r="AX42" s="5" t="inlineStr">
        <is>
          <t>Yes</t>
        </is>
      </c>
      <c r="AY42" s="5" t="inlineStr">
        <is>
          <t>Verified directory</t>
        </is>
      </c>
      <c r="AZ42" s="5" t="inlineStr">
        <is>
          <t>Unverified</t>
        </is>
      </c>
      <c r="BA42" s="5" t="inlineStr">
        <is>
          <t>2026-09-16</t>
        </is>
      </c>
      <c r="BB42" s="5" t="inlineStr">
        <is>
          <t>Partially Verified</t>
        </is>
      </c>
      <c r="BC42" s="5" t="inlineStr">
        <is>
          <t>Medium</t>
        </is>
      </c>
      <c r="BD42" s="5" t="inlineStr"/>
      <c r="BE42" s="5" t="inlineStr">
        <is>
          <t>Business (B2B)</t>
        </is>
      </c>
      <c r="BF42" s="5" t="inlineStr">
        <is>
          <t>Legitimate interest (B2B) - assess per campaign; PECR: corporate subscribers</t>
        </is>
      </c>
      <c r="BG42" s="5" t="inlineStr"/>
      <c r="BH42" s="5" t="inlineStr">
        <is>
          <t>No</t>
        </is>
      </c>
      <c r="BI42" s="5" t="inlineStr">
        <is>
          <t>2026-09-16</t>
        </is>
      </c>
      <c r="BJ42" s="5" t="inlineStr">
        <is>
          <t>New</t>
        </is>
      </c>
      <c r="BK42" s="5" t="inlineStr">
        <is>
          <t>2026-09-16</t>
        </is>
      </c>
      <c r="BL42" s="5" t="inlineStr"/>
      <c r="BM42" s="5" t="inlineStr"/>
      <c r="BN42" s="5" t="inlineStr"/>
      <c r="BO42" s="5" t="inlineStr"/>
      <c r="BP42" s="5" t="inlineStr"/>
      <c r="BQ42" s="5" t="inlineStr"/>
    </row>
    <row r="43">
      <c r="A43" s="10" t="inlineStr">
        <is>
          <t>UK-000211</t>
        </is>
      </c>
      <c r="B43" s="10" t="inlineStr">
        <is>
          <t>SMKD-04</t>
        </is>
      </c>
      <c r="C43" s="10" t="inlineStr">
        <is>
          <t>SMKD</t>
        </is>
      </c>
      <c r="D43" s="10" t="inlineStr">
        <is>
          <t>SMKD Barnsley</t>
        </is>
      </c>
      <c r="E43" s="10" t="inlineStr">
        <is>
          <t>SMKD</t>
        </is>
      </c>
      <c r="F43" s="10" t="inlineStr"/>
      <c r="G43" s="10" t="inlineStr">
        <is>
          <t>Vape Shop</t>
        </is>
      </c>
      <c r="H43" s="10" t="inlineStr">
        <is>
          <t>E-cigarette and vape shop</t>
        </is>
      </c>
      <c r="I43" s="10" t="inlineStr">
        <is>
          <t>Regional Chain</t>
        </is>
      </c>
      <c r="J43" s="10" t="inlineStr">
        <is>
          <t>2</t>
        </is>
      </c>
      <c r="K43" s="10" t="inlineStr">
        <is>
          <t>https://smkd.com/</t>
        </is>
      </c>
      <c r="L43" s="10" t="inlineStr"/>
      <c r="M43" s="10" t="inlineStr"/>
      <c r="N43" s="10" t="inlineStr"/>
      <c r="O43" s="10" t="inlineStr">
        <is>
          <t>New Street</t>
        </is>
      </c>
      <c r="P43" s="10" t="inlineStr"/>
      <c r="Q43" s="10" t="inlineStr">
        <is>
          <t>Barnsley</t>
        </is>
      </c>
      <c r="R43" s="10" t="inlineStr">
        <is>
          <t>South Yorkshire</t>
        </is>
      </c>
      <c r="S43" s="10" t="inlineStr"/>
      <c r="T43" s="10" t="inlineStr">
        <is>
          <t>Yorkshire &amp; Humber</t>
        </is>
      </c>
      <c r="U43" s="10" t="inlineStr">
        <is>
          <t>England</t>
        </is>
      </c>
      <c r="V43" s="10" t="inlineStr"/>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vape hardware; e-liquids; disposables</t>
        </is>
      </c>
      <c r="AL43" s="10" t="inlineStr"/>
      <c r="AM43" s="10" t="inlineStr">
        <is>
          <t>Vape Shop</t>
        </is>
      </c>
      <c r="AN43" s="10" t="inlineStr"/>
      <c r="AO43" s="10" t="inlineStr">
        <is>
          <t>SMKD Barnsley branch on New Street, beside the Alhambra Shopping Centre. Part of the SMKD multi-site group. Exact postcode not captured from search results.</t>
        </is>
      </c>
      <c r="AP43" s="10" t="inlineStr">
        <is>
          <t>Medium</t>
        </is>
      </c>
      <c r="AQ43" s="10" t="inlineStr">
        <is>
          <t>Multi-site retailer; Core relevant category; Active website</t>
        </is>
      </c>
      <c r="AR43" s="10" t="inlineStr">
        <is>
          <t>https://smkd.com/vape-shop-locator/smkd-barnsley-vape-shop-new-street/</t>
        </is>
      </c>
      <c r="AS43" s="10" t="inlineStr"/>
      <c r="AT43" s="10" t="inlineStr">
        <is>
          <t>1</t>
        </is>
      </c>
      <c r="AU43" s="10" t="inlineStr">
        <is>
          <t>No</t>
        </is>
      </c>
      <c r="AV43" s="10" t="inlineStr">
        <is>
          <t>No</t>
        </is>
      </c>
      <c r="AW43" s="10" t="inlineStr">
        <is>
          <t>No</t>
        </is>
      </c>
      <c r="AX43" s="10" t="inlineStr">
        <is>
          <t>No</t>
        </is>
      </c>
      <c r="AY43" s="10" t="inlineStr">
        <is>
          <t>Not Found</t>
        </is>
      </c>
      <c r="AZ43" s="10" t="inlineStr">
        <is>
          <t>Website Found</t>
        </is>
      </c>
      <c r="BA43" s="10" t="inlineStr">
        <is>
          <t>2026-09-16</t>
        </is>
      </c>
      <c r="BB43" s="10" t="inlineStr">
        <is>
          <t>Requires Verification</t>
        </is>
      </c>
      <c r="BC43" s="10" t="inlineStr">
        <is>
          <t>Low</t>
        </is>
      </c>
      <c r="BD43" s="10" t="inlineStr"/>
      <c r="BE43" s="10" t="inlineStr">
        <is>
          <t>Business (B2B)</t>
        </is>
      </c>
      <c r="BF43" s="10" t="inlineStr">
        <is>
          <t>Legitimate interest (B2B) - assess per campaign; PECR: corporate subscribers</t>
        </is>
      </c>
      <c r="BG43" s="10" t="inlineStr"/>
      <c r="BH43" s="10" t="inlineStr">
        <is>
          <t>No</t>
        </is>
      </c>
      <c r="BI43" s="10" t="inlineStr">
        <is>
          <t>2026-09-16</t>
        </is>
      </c>
      <c r="BJ43" s="10" t="inlineStr">
        <is>
          <t>New</t>
        </is>
      </c>
      <c r="BK43" s="10" t="inlineStr">
        <is>
          <t>2026-09-16</t>
        </is>
      </c>
      <c r="BL43" s="10" t="inlineStr"/>
      <c r="BM43" s="10" t="inlineStr"/>
      <c r="BN43" s="10" t="inlineStr"/>
      <c r="BO43" s="10" t="inlineStr"/>
      <c r="BP43" s="10" t="inlineStr"/>
      <c r="BQ43" s="10" t="inlineStr"/>
    </row>
    <row r="44">
      <c r="A44" s="5" t="inlineStr">
        <is>
          <t>UK-000212</t>
        </is>
      </c>
      <c r="B44" s="5" t="inlineStr">
        <is>
          <t>SMKD-05</t>
        </is>
      </c>
      <c r="C44" s="5" t="inlineStr">
        <is>
          <t>SMKD</t>
        </is>
      </c>
      <c r="D44" s="5" t="inlineStr">
        <is>
          <t>SMKD Rotherham</t>
        </is>
      </c>
      <c r="E44" s="5" t="inlineStr">
        <is>
          <t>SMKD</t>
        </is>
      </c>
      <c r="F44" s="5" t="inlineStr"/>
      <c r="G44" s="5" t="inlineStr">
        <is>
          <t>Vape Shop</t>
        </is>
      </c>
      <c r="H44" s="5" t="inlineStr">
        <is>
          <t>E-cigarette and vape shop</t>
        </is>
      </c>
      <c r="I44" s="5" t="inlineStr">
        <is>
          <t>Regional Chain</t>
        </is>
      </c>
      <c r="J44" s="5" t="inlineStr">
        <is>
          <t>2</t>
        </is>
      </c>
      <c r="K44" s="5" t="inlineStr">
        <is>
          <t>https://smkd.com/</t>
        </is>
      </c>
      <c r="L44" s="5" t="inlineStr"/>
      <c r="M44" s="5" t="inlineStr"/>
      <c r="N44" s="5" t="inlineStr"/>
      <c r="O44" s="5" t="inlineStr">
        <is>
          <t>31a Effingham Street</t>
        </is>
      </c>
      <c r="P44" s="5" t="inlineStr"/>
      <c r="Q44" s="5" t="inlineStr">
        <is>
          <t>Rotherham</t>
        </is>
      </c>
      <c r="R44" s="5" t="inlineStr">
        <is>
          <t>South Yorkshire</t>
        </is>
      </c>
      <c r="S44" s="5" t="inlineStr">
        <is>
          <t>S65 1AL</t>
        </is>
      </c>
      <c r="T44" s="5" t="inlineStr">
        <is>
          <t>Yorkshire &amp; Humber</t>
        </is>
      </c>
      <c r="U44" s="5" t="inlineStr">
        <is>
          <t>England</t>
        </is>
      </c>
      <c r="V44" s="5" t="inlineStr">
        <is>
          <t>01274 270303</t>
        </is>
      </c>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is>
          <t>Lost Mary; Elf Bar</t>
        </is>
      </c>
      <c r="AK44" s="5" t="inlineStr">
        <is>
          <t>vape hardware; e-liquids; disposables</t>
        </is>
      </c>
      <c r="AL44" s="5" t="inlineStr"/>
      <c r="AM44" s="5" t="inlineStr">
        <is>
          <t>Vape Shop</t>
        </is>
      </c>
      <c r="AN44" s="5" t="inlineStr"/>
      <c r="AO44" s="5" t="inlineStr">
        <is>
          <t>SMKD is a multi-site vape retailer (Bradford-based) with a South Yorkshire branch on Effingham Street, Rotherham town centre. Phone number is the SMKD group/head-office line listed in directory. Also has a Barnsley branch (separate record).</t>
        </is>
      </c>
      <c r="AP44" s="5" t="inlineStr">
        <is>
          <t>Medium</t>
        </is>
      </c>
      <c r="AQ44" s="5" t="inlineStr">
        <is>
          <t>Multi-site retailer; Core relevant category; Active website</t>
        </is>
      </c>
      <c r="AR44" s="5" t="inlineStr">
        <is>
          <t>https://smkd.com/vape-shop-locator/smkd-rotherham-vape-shop-effingham-street/</t>
        </is>
      </c>
      <c r="AS44" s="5" t="inlineStr">
        <is>
          <t>https://www.chamberofcommerce.uk/business-directory/england/rotherham/miscellaneous/1035065-smkd-e-cigarettes-and-vape-shop-rotherham</t>
        </is>
      </c>
      <c r="AT44" s="5" t="inlineStr">
        <is>
          <t>2</t>
        </is>
      </c>
      <c r="AU44" s="5" t="inlineStr">
        <is>
          <t>No</t>
        </is>
      </c>
      <c r="AV44" s="5" t="inlineStr">
        <is>
          <t>No</t>
        </is>
      </c>
      <c r="AW44" s="5" t="inlineStr">
        <is>
          <t>No</t>
        </is>
      </c>
      <c r="AX44" s="5" t="inlineStr">
        <is>
          <t>No</t>
        </is>
      </c>
      <c r="AY44" s="5" t="inlineStr">
        <is>
          <t>Verified directory</t>
        </is>
      </c>
      <c r="AZ44" s="5" t="inlineStr">
        <is>
          <t>Website Found</t>
        </is>
      </c>
      <c r="BA44" s="5" t="inlineStr">
        <is>
          <t>2026-09-16</t>
        </is>
      </c>
      <c r="BB44" s="5" t="inlineStr">
        <is>
          <t>Requires Verification</t>
        </is>
      </c>
      <c r="BC44" s="5" t="inlineStr">
        <is>
          <t>Medium</t>
        </is>
      </c>
      <c r="BD44" s="5" t="inlineStr"/>
      <c r="BE44" s="5" t="inlineStr">
        <is>
          <t>Business (B2B)</t>
        </is>
      </c>
      <c r="BF44" s="5" t="inlineStr">
        <is>
          <t>Legitimate interest (B2B) - assess per campaign; PECR: corporate subscribers</t>
        </is>
      </c>
      <c r="BG44" s="5" t="inlineStr"/>
      <c r="BH44" s="5" t="inlineStr">
        <is>
          <t>No</t>
        </is>
      </c>
      <c r="BI44" s="5" t="inlineStr">
        <is>
          <t>2026-09-16</t>
        </is>
      </c>
      <c r="BJ44" s="5" t="inlineStr">
        <is>
          <t>New</t>
        </is>
      </c>
      <c r="BK44" s="5" t="inlineStr">
        <is>
          <t>2026-09-16</t>
        </is>
      </c>
      <c r="BL44" s="5" t="inlineStr"/>
      <c r="BM44" s="5" t="inlineStr"/>
      <c r="BN44" s="5" t="inlineStr"/>
      <c r="BO44" s="5" t="inlineStr"/>
      <c r="BP44" s="5" t="inlineStr"/>
      <c r="BQ44" s="5" t="inlineStr"/>
    </row>
    <row r="45">
      <c r="A45" s="10" t="inlineStr">
        <is>
          <t>UK-000213</t>
        </is>
      </c>
      <c r="B45" s="10" t="inlineStr">
        <is>
          <t>SPAR-01</t>
        </is>
      </c>
      <c r="C45" s="10" t="inlineStr">
        <is>
          <t>SPAR</t>
        </is>
      </c>
      <c r="D45" s="10" t="inlineStr">
        <is>
          <t>SPAR Barnsley Road</t>
        </is>
      </c>
      <c r="E45" s="10" t="inlineStr">
        <is>
          <t>SPAR</t>
        </is>
      </c>
      <c r="F45" s="10" t="inlineStr"/>
      <c r="G45" s="10" t="inlineStr">
        <is>
          <t>Convenience Store</t>
        </is>
      </c>
      <c r="H45" s="10" t="inlineStr">
        <is>
          <t>Convenience store (symbol group)</t>
        </is>
      </c>
      <c r="I45" s="10" t="inlineStr">
        <is>
          <t>Franchise / Symbol Group</t>
        </is>
      </c>
      <c r="J45" s="10" t="inlineStr">
        <is>
          <t>1</t>
        </is>
      </c>
      <c r="K45" s="10" t="inlineStr">
        <is>
          <t>https://www.spar.co.uk/store-locator/afb31700-spar-barnsley-road</t>
        </is>
      </c>
      <c r="L45" s="10" t="inlineStr"/>
      <c r="M45" s="10" t="inlineStr"/>
      <c r="N45" s="10" t="inlineStr"/>
      <c r="O45" s="10" t="inlineStr">
        <is>
          <t>Barnsley Road</t>
        </is>
      </c>
      <c r="P45" s="10" t="inlineStr"/>
      <c r="Q45" s="10" t="inlineStr">
        <is>
          <t>Barnsley</t>
        </is>
      </c>
      <c r="R45" s="10" t="inlineStr">
        <is>
          <t>South Yorkshire</t>
        </is>
      </c>
      <c r="S45" s="10" t="inlineStr"/>
      <c r="T45" s="10" t="inlineStr">
        <is>
          <t>Yorkshire &amp; Humber</t>
        </is>
      </c>
      <c r="U45" s="10" t="inlineStr">
        <is>
          <t>England</t>
        </is>
      </c>
      <c r="V45" s="10" t="inlineStr"/>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groceries; confectionery; soft drinks; alcohol; tobacco</t>
        </is>
      </c>
      <c r="AL45" s="10" t="inlineStr"/>
      <c r="AM45" s="10" t="inlineStr">
        <is>
          <t>Convenience Store</t>
        </is>
      </c>
      <c r="AN45" s="10" t="inlineStr">
        <is>
          <t>SPAR symbol group</t>
        </is>
      </c>
      <c r="AO45" s="10" t="inlineStr">
        <is>
          <t>SPAR symbol-group convenience store on Barnsley Road (typically independently owned/operated under SPAR). Listed on SPAR store locator; exact house number/postcode not captured from search snippet.</t>
        </is>
      </c>
      <c r="AP45" s="10" t="inlineStr">
        <is>
          <t>Medium</t>
        </is>
      </c>
      <c r="AQ45" s="10" t="inlineStr">
        <is>
          <t>Multi-site retailer; Independent retailer; Relevant category; Active website</t>
        </is>
      </c>
      <c r="AR45" s="10" t="inlineStr">
        <is>
          <t>https://www.spar.co.uk/store-locator/afb31700-spar-barnsley-road</t>
        </is>
      </c>
      <c r="AS45" s="10" t="inlineStr"/>
      <c r="AT45" s="10" t="inlineStr">
        <is>
          <t>1</t>
        </is>
      </c>
      <c r="AU45" s="10" t="inlineStr">
        <is>
          <t>No</t>
        </is>
      </c>
      <c r="AV45" s="10" t="inlineStr">
        <is>
          <t>No</t>
        </is>
      </c>
      <c r="AW45" s="10" t="inlineStr">
        <is>
          <t>No</t>
        </is>
      </c>
      <c r="AX45" s="10" t="inlineStr">
        <is>
          <t>No</t>
        </is>
      </c>
      <c r="AY45" s="10" t="inlineStr">
        <is>
          <t>Not Found</t>
        </is>
      </c>
      <c r="AZ45" s="10" t="inlineStr">
        <is>
          <t>Not Found</t>
        </is>
      </c>
      <c r="BA45" s="10" t="inlineStr">
        <is>
          <t>2026-09-16</t>
        </is>
      </c>
      <c r="BB45" s="10" t="inlineStr">
        <is>
          <t>Requires Verification</t>
        </is>
      </c>
      <c r="BC45" s="10" t="inlineStr">
        <is>
          <t>Low</t>
        </is>
      </c>
      <c r="BD45" s="10" t="inlineStr"/>
      <c r="BE45" s="10" t="inlineStr">
        <is>
          <t>Business (B2B)</t>
        </is>
      </c>
      <c r="BF45" s="10" t="inlineStr">
        <is>
          <t>Legitimate interest (B2B) - assess per campaign; PECR: corporate subscribers</t>
        </is>
      </c>
      <c r="BG45" s="10" t="inlineStr"/>
      <c r="BH45" s="10" t="inlineStr">
        <is>
          <t>No</t>
        </is>
      </c>
      <c r="BI45" s="10" t="inlineStr">
        <is>
          <t>2026-09-16</t>
        </is>
      </c>
      <c r="BJ45" s="10" t="inlineStr">
        <is>
          <t>New</t>
        </is>
      </c>
      <c r="BK45" s="10" t="inlineStr">
        <is>
          <t>2026-09-16</t>
        </is>
      </c>
      <c r="BL45" s="10" t="inlineStr"/>
      <c r="BM45" s="10" t="inlineStr"/>
      <c r="BN45" s="10" t="inlineStr"/>
      <c r="BO45" s="10" t="inlineStr"/>
      <c r="BP45" s="10" t="inlineStr"/>
      <c r="BQ45" s="10" t="inlineStr"/>
    </row>
    <row r="46">
      <c r="A46" s="5" t="inlineStr">
        <is>
          <t>WY-0025</t>
        </is>
      </c>
      <c r="B46" s="5" t="inlineStr">
        <is>
          <t>SAVILEPETR-01</t>
        </is>
      </c>
      <c r="C46" s="5" t="inlineStr">
        <is>
          <t>Savile Petroleum Limited</t>
        </is>
      </c>
      <c r="D46" s="5" t="inlineStr">
        <is>
          <t>Dewsbury Service Station (Savile Petroleum)</t>
        </is>
      </c>
      <c r="E46" s="5" t="inlineStr">
        <is>
          <t>Dewsbury Service Station</t>
        </is>
      </c>
      <c r="F46" s="5" t="inlineStr">
        <is>
          <t>Savile Petroleum Limited</t>
        </is>
      </c>
      <c r="G46" s="5" t="inlineStr">
        <is>
          <t>Petrol Station / Forecourt</t>
        </is>
      </c>
      <c r="H46" s="5" t="inlineStr">
        <is>
          <t>BP-branded independent forecourt with convenience store</t>
        </is>
      </c>
      <c r="I46" s="5" t="inlineStr">
        <is>
          <t>Independent</t>
        </is>
      </c>
      <c r="J46" s="5" t="inlineStr">
        <is>
          <t>1</t>
        </is>
      </c>
      <c r="K46" s="5" t="inlineStr"/>
      <c r="L46" s="5" t="inlineStr"/>
      <c r="M46" s="5" t="inlineStr"/>
      <c r="N46" s="5" t="inlineStr"/>
      <c r="O46" s="5" t="inlineStr">
        <is>
          <t>Savile Road</t>
        </is>
      </c>
      <c r="P46" s="5" t="inlineStr">
        <is>
          <t>Savile Town</t>
        </is>
      </c>
      <c r="Q46" s="5" t="inlineStr">
        <is>
          <t>Dewsbury</t>
        </is>
      </c>
      <c r="R46" s="5" t="inlineStr">
        <is>
          <t>West Yorkshire</t>
        </is>
      </c>
      <c r="S46" s="5" t="inlineStr">
        <is>
          <t>WF12 9LR</t>
        </is>
      </c>
      <c r="T46" s="5" t="inlineStr">
        <is>
          <t>Yorkshire &amp; Humber</t>
        </is>
      </c>
      <c r="U46" s="5" t="inlineStr">
        <is>
          <t>England</t>
        </is>
      </c>
      <c r="V46" s="5" t="inlineStr"/>
      <c r="W46" s="5" t="inlineStr"/>
      <c r="X46" s="5" t="inlineStr"/>
      <c r="Y46" s="5" t="inlineStr"/>
      <c r="Z46" s="5" t="inlineStr"/>
      <c r="AA46" s="5" t="inlineStr"/>
      <c r="AB46" s="5" t="inlineStr"/>
      <c r="AC46" s="5" t="inlineStr"/>
      <c r="AD46" s="5" t="inlineStr"/>
      <c r="AE46" s="5" t="inlineStr">
        <is>
          <t>05197700</t>
        </is>
      </c>
      <c r="AF46" s="5" t="inlineStr">
        <is>
          <t>Active</t>
        </is>
      </c>
      <c r="AG46" s="5" t="inlineStr">
        <is>
          <t>SAVILE PETROLEUM LIMITED</t>
        </is>
      </c>
      <c r="AH46" s="5" t="inlineStr">
        <is>
          <t>11 Headfield Road, Dewsbury, West Yorkshire, WF12 9JF</t>
        </is>
      </c>
      <c r="AI46" s="5" t="inlineStr">
        <is>
          <t>2004-08-04</t>
        </is>
      </c>
      <c r="AJ46" s="5" t="inlineStr"/>
      <c r="AK46" s="5" t="inlineStr">
        <is>
          <t>fuel; LPG; AdBlue; convenience goods; tobacco</t>
        </is>
      </c>
      <c r="AL46" s="5" t="inlineStr"/>
      <c r="AM46" s="5" t="inlineStr">
        <is>
          <t>Petrol Station / Forecourt</t>
        </is>
      </c>
      <c r="AN46" s="5" t="inlineStr">
        <is>
          <t>BP fuel supply</t>
        </is>
      </c>
      <c r="AO46" s="5" t="inlineStr">
        <is>
          <t>24/7 BP dealer site with convenience store on Savile Road; operated by independent company Savile Petroleum Limited per directory and Companies House search results.</t>
        </is>
      </c>
      <c r="AP46" s="5" t="inlineStr">
        <is>
          <t>Medium</t>
        </is>
      </c>
      <c r="AQ46" s="5" t="inlineStr">
        <is>
          <t>Multi-site retailer; Independent retailer; Relevant category</t>
        </is>
      </c>
      <c r="AR46" s="5" t="inlineStr">
        <is>
          <t>https://find-and-update.company-information.service.gov.uk/company/05197700</t>
        </is>
      </c>
      <c r="AS46" s="5" t="inlineStr">
        <is>
          <t>https://www.petrolprices.com/locations/dewsbury/savile-road/8720</t>
        </is>
      </c>
      <c r="AT46" s="5" t="inlineStr">
        <is>
          <t>4</t>
        </is>
      </c>
      <c r="AU46" s="5" t="inlineStr">
        <is>
          <t>No</t>
        </is>
      </c>
      <c r="AV46" s="5" t="inlineStr">
        <is>
          <t>No</t>
        </is>
      </c>
      <c r="AW46" s="5" t="inlineStr">
        <is>
          <t>No</t>
        </is>
      </c>
      <c r="AX46" s="5" t="inlineStr">
        <is>
          <t>Yes</t>
        </is>
      </c>
      <c r="AY46" s="5" t="inlineStr">
        <is>
          <t>Not Found</t>
        </is>
      </c>
      <c r="AZ46" s="5" t="inlineStr">
        <is>
          <t>Not Found</t>
        </is>
      </c>
      <c r="BA46" s="5" t="inlineStr">
        <is>
          <t>2026-09-16</t>
        </is>
      </c>
      <c r="BB46" s="5" t="inlineStr">
        <is>
          <t>Partially Verified</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2026-09-16</t>
        </is>
      </c>
      <c r="BJ46" s="5" t="inlineStr">
        <is>
          <t>New</t>
        </is>
      </c>
      <c r="BK46" s="5" t="inlineStr">
        <is>
          <t>2026-09-16</t>
        </is>
      </c>
      <c r="BL46" s="5" t="inlineStr"/>
      <c r="BM46" s="5" t="inlineStr"/>
      <c r="BN46" s="5" t="inlineStr"/>
      <c r="BO46" s="5" t="inlineStr"/>
      <c r="BP46" s="5" t="inlineStr"/>
      <c r="BQ46" s="5" t="inlineStr"/>
    </row>
    <row r="47">
      <c r="A47" s="10" t="inlineStr">
        <is>
          <t>WY-0026</t>
        </is>
      </c>
      <c r="B47" s="10" t="inlineStr">
        <is>
          <t>SINGKEEFOO-01</t>
        </is>
      </c>
      <c r="C47" s="10" t="inlineStr">
        <is>
          <t>Sing Kee Foods (Sing-Ying Group)</t>
        </is>
      </c>
      <c r="D47" s="10" t="inlineStr">
        <is>
          <t>Sing Kee Foods (Sheepscar)</t>
        </is>
      </c>
      <c r="E47" s="10" t="inlineStr">
        <is>
          <t>Sing Kee Foods</t>
        </is>
      </c>
      <c r="F47" s="10" t="inlineStr">
        <is>
          <t>Sing Kee Food Supply Limited</t>
        </is>
      </c>
      <c r="G47" s="10" t="inlineStr">
        <is>
          <t>Independent Supermarket</t>
        </is>
      </c>
      <c r="H47" s="10" t="inlineStr">
        <is>
          <t>Chinese / Oriental supermarket and catering supplier</t>
        </is>
      </c>
      <c r="I47" s="10" t="inlineStr">
        <is>
          <t>Multi-Site Independent</t>
        </is>
      </c>
      <c r="J47" s="10" t="inlineStr">
        <is>
          <t>2</t>
        </is>
      </c>
      <c r="K47" s="10" t="inlineStr">
        <is>
          <t>https://singkeefoods.co.uk/gb/</t>
        </is>
      </c>
      <c r="L47" s="10" t="inlineStr">
        <is>
          <t>https://www.facebook.com/singkee.chinesesupermarket/</t>
        </is>
      </c>
      <c r="M47" s="10" t="inlineStr"/>
      <c r="N47" s="10" t="inlineStr"/>
      <c r="O47" s="10" t="inlineStr">
        <is>
          <t>Sing Yang Building, 30-36 Cross Stamford Street</t>
        </is>
      </c>
      <c r="P47" s="10" t="inlineStr">
        <is>
          <t>Sheepscar</t>
        </is>
      </c>
      <c r="Q47" s="10" t="inlineStr">
        <is>
          <t>Leeds</t>
        </is>
      </c>
      <c r="R47" s="10" t="inlineStr">
        <is>
          <t>West Yorkshire</t>
        </is>
      </c>
      <c r="S47" s="10" t="inlineStr">
        <is>
          <t>LS7 1BA</t>
        </is>
      </c>
      <c r="T47" s="10" t="inlineStr">
        <is>
          <t>Yorkshire &amp; Humber</t>
        </is>
      </c>
      <c r="U47" s="10" t="inlineStr">
        <is>
          <t>England</t>
        </is>
      </c>
      <c r="V47" s="10" t="inlineStr">
        <is>
          <t>0113 898 0168</t>
        </is>
      </c>
      <c r="W47" s="10" t="inlineStr"/>
      <c r="X47" s="10" t="inlineStr"/>
      <c r="Y47" s="10" t="inlineStr"/>
      <c r="Z47" s="10" t="inlineStr">
        <is>
          <t>wholesale@singkeefoods.co.uk</t>
        </is>
      </c>
      <c r="AA47" s="10" t="inlineStr"/>
      <c r="AB47" s="10" t="inlineStr"/>
      <c r="AC47" s="10" t="inlineStr"/>
      <c r="AD47" s="10" t="inlineStr"/>
      <c r="AE47" s="10" t="inlineStr">
        <is>
          <t>04025779</t>
        </is>
      </c>
      <c r="AF47" s="10" t="inlineStr"/>
      <c r="AG47" s="10" t="inlineStr">
        <is>
          <t>SING KEE FOOD SUPPLY LIMITED</t>
        </is>
      </c>
      <c r="AH47" s="10" t="inlineStr"/>
      <c r="AI47" s="10" t="inlineStr"/>
      <c r="AJ47" s="10" t="inlineStr"/>
      <c r="AK47" s="10" t="inlineStr">
        <is>
          <t>Chinese and East Asian groceries; fresh and frozen foods; catering supply</t>
        </is>
      </c>
      <c r="AL47" s="10" t="inlineStr"/>
      <c r="AM47" s="10" t="inlineStr">
        <is>
          <t>Independent Supermarket</t>
        </is>
      </c>
      <c r="AN47" s="10" t="inlineStr">
        <is>
          <t>Imports from the Far East; supplies catering businesses across the North of England</t>
        </is>
      </c>
      <c r="AO47" s="10" t="inlineStr">
        <is>
          <t>Main Sheepscar site of Sing Kee Foods, part of the Sing-Ying Group. Companies House number seen in CH search result URL; CH site blocked by proxy so status/registered office not captured.</t>
        </is>
      </c>
      <c r="AP47" s="10" t="inlineStr">
        <is>
          <t>High</t>
        </is>
      </c>
      <c r="AQ47" s="10" t="inlineStr">
        <is>
          <t>Multi-site retailer; Independent retailer; Relevant category; Public trade/sales contact; Active website; Social presence</t>
        </is>
      </c>
      <c r="AR47" s="10" t="inlineStr">
        <is>
          <t>https://singkeefoods.com/gb/contact-us</t>
        </is>
      </c>
      <c r="AS47" s="10" t="inlineStr">
        <is>
          <t>https://find-and-update.company-information.service.gov.uk/company/04025779/persons-with-significant-control</t>
        </is>
      </c>
      <c r="AT47" s="10" t="inlineStr">
        <is>
          <t>4</t>
        </is>
      </c>
      <c r="AU47" s="10" t="inlineStr">
        <is>
          <t>No</t>
        </is>
      </c>
      <c r="AV47" s="10" t="inlineStr">
        <is>
          <t>No</t>
        </is>
      </c>
      <c r="AW47" s="10" t="inlineStr">
        <is>
          <t>Yes</t>
        </is>
      </c>
      <c r="AX47" s="10" t="inlineStr">
        <is>
          <t>Yes</t>
        </is>
      </c>
      <c r="AY47" s="10" t="inlineStr">
        <is>
          <t>Verified directory</t>
        </is>
      </c>
      <c r="AZ47" s="10" t="inlineStr">
        <is>
          <t>Website Found</t>
        </is>
      </c>
      <c r="BA47" s="10" t="inlineStr">
        <is>
          <t>2026-09-16</t>
        </is>
      </c>
      <c r="BB47" s="10" t="inlineStr">
        <is>
          <t>Partially Verified</t>
        </is>
      </c>
      <c r="BC47" s="10" t="inlineStr">
        <is>
          <t>Medium</t>
        </is>
      </c>
      <c r="BD47" s="10" t="inlineStr"/>
      <c r="BE47" s="10" t="inlineStr">
        <is>
          <t>Business (B2B)</t>
        </is>
      </c>
      <c r="BF47" s="10" t="inlineStr">
        <is>
          <t>Legitimate interest (B2B) - assess per campaign; PECR: corporate subscribers</t>
        </is>
      </c>
      <c r="BG47" s="10" t="inlineStr"/>
      <c r="BH47" s="10" t="inlineStr">
        <is>
          <t>No</t>
        </is>
      </c>
      <c r="BI47" s="10" t="inlineStr">
        <is>
          <t>2026-09-16</t>
        </is>
      </c>
      <c r="BJ47" s="10" t="inlineStr">
        <is>
          <t>New</t>
        </is>
      </c>
      <c r="BK47" s="10" t="inlineStr">
        <is>
          <t>2026-09-16</t>
        </is>
      </c>
      <c r="BL47" s="10" t="inlineStr"/>
      <c r="BM47" s="10" t="inlineStr"/>
      <c r="BN47" s="10" t="inlineStr"/>
      <c r="BO47" s="10" t="inlineStr"/>
      <c r="BP47" s="10" t="inlineStr"/>
      <c r="BQ47" s="10" t="inlineStr"/>
    </row>
    <row r="48">
      <c r="A48" s="5" t="inlineStr">
        <is>
          <t>WY-0027</t>
        </is>
      </c>
      <c r="B48" s="5" t="inlineStr">
        <is>
          <t>SINGKEEFOO-02</t>
        </is>
      </c>
      <c r="C48" s="5" t="inlineStr">
        <is>
          <t>Sing Kee Foods (Sing-Ying Group)</t>
        </is>
      </c>
      <c r="D48" s="5" t="inlineStr">
        <is>
          <t>Sing Kee Oriental Supermarket (Merrion Centre)</t>
        </is>
      </c>
      <c r="E48" s="5" t="inlineStr">
        <is>
          <t>Sing Kee</t>
        </is>
      </c>
      <c r="F48" s="5" t="inlineStr"/>
      <c r="G48" s="5" t="inlineStr">
        <is>
          <t>Independent Supermarket</t>
        </is>
      </c>
      <c r="H48" s="5" t="inlineStr">
        <is>
          <t>Chinese / Oriental supermarket</t>
        </is>
      </c>
      <c r="I48" s="5" t="inlineStr">
        <is>
          <t>Multi-Site Independent</t>
        </is>
      </c>
      <c r="J48" s="5" t="inlineStr">
        <is>
          <t>2</t>
        </is>
      </c>
      <c r="K48" s="5" t="inlineStr">
        <is>
          <t>https://singkeefoods.co.uk/gb/</t>
        </is>
      </c>
      <c r="L48" s="5" t="inlineStr">
        <is>
          <t>https://www.facebook.com/SingKeeLeedsCentre/</t>
        </is>
      </c>
      <c r="M48" s="5" t="inlineStr"/>
      <c r="N48" s="5" t="inlineStr"/>
      <c r="O48" s="5" t="inlineStr">
        <is>
          <t>26-28 Woodhouse Lane, Merrion Centre</t>
        </is>
      </c>
      <c r="P48" s="5" t="inlineStr">
        <is>
          <t>City Centre</t>
        </is>
      </c>
      <c r="Q48" s="5" t="inlineStr">
        <is>
          <t>Leeds</t>
        </is>
      </c>
      <c r="R48" s="5" t="inlineStr">
        <is>
          <t>West Yorkshire</t>
        </is>
      </c>
      <c r="S48" s="5" t="inlineStr">
        <is>
          <t>LS2 8LX</t>
        </is>
      </c>
      <c r="T48" s="5" t="inlineStr">
        <is>
          <t>Yorkshire &amp; Humber</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Chinese and East Asian groceries; fresh and frozen foods</t>
        </is>
      </c>
      <c r="AL48" s="5" t="inlineStr"/>
      <c r="AM48" s="5" t="inlineStr">
        <is>
          <t>Independent Supermarket</t>
        </is>
      </c>
      <c r="AN48" s="5" t="inlineStr">
        <is>
          <t>Sing-Ying Group imports fresh/frozen foods from the Far East</t>
        </is>
      </c>
      <c r="AO48" s="5" t="inlineStr">
        <is>
          <t>City-centre branch of Sing Kee Foods; sister site at Cross Stamford Street, Sheepscar.</t>
        </is>
      </c>
      <c r="AP48" s="5" t="inlineStr">
        <is>
          <t>High</t>
        </is>
      </c>
      <c r="AQ48" s="5" t="inlineStr">
        <is>
          <t>Multi-site retailer; Independent retailer; Relevant category; Active website; Social presence</t>
        </is>
      </c>
      <c r="AR48" s="5" t="inlineStr">
        <is>
          <t>https://singkeefoods.co.uk/gb/stores</t>
        </is>
      </c>
      <c r="AS48" s="5" t="inlineStr">
        <is>
          <t>https://www.merrioncentre.co.uk/units/sing-kee</t>
        </is>
      </c>
      <c r="AT48" s="5" t="inlineStr">
        <is>
          <t>3</t>
        </is>
      </c>
      <c r="AU48" s="5" t="inlineStr">
        <is>
          <t>No</t>
        </is>
      </c>
      <c r="AV48" s="5" t="inlineStr">
        <is>
          <t>No</t>
        </is>
      </c>
      <c r="AW48" s="5" t="inlineStr">
        <is>
          <t>No</t>
        </is>
      </c>
      <c r="AX48" s="5" t="inlineStr">
        <is>
          <t>No</t>
        </is>
      </c>
      <c r="AY48" s="5" t="inlineStr">
        <is>
          <t>Not Found</t>
        </is>
      </c>
      <c r="AZ48" s="5" t="inlineStr">
        <is>
          <t>Website Found</t>
        </is>
      </c>
      <c r="BA48" s="5" t="inlineStr">
        <is>
          <t>2026-09-16</t>
        </is>
      </c>
      <c r="BB48" s="5" t="inlineStr">
        <is>
          <t>Requires Verification</t>
        </is>
      </c>
      <c r="BC48" s="5" t="inlineStr">
        <is>
          <t>Medium</t>
        </is>
      </c>
      <c r="BD48" s="5" t="inlineStr"/>
      <c r="BE48" s="5" t="inlineStr">
        <is>
          <t>Business (B2B)</t>
        </is>
      </c>
      <c r="BF48" s="5" t="inlineStr">
        <is>
          <t>Legitimate interest (B2B) - assess per campaign; PECR: corporate subscribers</t>
        </is>
      </c>
      <c r="BG48" s="5" t="inlineStr"/>
      <c r="BH48" s="5" t="inlineStr">
        <is>
          <t>No</t>
        </is>
      </c>
      <c r="BI48" s="5" t="inlineStr">
        <is>
          <t>2026-09-16</t>
        </is>
      </c>
      <c r="BJ48" s="5" t="inlineStr">
        <is>
          <t>New</t>
        </is>
      </c>
      <c r="BK48" s="5" t="inlineStr">
        <is>
          <t>2026-09-16</t>
        </is>
      </c>
      <c r="BL48" s="5" t="inlineStr"/>
      <c r="BM48" s="5" t="inlineStr"/>
      <c r="BN48" s="5" t="inlineStr"/>
      <c r="BO48" s="5" t="inlineStr"/>
      <c r="BP48" s="5" t="inlineStr"/>
      <c r="BQ48" s="5" t="inlineStr"/>
    </row>
    <row r="49">
      <c r="A49" s="10" t="inlineStr">
        <is>
          <t>UK-000214</t>
        </is>
      </c>
      <c r="B49" s="10" t="inlineStr">
        <is>
          <t>SPAR-01</t>
        </is>
      </c>
      <c r="C49" s="10" t="inlineStr">
        <is>
          <t>Spar</t>
        </is>
      </c>
      <c r="D49" s="10" t="inlineStr">
        <is>
          <t>Spar (Trinity Road, Cleethorpes)</t>
        </is>
      </c>
      <c r="E49" s="10" t="inlineStr">
        <is>
          <t>Spar</t>
        </is>
      </c>
      <c r="F49" s="10" t="inlineStr"/>
      <c r="G49" s="10" t="inlineStr">
        <is>
          <t>Convenience Store</t>
        </is>
      </c>
      <c r="H49" s="10" t="inlineStr">
        <is>
          <t>Symbol-group convenience store</t>
        </is>
      </c>
      <c r="I49" s="10" t="inlineStr">
        <is>
          <t>Franchise / Symbol Group</t>
        </is>
      </c>
      <c r="J49" s="10" t="inlineStr">
        <is>
          <t>1</t>
        </is>
      </c>
      <c r="K49" s="10" t="inlineStr"/>
      <c r="L49" s="10" t="inlineStr"/>
      <c r="M49" s="10" t="inlineStr"/>
      <c r="N49" s="10" t="inlineStr"/>
      <c r="O49" s="10" t="inlineStr">
        <is>
          <t>52 Trinity Road</t>
        </is>
      </c>
      <c r="P49" s="10" t="inlineStr"/>
      <c r="Q49" s="10" t="inlineStr">
        <is>
          <t>Cleethorpes</t>
        </is>
      </c>
      <c r="R49" s="10" t="inlineStr">
        <is>
          <t>Lincolnshire</t>
        </is>
      </c>
      <c r="S49" s="10" t="inlineStr"/>
      <c r="T49" s="10" t="inlineStr">
        <is>
          <t>Yorkshire &amp; Humber</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groceries; convenience; off-licence; news</t>
        </is>
      </c>
      <c r="AL49" s="10" t="inlineStr"/>
      <c r="AM49" s="10" t="inlineStr">
        <is>
          <t>Convenience Store</t>
        </is>
      </c>
      <c r="AN49" s="10" t="inlineStr"/>
      <c r="AO49" s="10" t="inlineStr">
        <is>
          <t>Spar symbol-group convenience store, 52 Trinity Road, Cleethorpes. No postcode/phone in search results.</t>
        </is>
      </c>
      <c r="AP49" s="10" t="inlineStr">
        <is>
          <t>Medium</t>
        </is>
      </c>
      <c r="AQ49" s="10" t="inlineStr">
        <is>
          <t>Multi-site retailer; Independent retailer; Relevant category</t>
        </is>
      </c>
      <c r="AR49" s="10" t="inlineStr">
        <is>
          <t>https://www.192.com/atoz/business/dn35/convenience--stores/</t>
        </is>
      </c>
      <c r="AS49" s="10" t="inlineStr"/>
      <c r="AT49" s="10" t="inlineStr">
        <is>
          <t>1</t>
        </is>
      </c>
      <c r="AU49" s="10" t="inlineStr">
        <is>
          <t>No</t>
        </is>
      </c>
      <c r="AV49" s="10" t="inlineStr">
        <is>
          <t>No</t>
        </is>
      </c>
      <c r="AW49" s="10" t="inlineStr">
        <is>
          <t>No</t>
        </is>
      </c>
      <c r="AX49" s="10" t="inlineStr">
        <is>
          <t>No</t>
        </is>
      </c>
      <c r="AY49" s="10" t="inlineStr">
        <is>
          <t>Not Found</t>
        </is>
      </c>
      <c r="AZ49" s="10" t="inlineStr">
        <is>
          <t>Not Found</t>
        </is>
      </c>
      <c r="BA49" s="10" t="inlineStr">
        <is>
          <t>2026-09-16</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2026-09-16</t>
        </is>
      </c>
      <c r="BJ49" s="10" t="inlineStr">
        <is>
          <t>New</t>
        </is>
      </c>
      <c r="BK49" s="10" t="inlineStr">
        <is>
          <t>2026-09-16</t>
        </is>
      </c>
      <c r="BL49" s="10" t="inlineStr"/>
      <c r="BM49" s="10" t="inlineStr"/>
      <c r="BN49" s="10" t="inlineStr"/>
      <c r="BO49" s="10" t="inlineStr"/>
      <c r="BP49" s="10" t="inlineStr"/>
      <c r="BQ49" s="10" t="inlineStr"/>
    </row>
    <row r="50">
      <c r="A50" s="5" t="inlineStr">
        <is>
          <t>WY-0028</t>
        </is>
      </c>
      <c r="B50" s="5" t="inlineStr">
        <is>
          <t>SPEEDPETRO-01</t>
        </is>
      </c>
      <c r="C50" s="5" t="inlineStr">
        <is>
          <t>Speed Petroleum</t>
        </is>
      </c>
      <c r="D50" s="5" t="inlineStr">
        <is>
          <t>Glasshoughton Service Station</t>
        </is>
      </c>
      <c r="E50" s="5" t="inlineStr">
        <is>
          <t>Glasshoughton Service Station (BP / Nisa Local)</t>
        </is>
      </c>
      <c r="F50" s="5" t="inlineStr"/>
      <c r="G50" s="5" t="inlineStr">
        <is>
          <t>Petrol Station / Forecourt</t>
        </is>
      </c>
      <c r="H50" s="5" t="inlineStr">
        <is>
          <t>BP-branded dealer forecourt with Nisa Local shop</t>
        </is>
      </c>
      <c r="I50" s="5" t="inlineStr">
        <is>
          <t>Franchise / Symbol Group</t>
        </is>
      </c>
      <c r="J50" s="5" t="inlineStr">
        <is>
          <t>1</t>
        </is>
      </c>
      <c r="K50" s="5" t="inlineStr">
        <is>
          <t>https://www.nisalocally.co.uk/stores/west-yorkshire/castleford/bp-glasshoughton-ser-st</t>
        </is>
      </c>
      <c r="L50" s="5" t="inlineStr"/>
      <c r="M50" s="5" t="inlineStr"/>
      <c r="N50" s="5" t="inlineStr"/>
      <c r="O50" s="5" t="inlineStr">
        <is>
          <t>Park Road</t>
        </is>
      </c>
      <c r="P50" s="5" t="inlineStr">
        <is>
          <t>Glasshoughton</t>
        </is>
      </c>
      <c r="Q50" s="5" t="inlineStr">
        <is>
          <t>Castleford</t>
        </is>
      </c>
      <c r="R50" s="5" t="inlineStr">
        <is>
          <t>West Yorkshire</t>
        </is>
      </c>
      <c r="S50" s="5" t="inlineStr">
        <is>
          <t>WF10 4RS</t>
        </is>
      </c>
      <c r="T50" s="5" t="inlineStr">
        <is>
          <t>Yorkshire &amp; Humber</t>
        </is>
      </c>
      <c r="U50" s="5" t="inlineStr">
        <is>
          <t>England</t>
        </is>
      </c>
      <c r="V50" s="5" t="inlineStr">
        <is>
          <t>01977 278353</t>
        </is>
      </c>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fuel; convenience grocery; alcohol</t>
        </is>
      </c>
      <c r="AL50" s="5" t="inlineStr"/>
      <c r="AM50" s="5" t="inlineStr">
        <is>
          <t>Petrol Station / Forecourt</t>
        </is>
      </c>
      <c r="AN50" s="5" t="inlineStr">
        <is>
          <t>BP fuel; Nisa Local shop supply</t>
        </is>
      </c>
      <c r="AO50" s="5" t="inlineStr">
        <is>
          <t>24/7 site near M62 J32/Xscape. FSA register lists the shop as 'Nisa Local @ Speed Petroleum', indicating an independent operator (Speed Petroleum) rather than a BP corporate site. Operator company details need Companies House follow-up.</t>
        </is>
      </c>
      <c r="AP50" s="5" t="inlineStr">
        <is>
          <t>Medium</t>
        </is>
      </c>
      <c r="AQ50" s="5" t="inlineStr">
        <is>
          <t>Multi-site retailer; Independent retailer; Relevant category; Active website</t>
        </is>
      </c>
      <c r="AR50" s="5" t="inlineStr">
        <is>
          <t>https://www.nisalocally.co.uk/stores/west-yorkshire/castleford/bp-glasshoughton-ser-st</t>
        </is>
      </c>
      <c r="AS50" s="5" t="inlineStr">
        <is>
          <t>https://www.justoffjunction.co.uk/fuel.php?ServiceID=4621</t>
        </is>
      </c>
      <c r="AT50" s="5" t="inlineStr">
        <is>
          <t>4</t>
        </is>
      </c>
      <c r="AU50" s="5" t="inlineStr">
        <is>
          <t>No</t>
        </is>
      </c>
      <c r="AV50" s="5" t="inlineStr">
        <is>
          <t>No</t>
        </is>
      </c>
      <c r="AW50" s="5" t="inlineStr">
        <is>
          <t>No</t>
        </is>
      </c>
      <c r="AX50" s="5" t="inlineStr">
        <is>
          <t>No</t>
        </is>
      </c>
      <c r="AY50" s="5" t="inlineStr">
        <is>
          <t>Verified directory</t>
        </is>
      </c>
      <c r="AZ50" s="5" t="inlineStr">
        <is>
          <t>Not Found</t>
        </is>
      </c>
      <c r="BA50" s="5" t="inlineStr">
        <is>
          <t>2026-09-16</t>
        </is>
      </c>
      <c r="BB50" s="5" t="inlineStr">
        <is>
          <t>Requires Verification</t>
        </is>
      </c>
      <c r="BC50" s="5" t="inlineStr">
        <is>
          <t>Medium</t>
        </is>
      </c>
      <c r="BD50" s="5" t="inlineStr"/>
      <c r="BE50" s="5" t="inlineStr">
        <is>
          <t>Business (B2B)</t>
        </is>
      </c>
      <c r="BF50" s="5" t="inlineStr">
        <is>
          <t>Legitimate interest (B2B) - assess per campaign; PECR: corporate subscribers</t>
        </is>
      </c>
      <c r="BG50" s="5" t="inlineStr"/>
      <c r="BH50" s="5" t="inlineStr">
        <is>
          <t>No</t>
        </is>
      </c>
      <c r="BI50" s="5" t="inlineStr">
        <is>
          <t>2026-09-16</t>
        </is>
      </c>
      <c r="BJ50" s="5" t="inlineStr">
        <is>
          <t>New</t>
        </is>
      </c>
      <c r="BK50" s="5" t="inlineStr">
        <is>
          <t>2026-09-16</t>
        </is>
      </c>
      <c r="BL50" s="5" t="inlineStr"/>
      <c r="BM50" s="5" t="inlineStr"/>
      <c r="BN50" s="5" t="inlineStr"/>
      <c r="BO50" s="5" t="inlineStr"/>
      <c r="BP50" s="5" t="inlineStr"/>
      <c r="BQ50" s="5" t="inlineStr"/>
    </row>
    <row r="51">
      <c r="A51" s="10" t="inlineStr">
        <is>
          <t>WY-0029</t>
        </is>
      </c>
      <c r="B51" s="10" t="inlineStr">
        <is>
          <t>TBCASHCARR-01</t>
        </is>
      </c>
      <c r="C51" s="10" t="inlineStr">
        <is>
          <t>TB Cash &amp; Carry</t>
        </is>
      </c>
      <c r="D51" s="10" t="inlineStr">
        <is>
          <t>TB Cash &amp; Carry (Bradford)</t>
        </is>
      </c>
      <c r="E51" s="10" t="inlineStr">
        <is>
          <t>TB Cash &amp; Carry</t>
        </is>
      </c>
      <c r="F51" s="10" t="inlineStr"/>
      <c r="G51" s="10" t="inlineStr">
        <is>
          <t>Cash &amp; Carry</t>
        </is>
      </c>
      <c r="H51" s="10" t="inlineStr">
        <is>
          <t>Confectionery, soft drinks, crisps &amp; snacks wholesaler</t>
        </is>
      </c>
      <c r="I51" s="10" t="inlineStr">
        <is>
          <t>Multi-Site Independent</t>
        </is>
      </c>
      <c r="J51" s="10" t="inlineStr">
        <is>
          <t>2</t>
        </is>
      </c>
      <c r="K51" s="10" t="inlineStr">
        <is>
          <t>https://tbcashandcarry.co.uk/</t>
        </is>
      </c>
      <c r="L51" s="10" t="inlineStr">
        <is>
          <t>https://www.facebook.com/p/TB-Cash-Carry-100077147298501/</t>
        </is>
      </c>
      <c r="M51" s="10" t="inlineStr"/>
      <c r="N51" s="10" t="inlineStr"/>
      <c r="O51" s="10" t="inlineStr">
        <is>
          <t>91 Legrams Lane</t>
        </is>
      </c>
      <c r="P51" s="10" t="inlineStr"/>
      <c r="Q51" s="10" t="inlineStr">
        <is>
          <t>Bradford</t>
        </is>
      </c>
      <c r="R51" s="10" t="inlineStr">
        <is>
          <t>West Yorkshire</t>
        </is>
      </c>
      <c r="S51" s="10" t="inlineStr">
        <is>
          <t>BD7 1NH</t>
        </is>
      </c>
      <c r="T51" s="10" t="inlineStr">
        <is>
          <t>Yorkshire &amp; Humber</t>
        </is>
      </c>
      <c r="U51" s="10" t="inlineStr">
        <is>
          <t>England</t>
        </is>
      </c>
      <c r="V51" s="10" t="inlineStr">
        <is>
          <t>01274 740555</t>
        </is>
      </c>
      <c r="W51" s="10" t="inlineStr"/>
      <c r="X51" s="10" t="inlineStr"/>
      <c r="Y51" s="10" t="inlineStr">
        <is>
          <t>info@tbcashandcarry.co.uk</t>
        </is>
      </c>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confectionery; soft drinks; crisps &amp; snacks</t>
        </is>
      </c>
      <c r="AL51" s="10" t="inlineStr"/>
      <c r="AM51" s="10" t="inlineStr">
        <is>
          <t>Cash &amp; Carry</t>
        </is>
      </c>
      <c r="AN51" s="10" t="inlineStr"/>
      <c r="AO51" s="10"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51" s="10" t="inlineStr">
        <is>
          <t>High</t>
        </is>
      </c>
      <c r="AQ51" s="10" t="inlineStr">
        <is>
          <t>Multi-site retailer; Independent retailer; Core relevant category; Public email available; Active website; Social presence</t>
        </is>
      </c>
      <c r="AR51" s="10" t="inlineStr">
        <is>
          <t>https://tbcashandcarry.co.uk/</t>
        </is>
      </c>
      <c r="AS51" s="10" t="inlineStr">
        <is>
          <t>https://www.yell.com/biz/t-b-cash-and-carry-bradford-949082/</t>
        </is>
      </c>
      <c r="AT51" s="10" t="inlineStr">
        <is>
          <t>3</t>
        </is>
      </c>
      <c r="AU51" s="10" t="inlineStr">
        <is>
          <t>Yes</t>
        </is>
      </c>
      <c r="AV51" s="10" t="inlineStr">
        <is>
          <t>No</t>
        </is>
      </c>
      <c r="AW51" s="10" t="inlineStr">
        <is>
          <t>No</t>
        </is>
      </c>
      <c r="AX51" s="10" t="inlineStr">
        <is>
          <t>Yes</t>
        </is>
      </c>
      <c r="AY51" s="10" t="inlineStr">
        <is>
          <t>Verified directory</t>
        </is>
      </c>
      <c r="AZ51" s="10" t="inlineStr">
        <is>
          <t>Unverified</t>
        </is>
      </c>
      <c r="BA51" s="10" t="inlineStr">
        <is>
          <t>2026-09-16</t>
        </is>
      </c>
      <c r="BB51" s="10" t="inlineStr">
        <is>
          <t>Verified (website + Companies House)</t>
        </is>
      </c>
      <c r="BC51" s="10" t="inlineStr">
        <is>
          <t>Medium</t>
        </is>
      </c>
      <c r="BD51" s="10" t="inlineStr"/>
      <c r="BE51" s="10" t="inlineStr">
        <is>
          <t>Business (B2B)</t>
        </is>
      </c>
      <c r="BF51" s="10" t="inlineStr">
        <is>
          <t>Legitimate interest (B2B) - assess per campaign; PECR: corporate subscribers</t>
        </is>
      </c>
      <c r="BG51" s="10" t="inlineStr"/>
      <c r="BH51" s="10" t="inlineStr">
        <is>
          <t>No</t>
        </is>
      </c>
      <c r="BI51" s="10" t="inlineStr">
        <is>
          <t>2026-09-16</t>
        </is>
      </c>
      <c r="BJ51" s="10" t="inlineStr">
        <is>
          <t>New</t>
        </is>
      </c>
      <c r="BK51" s="10" t="inlineStr">
        <is>
          <t>2026-09-16</t>
        </is>
      </c>
      <c r="BL51" s="10" t="inlineStr"/>
      <c r="BM51" s="10" t="inlineStr"/>
      <c r="BN51" s="10" t="inlineStr"/>
      <c r="BO51" s="10" t="inlineStr"/>
      <c r="BP51" s="10" t="inlineStr"/>
      <c r="BQ51" s="10" t="inlineStr"/>
    </row>
    <row r="52">
      <c r="A52" s="5" t="inlineStr">
        <is>
          <t>WY-0030</t>
        </is>
      </c>
      <c r="B52" s="5" t="inlineStr">
        <is>
          <t>TBCASHCARR-02</t>
        </is>
      </c>
      <c r="C52" s="5" t="inlineStr">
        <is>
          <t>TB Cash &amp; Carry</t>
        </is>
      </c>
      <c r="D52" s="5" t="inlineStr">
        <is>
          <t>TB Cash &amp; Carry (Leeds)</t>
        </is>
      </c>
      <c r="E52" s="5" t="inlineStr">
        <is>
          <t>TB Cash &amp; Carry</t>
        </is>
      </c>
      <c r="F52" s="5" t="inlineStr"/>
      <c r="G52" s="5" t="inlineStr">
        <is>
          <t>Cash &amp; Carry</t>
        </is>
      </c>
      <c r="H52" s="5" t="inlineStr">
        <is>
          <t>Confectionery, soft drinks, crisps &amp; snacks wholesaler</t>
        </is>
      </c>
      <c r="I52" s="5" t="inlineStr">
        <is>
          <t>Multi-Site Independent</t>
        </is>
      </c>
      <c r="J52" s="5" t="inlineStr">
        <is>
          <t>2</t>
        </is>
      </c>
      <c r="K52" s="5" t="inlineStr">
        <is>
          <t>https://tbcashandcarry.co.uk/</t>
        </is>
      </c>
      <c r="L52" s="5" t="inlineStr">
        <is>
          <t>https://www.facebook.com/p/TB-Cash-Carry-100064390671766/</t>
        </is>
      </c>
      <c r="M52" s="5" t="inlineStr"/>
      <c r="N52" s="5" t="inlineStr"/>
      <c r="O52" s="5" t="inlineStr">
        <is>
          <t>90 Gelderd Road</t>
        </is>
      </c>
      <c r="P52" s="5" t="inlineStr"/>
      <c r="Q52" s="5" t="inlineStr">
        <is>
          <t>Leeds</t>
        </is>
      </c>
      <c r="R52" s="5" t="inlineStr">
        <is>
          <t>West Yorkshire</t>
        </is>
      </c>
      <c r="S52" s="5" t="inlineStr">
        <is>
          <t>LS12 6HD</t>
        </is>
      </c>
      <c r="T52" s="5" t="inlineStr">
        <is>
          <t>Yorkshire &amp; Humber</t>
        </is>
      </c>
      <c r="U52" s="5" t="inlineStr">
        <is>
          <t>England</t>
        </is>
      </c>
      <c r="V52" s="5" t="inlineStr">
        <is>
          <t>0113 245 1454</t>
        </is>
      </c>
      <c r="W52" s="5" t="inlineStr"/>
      <c r="X52" s="5" t="inlineStr"/>
      <c r="Y52" s="5" t="inlineStr">
        <is>
          <t>info@tbcashandcarry.co.uk</t>
        </is>
      </c>
      <c r="Z52" s="5" t="inlineStr"/>
      <c r="AA52" s="5" t="inlineStr"/>
      <c r="AB52" s="5" t="inlineStr"/>
      <c r="AC52" s="5" t="inlineStr"/>
      <c r="AD52" s="5" t="inlineStr"/>
      <c r="AE52" s="5" t="inlineStr"/>
      <c r="AF52" s="5" t="inlineStr"/>
      <c r="AG52" s="5" t="inlineStr"/>
      <c r="AH52" s="5" t="inlineStr"/>
      <c r="AI52" s="5" t="inlineStr"/>
      <c r="AJ52" s="5" t="inlineStr"/>
      <c r="AK52" s="5" t="inlineStr">
        <is>
          <t>confectionery; soft drinks; crisps &amp; snacks</t>
        </is>
      </c>
      <c r="AL52" s="5" t="inlineStr"/>
      <c r="AM52" s="5" t="inlineStr">
        <is>
          <t>Cash &amp; Carry</t>
        </is>
      </c>
      <c r="AN52" s="5" t="inlineStr"/>
      <c r="AO52" s="5"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52" s="5" t="inlineStr">
        <is>
          <t>High</t>
        </is>
      </c>
      <c r="AQ52" s="5" t="inlineStr">
        <is>
          <t>Multi-site retailer; Independent retailer; Core relevant category; Public email available; Active website; Social presence</t>
        </is>
      </c>
      <c r="AR52" s="5" t="inlineStr">
        <is>
          <t>https://tbcashandcarry.co.uk/</t>
        </is>
      </c>
      <c r="AS52" s="5" t="inlineStr">
        <is>
          <t>https://www.thomsonlocal.com/search/cash-carry-wholesalers/leeds/t-b-cash-carry/1798109/01132451454</t>
        </is>
      </c>
      <c r="AT52" s="5" t="inlineStr">
        <is>
          <t>3</t>
        </is>
      </c>
      <c r="AU52" s="5" t="inlineStr">
        <is>
          <t>Yes</t>
        </is>
      </c>
      <c r="AV52" s="5" t="inlineStr">
        <is>
          <t>No</t>
        </is>
      </c>
      <c r="AW52" s="5" t="inlineStr">
        <is>
          <t>No</t>
        </is>
      </c>
      <c r="AX52" s="5" t="inlineStr">
        <is>
          <t>Yes</t>
        </is>
      </c>
      <c r="AY52" s="5" t="inlineStr">
        <is>
          <t>Verified directory</t>
        </is>
      </c>
      <c r="AZ52" s="5" t="inlineStr">
        <is>
          <t>Unverified</t>
        </is>
      </c>
      <c r="BA52" s="5" t="inlineStr">
        <is>
          <t>2026-09-16</t>
        </is>
      </c>
      <c r="BB52" s="5" t="inlineStr">
        <is>
          <t>Verified (website + Companies House)</t>
        </is>
      </c>
      <c r="BC52" s="5" t="inlineStr">
        <is>
          <t>Medium</t>
        </is>
      </c>
      <c r="BD52" s="5" t="inlineStr"/>
      <c r="BE52" s="5" t="inlineStr">
        <is>
          <t>Business (B2B)</t>
        </is>
      </c>
      <c r="BF52" s="5" t="inlineStr">
        <is>
          <t>Legitimate interest (B2B) - assess per campaign; PECR: corporate subscribers</t>
        </is>
      </c>
      <c r="BG52" s="5" t="inlineStr"/>
      <c r="BH52" s="5" t="inlineStr">
        <is>
          <t>No</t>
        </is>
      </c>
      <c r="BI52" s="5" t="inlineStr">
        <is>
          <t>2026-09-16</t>
        </is>
      </c>
      <c r="BJ52" s="5" t="inlineStr">
        <is>
          <t>New</t>
        </is>
      </c>
      <c r="BK52" s="5" t="inlineStr">
        <is>
          <t>2026-09-16</t>
        </is>
      </c>
      <c r="BL52" s="5" t="inlineStr"/>
      <c r="BM52" s="5" t="inlineStr"/>
      <c r="BN52" s="5" t="inlineStr"/>
      <c r="BO52" s="5" t="inlineStr"/>
      <c r="BP52" s="5" t="inlineStr"/>
      <c r="BQ52" s="5" t="inlineStr"/>
    </row>
    <row r="53">
      <c r="A53" s="10" t="inlineStr">
        <is>
          <t>UK-000215</t>
        </is>
      </c>
      <c r="B53" s="10" t="inlineStr">
        <is>
          <t>THEDRAMSHO-01</t>
        </is>
      </c>
      <c r="C53" s="10" t="inlineStr">
        <is>
          <t>The Dram Shop</t>
        </is>
      </c>
      <c r="D53" s="10" t="inlineStr">
        <is>
          <t>The Dram Shop</t>
        </is>
      </c>
      <c r="E53" s="10" t="inlineStr">
        <is>
          <t>The Dram Shop</t>
        </is>
      </c>
      <c r="F53" s="10" t="inlineStr"/>
      <c r="G53" s="10" t="inlineStr">
        <is>
          <t>Off-Licence</t>
        </is>
      </c>
      <c r="H53" s="10" t="inlineStr">
        <is>
          <t>Wine, spirits and craft beer merchant</t>
        </is>
      </c>
      <c r="I53" s="10" t="inlineStr">
        <is>
          <t>Multi-Site Independent</t>
        </is>
      </c>
      <c r="J53" s="10" t="inlineStr">
        <is>
          <t>2</t>
        </is>
      </c>
      <c r="K53" s="10" t="inlineStr"/>
      <c r="L53" s="10" t="inlineStr"/>
      <c r="M53" s="10" t="inlineStr"/>
      <c r="N53" s="10" t="inlineStr"/>
      <c r="O53" s="10" t="inlineStr">
        <is>
          <t>21 Commonside</t>
        </is>
      </c>
      <c r="P53" s="10" t="inlineStr"/>
      <c r="Q53" s="10" t="inlineStr">
        <is>
          <t>Sheffield</t>
        </is>
      </c>
      <c r="R53" s="10" t="inlineStr">
        <is>
          <t>South Yorkshire</t>
        </is>
      </c>
      <c r="S53" s="10" t="inlineStr">
        <is>
          <t>S10 1GA</t>
        </is>
      </c>
      <c r="T53" s="10" t="inlineStr">
        <is>
          <t>Yorkshire &amp; Humber</t>
        </is>
      </c>
      <c r="U53" s="10" t="inlineStr">
        <is>
          <t>England</t>
        </is>
      </c>
      <c r="V53" s="10" t="inlineStr">
        <is>
          <t>0114 268 3117</t>
        </is>
      </c>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fine wines; spirits; craft beers</t>
        </is>
      </c>
      <c r="AL53" s="10" t="inlineStr"/>
      <c r="AM53" s="10" t="inlineStr">
        <is>
          <t>Off-Licence</t>
        </is>
      </c>
      <c r="AN53" s="10" t="inlineStr"/>
      <c r="AO53" s="10" t="inlineStr">
        <is>
          <t>Well-regarded independent off-licence on Commonside, Sheffield, with a curated wine/spirit/craft-beer range; operates a second Sheffield branch (Hillsborough). Address/postcode/phone from Yelp and FindOpen listings.</t>
        </is>
      </c>
      <c r="AP53" s="10" t="inlineStr">
        <is>
          <t>Medium</t>
        </is>
      </c>
      <c r="AQ53" s="10" t="inlineStr">
        <is>
          <t>Multi-site retailer; Independent retailer; Relevant category</t>
        </is>
      </c>
      <c r="AR53" s="10" t="inlineStr">
        <is>
          <t>https://www.yelp.co.uk/biz/dram-shop-sheffield</t>
        </is>
      </c>
      <c r="AS53" s="10" t="inlineStr">
        <is>
          <t>https://find-open.co.uk/sheffield/the-dram-shop-1534489</t>
        </is>
      </c>
      <c r="AT53" s="10" t="inlineStr">
        <is>
          <t>2</t>
        </is>
      </c>
      <c r="AU53" s="10" t="inlineStr">
        <is>
          <t>No</t>
        </is>
      </c>
      <c r="AV53" s="10" t="inlineStr">
        <is>
          <t>No</t>
        </is>
      </c>
      <c r="AW53" s="10" t="inlineStr">
        <is>
          <t>No</t>
        </is>
      </c>
      <c r="AX53" s="10" t="inlineStr">
        <is>
          <t>No</t>
        </is>
      </c>
      <c r="AY53" s="10" t="inlineStr">
        <is>
          <t>Verified directory</t>
        </is>
      </c>
      <c r="AZ53" s="10" t="inlineStr">
        <is>
          <t>Not Found</t>
        </is>
      </c>
      <c r="BA53" s="10" t="inlineStr">
        <is>
          <t>2026-09-16</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2026-09-16</t>
        </is>
      </c>
      <c r="BJ53" s="10" t="inlineStr">
        <is>
          <t>New</t>
        </is>
      </c>
      <c r="BK53" s="10" t="inlineStr">
        <is>
          <t>2026-09-16</t>
        </is>
      </c>
      <c r="BL53" s="10" t="inlineStr"/>
      <c r="BM53" s="10" t="inlineStr"/>
      <c r="BN53" s="10" t="inlineStr"/>
      <c r="BO53" s="10" t="inlineStr"/>
      <c r="BP53" s="10" t="inlineStr"/>
      <c r="BQ53" s="10" t="inlineStr"/>
    </row>
    <row r="54">
      <c r="A54" s="5" t="inlineStr">
        <is>
          <t>WY-0031</t>
        </is>
      </c>
      <c r="B54" s="5" t="inlineStr">
        <is>
          <t>THEVAPECEN-01</t>
        </is>
      </c>
      <c r="C54" s="5" t="inlineStr">
        <is>
          <t>The Vape Centre</t>
        </is>
      </c>
      <c r="D54" s="5" t="inlineStr">
        <is>
          <t>The Vape Centre (Wetherby)</t>
        </is>
      </c>
      <c r="E54" s="5" t="inlineStr">
        <is>
          <t>The Vape Centre</t>
        </is>
      </c>
      <c r="F54" s="5" t="inlineStr">
        <is>
          <t>Vape Centre Wetherby Ltd</t>
        </is>
      </c>
      <c r="G54" s="5" t="inlineStr">
        <is>
          <t>Vape Shop</t>
        </is>
      </c>
      <c r="H54" s="5" t="inlineStr"/>
      <c r="I54" s="5" t="inlineStr">
        <is>
          <t>Multi-Site Independent</t>
        </is>
      </c>
      <c r="J54" s="5" t="inlineStr">
        <is>
          <t>2</t>
        </is>
      </c>
      <c r="K54" s="5" t="inlineStr">
        <is>
          <t>http://www.thevapecentre.co.uk/</t>
        </is>
      </c>
      <c r="L54" s="5" t="inlineStr"/>
      <c r="M54" s="5" t="inlineStr"/>
      <c r="N54" s="5" t="inlineStr"/>
      <c r="O54" s="5" t="inlineStr">
        <is>
          <t>16 Market Place</t>
        </is>
      </c>
      <c r="P54" s="5" t="inlineStr"/>
      <c r="Q54" s="5" t="inlineStr">
        <is>
          <t>Wetherby</t>
        </is>
      </c>
      <c r="R54" s="5" t="inlineStr">
        <is>
          <t>West Yorkshire</t>
        </is>
      </c>
      <c r="S54" s="5" t="inlineStr">
        <is>
          <t>LS22 6NE</t>
        </is>
      </c>
      <c r="T54" s="5" t="inlineStr">
        <is>
          <t>Yorkshire &amp; Humber</t>
        </is>
      </c>
      <c r="U54" s="5" t="inlineStr">
        <is>
          <t>England</t>
        </is>
      </c>
      <c r="V54" s="5" t="inlineStr">
        <is>
          <t>07388 892397</t>
        </is>
      </c>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vape hardware; e-liquids</t>
        </is>
      </c>
      <c r="AL54" s="5" t="inlineStr"/>
      <c r="AM54" s="5" t="inlineStr">
        <is>
          <t>Vape Shop</t>
        </is>
      </c>
      <c r="AN54" s="5" t="inlineStr"/>
      <c r="AO54" s="5" t="inlineStr">
        <is>
          <t>Second branch at 2 Gillygate, York (The Vape Centre York/Wetherby). Legal name 'Vape Centre Wetherby Ltd' per Cylex listing title - not yet verified at Companies House (CH site blocked by network proxy this session).</t>
        </is>
      </c>
      <c r="AP54" s="5" t="inlineStr">
        <is>
          <t>High</t>
        </is>
      </c>
      <c r="AQ54" s="5" t="inlineStr">
        <is>
          <t>Multi-site retailer; Independent retailer; Core relevant category; Active website</t>
        </is>
      </c>
      <c r="AR54" s="5" t="inlineStr">
        <is>
          <t>https://wetherbytowncouncil.gov.uk/our-businesses/vape-centre/</t>
        </is>
      </c>
      <c r="AS54" s="5" t="inlineStr">
        <is>
          <t>https://www.wegetyoufound.co.uk/listings/the-vape-centre/wetherby/vaporizer-store</t>
        </is>
      </c>
      <c r="AT54" s="5" t="inlineStr">
        <is>
          <t>3</t>
        </is>
      </c>
      <c r="AU54" s="5" t="inlineStr">
        <is>
          <t>No</t>
        </is>
      </c>
      <c r="AV54" s="5" t="inlineStr">
        <is>
          <t>No</t>
        </is>
      </c>
      <c r="AW54" s="5" t="inlineStr">
        <is>
          <t>No</t>
        </is>
      </c>
      <c r="AX54" s="5" t="inlineStr">
        <is>
          <t>No</t>
        </is>
      </c>
      <c r="AY54" s="5" t="inlineStr">
        <is>
          <t>Verified directory</t>
        </is>
      </c>
      <c r="AZ54" s="5" t="inlineStr">
        <is>
          <t>Website Found</t>
        </is>
      </c>
      <c r="BA54" s="5" t="inlineStr">
        <is>
          <t>2026-09-16</t>
        </is>
      </c>
      <c r="BB54" s="5" t="inlineStr">
        <is>
          <t>Requires Verification</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2026-09-16</t>
        </is>
      </c>
      <c r="BJ54" s="5" t="inlineStr">
        <is>
          <t>New</t>
        </is>
      </c>
      <c r="BK54" s="5" t="inlineStr">
        <is>
          <t>2026-09-16</t>
        </is>
      </c>
      <c r="BL54" s="5" t="inlineStr"/>
      <c r="BM54" s="5" t="inlineStr"/>
      <c r="BN54" s="5" t="inlineStr"/>
      <c r="BO54" s="5" t="inlineStr"/>
      <c r="BP54" s="5" t="inlineStr"/>
      <c r="BQ54" s="5" t="inlineStr"/>
    </row>
    <row r="55">
      <c r="A55" s="10" t="inlineStr">
        <is>
          <t>WY-0032</t>
        </is>
      </c>
      <c r="B55" s="10" t="inlineStr">
        <is>
          <t>TOTALLYWIC-01</t>
        </is>
      </c>
      <c r="C55" s="10" t="inlineStr">
        <is>
          <t>Totally Wicked</t>
        </is>
      </c>
      <c r="D55" s="10" t="inlineStr">
        <is>
          <t>Totally Wicked</t>
        </is>
      </c>
      <c r="E55" s="10" t="inlineStr">
        <is>
          <t>Totally Wicked Brighouse</t>
        </is>
      </c>
      <c r="F55" s="10" t="inlineStr"/>
      <c r="G55" s="10" t="inlineStr">
        <is>
          <t>Vape Shop</t>
        </is>
      </c>
      <c r="H55" s="10" t="inlineStr">
        <is>
          <t>E-cigarette and e-liquid chain store</t>
        </is>
      </c>
      <c r="I55" s="10" t="inlineStr">
        <is>
          <t>National Chain</t>
        </is>
      </c>
      <c r="J55" s="10" t="inlineStr"/>
      <c r="K55" s="10" t="inlineStr"/>
      <c r="L55" s="10" t="inlineStr"/>
      <c r="M55" s="10" t="inlineStr"/>
      <c r="N55" s="10" t="inlineStr"/>
      <c r="O55" s="10" t="inlineStr">
        <is>
          <t>53-55 Bethel Street</t>
        </is>
      </c>
      <c r="P55" s="10" t="inlineStr"/>
      <c r="Q55" s="10" t="inlineStr">
        <is>
          <t>Brighouse</t>
        </is>
      </c>
      <c r="R55" s="10" t="inlineStr">
        <is>
          <t>West Yorkshire</t>
        </is>
      </c>
      <c r="S55" s="10" t="inlineStr">
        <is>
          <t>HD6 1JR</t>
        </is>
      </c>
      <c r="T55" s="10" t="inlineStr">
        <is>
          <t>Yorkshire &amp; Humber</t>
        </is>
      </c>
      <c r="U55" s="10" t="inlineStr">
        <is>
          <t>England</t>
        </is>
      </c>
      <c r="V55" s="10" t="inlineStr">
        <is>
          <t>01484 769431</t>
        </is>
      </c>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is>
          <t>Totally Wicked</t>
        </is>
      </c>
      <c r="AK55" s="10" t="inlineStr">
        <is>
          <t>vape hardware; e-liquids; disposables</t>
        </is>
      </c>
      <c r="AL55" s="10" t="inlineStr"/>
      <c r="AM55" s="10" t="inlineStr">
        <is>
          <t>Vape Shop</t>
        </is>
      </c>
      <c r="AN55" s="10" t="inlineStr"/>
      <c r="AO55" s="10" t="inlineStr">
        <is>
          <t>Some Totally Wicked branded stores are franchised; ownership of this branch not established.</t>
        </is>
      </c>
      <c r="AP55" s="10" t="inlineStr">
        <is>
          <t>Medium</t>
        </is>
      </c>
      <c r="AQ55" s="10" t="inlineStr">
        <is>
          <t>Multi-site retailer; Core relevant category</t>
        </is>
      </c>
      <c r="AR55" s="10" t="inlineStr">
        <is>
          <t>https://brighouse.cylex-uk.co.uk/vape-shops/</t>
        </is>
      </c>
      <c r="AS55" s="10" t="inlineStr"/>
      <c r="AT55" s="10" t="inlineStr">
        <is>
          <t>1</t>
        </is>
      </c>
      <c r="AU55" s="10" t="inlineStr">
        <is>
          <t>No</t>
        </is>
      </c>
      <c r="AV55" s="10" t="inlineStr">
        <is>
          <t>No</t>
        </is>
      </c>
      <c r="AW55" s="10" t="inlineStr">
        <is>
          <t>No</t>
        </is>
      </c>
      <c r="AX55" s="10" t="inlineStr">
        <is>
          <t>No</t>
        </is>
      </c>
      <c r="AY55" s="10" t="inlineStr">
        <is>
          <t>Verified directory</t>
        </is>
      </c>
      <c r="AZ55" s="10" t="inlineStr">
        <is>
          <t>Not Found</t>
        </is>
      </c>
      <c r="BA55" s="10" t="inlineStr">
        <is>
          <t>2026-09-16</t>
        </is>
      </c>
      <c r="BB55" s="10" t="inlineStr">
        <is>
          <t>Requires Verification</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2026-09-16</t>
        </is>
      </c>
      <c r="BJ55" s="10" t="inlineStr">
        <is>
          <t>New</t>
        </is>
      </c>
      <c r="BK55" s="10" t="inlineStr">
        <is>
          <t>2026-09-16</t>
        </is>
      </c>
      <c r="BL55" s="10" t="inlineStr"/>
      <c r="BM55" s="10" t="inlineStr"/>
      <c r="BN55" s="10" t="inlineStr"/>
      <c r="BO55" s="10" t="inlineStr"/>
      <c r="BP55" s="10" t="inlineStr"/>
      <c r="BQ55" s="10" t="inlineStr"/>
    </row>
    <row r="56">
      <c r="A56" s="5" t="inlineStr">
        <is>
          <t>WY-0033</t>
        </is>
      </c>
      <c r="B56" s="5" t="inlineStr">
        <is>
          <t>TOTALLYWIC-02</t>
        </is>
      </c>
      <c r="C56" s="5" t="inlineStr">
        <is>
          <t>Totally Wicked</t>
        </is>
      </c>
      <c r="D56" s="5" t="inlineStr">
        <is>
          <t>Totally Wicked</t>
        </is>
      </c>
      <c r="E56" s="5" t="inlineStr">
        <is>
          <t>Totally Wicked Halifax</t>
        </is>
      </c>
      <c r="F56" s="5" t="inlineStr"/>
      <c r="G56" s="5" t="inlineStr">
        <is>
          <t>Vape Shop</t>
        </is>
      </c>
      <c r="H56" s="5" t="inlineStr">
        <is>
          <t>E-cigarette and e-liquid chain store</t>
        </is>
      </c>
      <c r="I56" s="5" t="inlineStr">
        <is>
          <t>National Chain</t>
        </is>
      </c>
      <c r="J56" s="5" t="inlineStr"/>
      <c r="K56" s="5" t="inlineStr">
        <is>
          <t>https://www.totallywicked-eliquid.co.uk/stores/halifax-e-cigs-e-liquid-shop</t>
        </is>
      </c>
      <c r="L56" s="5" t="inlineStr"/>
      <c r="M56" s="5" t="inlineStr"/>
      <c r="N56" s="5" t="inlineStr"/>
      <c r="O56" s="5" t="inlineStr">
        <is>
          <t>10 Commercial Street</t>
        </is>
      </c>
      <c r="P56" s="5" t="inlineStr"/>
      <c r="Q56" s="5" t="inlineStr">
        <is>
          <t>Halifax</t>
        </is>
      </c>
      <c r="R56" s="5" t="inlineStr">
        <is>
          <t>West Yorkshire</t>
        </is>
      </c>
      <c r="S56" s="5" t="inlineStr">
        <is>
          <t>HX1 1TA</t>
        </is>
      </c>
      <c r="T56" s="5" t="inlineStr">
        <is>
          <t>Yorkshire &amp; Humber</t>
        </is>
      </c>
      <c r="U56" s="5" t="inlineStr">
        <is>
          <t>England</t>
        </is>
      </c>
      <c r="V56" s="5" t="inlineStr">
        <is>
          <t>01422 320223</t>
        </is>
      </c>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is>
          <t>Totally Wicked; Lost Mary; Elf Bar</t>
        </is>
      </c>
      <c r="AK56" s="5" t="inlineStr">
        <is>
          <t>vape hardware; e-liquids; disposables</t>
        </is>
      </c>
      <c r="AL56" s="5" t="inlineStr"/>
      <c r="AM56" s="5" t="inlineStr">
        <is>
          <t>Vape Shop</t>
        </is>
      </c>
      <c r="AN56" s="5" t="inlineStr"/>
      <c r="AO56" s="5" t="inlineStr">
        <is>
          <t>Authorised Totally Wicked stockist store; some Totally Wicked branded stores are franchised, ownership of this branch not established.</t>
        </is>
      </c>
      <c r="AP56" s="5" t="inlineStr">
        <is>
          <t>Medium</t>
        </is>
      </c>
      <c r="AQ56" s="5" t="inlineStr">
        <is>
          <t>Multi-site retailer; Core relevant category; Active website</t>
        </is>
      </c>
      <c r="AR56" s="5" t="inlineStr">
        <is>
          <t>https://www.totallywicked-eliquid.co.uk/stores/halifax-e-cigs-e-liquid-shop</t>
        </is>
      </c>
      <c r="AS56" s="5" t="inlineStr">
        <is>
          <t>https://www.yell.com/s/tobacconists-halifax.html</t>
        </is>
      </c>
      <c r="AT56" s="5" t="inlineStr">
        <is>
          <t>3</t>
        </is>
      </c>
      <c r="AU56" s="5" t="inlineStr">
        <is>
          <t>No</t>
        </is>
      </c>
      <c r="AV56" s="5" t="inlineStr">
        <is>
          <t>No</t>
        </is>
      </c>
      <c r="AW56" s="5" t="inlineStr">
        <is>
          <t>No</t>
        </is>
      </c>
      <c r="AX56" s="5" t="inlineStr">
        <is>
          <t>No</t>
        </is>
      </c>
      <c r="AY56" s="5" t="inlineStr">
        <is>
          <t>Verified directory</t>
        </is>
      </c>
      <c r="AZ56" s="5" t="inlineStr">
        <is>
          <t>Website Found</t>
        </is>
      </c>
      <c r="BA56" s="5" t="inlineStr">
        <is>
          <t>2026-09-16</t>
        </is>
      </c>
      <c r="BB56" s="5" t="inlineStr">
        <is>
          <t>Requires Verification</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2026-09-16</t>
        </is>
      </c>
      <c r="BJ56" s="5" t="inlineStr">
        <is>
          <t>New</t>
        </is>
      </c>
      <c r="BK56" s="5" t="inlineStr">
        <is>
          <t>2026-09-16</t>
        </is>
      </c>
      <c r="BL56" s="5" t="inlineStr"/>
      <c r="BM56" s="5" t="inlineStr"/>
      <c r="BN56" s="5" t="inlineStr"/>
      <c r="BO56" s="5" t="inlineStr"/>
      <c r="BP56" s="5" t="inlineStr"/>
      <c r="BQ56" s="5" t="inlineStr"/>
    </row>
    <row r="57">
      <c r="A57" s="10" t="inlineStr">
        <is>
          <t>UK-000216</t>
        </is>
      </c>
      <c r="B57" s="10" t="inlineStr">
        <is>
          <t>VAPEXSTORE-01</t>
        </is>
      </c>
      <c r="C57" s="10" t="inlineStr">
        <is>
          <t>VAPEx Stores</t>
        </is>
      </c>
      <c r="D57" s="10" t="inlineStr">
        <is>
          <t>VAPEx Doncaster</t>
        </is>
      </c>
      <c r="E57" s="10" t="inlineStr">
        <is>
          <t>VAPEx</t>
        </is>
      </c>
      <c r="F57" s="10" t="inlineStr"/>
      <c r="G57" s="10" t="inlineStr">
        <is>
          <t>Vape Shop</t>
        </is>
      </c>
      <c r="H57" s="10" t="inlineStr">
        <is>
          <t>E-cigarette and vape shop</t>
        </is>
      </c>
      <c r="I57" s="10" t="inlineStr">
        <is>
          <t>Multi-Site Independent</t>
        </is>
      </c>
      <c r="J57" s="10" t="inlineStr">
        <is>
          <t>1</t>
        </is>
      </c>
      <c r="K57" s="10" t="inlineStr">
        <is>
          <t>https://vapexstores.co.uk/dn1</t>
        </is>
      </c>
      <c r="L57" s="10" t="inlineStr">
        <is>
          <t>https://www.facebook.com/vapexdoncaster/</t>
        </is>
      </c>
      <c r="M57" s="10" t="inlineStr"/>
      <c r="N57" s="10" t="inlineStr"/>
      <c r="O57" s="10" t="inlineStr">
        <is>
          <t>61a Carr House Road</t>
        </is>
      </c>
      <c r="P57" s="10" t="inlineStr"/>
      <c r="Q57" s="10" t="inlineStr">
        <is>
          <t>Doncaster</t>
        </is>
      </c>
      <c r="R57" s="10" t="inlineStr">
        <is>
          <t>South Yorkshire</t>
        </is>
      </c>
      <c r="S57" s="10" t="inlineStr">
        <is>
          <t>DN1 2BY</t>
        </is>
      </c>
      <c r="T57" s="10" t="inlineStr">
        <is>
          <t>Yorkshire &amp; Humber</t>
        </is>
      </c>
      <c r="U57" s="10" t="inlineStr">
        <is>
          <t>England</t>
        </is>
      </c>
      <c r="V57" s="10" t="inlineStr">
        <is>
          <t>01302 315051</t>
        </is>
      </c>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vape hardware; e-liquids; disposables; accessories</t>
        </is>
      </c>
      <c r="AL57" s="10" t="inlineStr"/>
      <c r="AM57" s="10" t="inlineStr">
        <is>
          <t>Vape Shop</t>
        </is>
      </c>
      <c r="AN57" s="10" t="inlineStr"/>
      <c r="AO57" s="10" t="inlineStr">
        <is>
          <t>VAPEx is a multi-site vape retailer (vapexstores.co.uk); Doncaster DN1 branch on Carr House Road. Address/phone cross-checked in directory listings.</t>
        </is>
      </c>
      <c r="AP57" s="10" t="inlineStr">
        <is>
          <t>High</t>
        </is>
      </c>
      <c r="AQ57" s="10" t="inlineStr">
        <is>
          <t>Multi-site retailer; Independent retailer; Core relevant category; Active website; Social presence</t>
        </is>
      </c>
      <c r="AR57" s="10" t="inlineStr">
        <is>
          <t>https://directory.gazettelive.co.uk/company/38099bbaff0399ea2ed5ae56d12efd2e</t>
        </is>
      </c>
      <c r="AS57" s="10" t="inlineStr">
        <is>
          <t>https://www.thomsonlocal.com/search/smoking-cessation/doncaster/vapex/3267060/01302315051</t>
        </is>
      </c>
      <c r="AT57" s="10" t="inlineStr">
        <is>
          <t>2</t>
        </is>
      </c>
      <c r="AU57" s="10" t="inlineStr">
        <is>
          <t>No</t>
        </is>
      </c>
      <c r="AV57" s="10" t="inlineStr">
        <is>
          <t>No</t>
        </is>
      </c>
      <c r="AW57" s="10" t="inlineStr">
        <is>
          <t>No</t>
        </is>
      </c>
      <c r="AX57" s="10" t="inlineStr">
        <is>
          <t>No</t>
        </is>
      </c>
      <c r="AY57" s="10" t="inlineStr">
        <is>
          <t>Verified directory</t>
        </is>
      </c>
      <c r="AZ57" s="10" t="inlineStr">
        <is>
          <t>Website Found</t>
        </is>
      </c>
      <c r="BA57" s="10" t="inlineStr">
        <is>
          <t>2026-09-16</t>
        </is>
      </c>
      <c r="BB57" s="10" t="inlineStr">
        <is>
          <t>Requires Verification</t>
        </is>
      </c>
      <c r="BC57" s="10" t="inlineStr">
        <is>
          <t>Medium</t>
        </is>
      </c>
      <c r="BD57" s="10" t="inlineStr"/>
      <c r="BE57" s="10" t="inlineStr">
        <is>
          <t>Business (B2B)</t>
        </is>
      </c>
      <c r="BF57" s="10" t="inlineStr">
        <is>
          <t>Legitimate interest (B2B) - assess per campaign; PECR: corporate subscribers</t>
        </is>
      </c>
      <c r="BG57" s="10" t="inlineStr"/>
      <c r="BH57" s="10" t="inlineStr">
        <is>
          <t>No</t>
        </is>
      </c>
      <c r="BI57" s="10" t="inlineStr">
        <is>
          <t>2026-09-16</t>
        </is>
      </c>
      <c r="BJ57" s="10" t="inlineStr">
        <is>
          <t>New</t>
        </is>
      </c>
      <c r="BK57" s="10" t="inlineStr">
        <is>
          <t>2026-09-16</t>
        </is>
      </c>
      <c r="BL57" s="10" t="inlineStr"/>
      <c r="BM57" s="10" t="inlineStr"/>
      <c r="BN57" s="10" t="inlineStr"/>
      <c r="BO57" s="10" t="inlineStr"/>
      <c r="BP57" s="10" t="inlineStr"/>
      <c r="BQ57" s="10" t="inlineStr"/>
    </row>
    <row r="58">
      <c r="A58" s="5" t="inlineStr">
        <is>
          <t>UK-000217</t>
        </is>
      </c>
      <c r="B58" s="5" t="inlineStr">
        <is>
          <t>VALLIFOREC-01</t>
        </is>
      </c>
      <c r="C58" s="5" t="inlineStr">
        <is>
          <t>Valli Forecourts</t>
        </is>
      </c>
      <c r="D58" s="5" t="inlineStr">
        <is>
          <t>Valli Forecourts (Bawtry Road)</t>
        </is>
      </c>
      <c r="E58" s="5" t="inlineStr">
        <is>
          <t>Valli Forecourts</t>
        </is>
      </c>
      <c r="F58" s="5" t="inlineStr"/>
      <c r="G58" s="5" t="inlineStr">
        <is>
          <t>Petrol Station / Forecourt</t>
        </is>
      </c>
      <c r="H58" s="5" t="inlineStr">
        <is>
          <t>Independent forecourt with convenience store</t>
        </is>
      </c>
      <c r="I58" s="5" t="inlineStr">
        <is>
          <t>Multi-Site Independent</t>
        </is>
      </c>
      <c r="J58" s="5" t="inlineStr">
        <is>
          <t>1</t>
        </is>
      </c>
      <c r="K58" s="5" t="inlineStr"/>
      <c r="L58" s="5" t="inlineStr"/>
      <c r="M58" s="5" t="inlineStr"/>
      <c r="N58" s="5" t="inlineStr"/>
      <c r="O58" s="5" t="inlineStr">
        <is>
          <t>Bawtry Road</t>
        </is>
      </c>
      <c r="P58" s="5" t="inlineStr"/>
      <c r="Q58" s="5" t="inlineStr">
        <is>
          <t>Doncaster</t>
        </is>
      </c>
      <c r="R58" s="5" t="inlineStr">
        <is>
          <t>South Yorkshire</t>
        </is>
      </c>
      <c r="S58" s="5" t="inlineStr"/>
      <c r="T58" s="5" t="inlineStr">
        <is>
          <t>Yorkshire &amp; Humber</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fuel; convenience groceries; forecourt shop</t>
        </is>
      </c>
      <c r="AL58" s="5" t="inlineStr"/>
      <c r="AM58" s="5" t="inlineStr">
        <is>
          <t>Petrol Station / Forecourt</t>
        </is>
      </c>
      <c r="AN58" s="5" t="inlineStr"/>
      <c r="AO58" s="5" t="inlineStr">
        <is>
          <t>Independent forecourt operator (Valli Forecourts is a multi-site independent forecourt group) on Bawtry Road, Doncaster. Listed in Doncaster petrol-station directory; exact house number/postcode not captured.</t>
        </is>
      </c>
      <c r="AP58" s="5" t="inlineStr">
        <is>
          <t>Medium</t>
        </is>
      </c>
      <c r="AQ58" s="5" t="inlineStr">
        <is>
          <t>Multi-site retailer; Independent retailer; Relevant category</t>
        </is>
      </c>
      <c r="AR58" s="5" t="inlineStr">
        <is>
          <t>https://www.mylocalservices.co.uk/24+Hr+Petrol+Stations-Doncaster.html</t>
        </is>
      </c>
      <c r="AS58" s="5" t="inlineStr"/>
      <c r="AT58" s="5" t="inlineStr">
        <is>
          <t>1</t>
        </is>
      </c>
      <c r="AU58" s="5" t="inlineStr">
        <is>
          <t>No</t>
        </is>
      </c>
      <c r="AV58" s="5" t="inlineStr">
        <is>
          <t>No</t>
        </is>
      </c>
      <c r="AW58" s="5" t="inlineStr">
        <is>
          <t>No</t>
        </is>
      </c>
      <c r="AX58" s="5" t="inlineStr">
        <is>
          <t>No</t>
        </is>
      </c>
      <c r="AY58" s="5" t="inlineStr">
        <is>
          <t>Not Found</t>
        </is>
      </c>
      <c r="AZ58" s="5" t="inlineStr">
        <is>
          <t>Not Found</t>
        </is>
      </c>
      <c r="BA58" s="5" t="inlineStr">
        <is>
          <t>2026-09-16</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2026-09-16</t>
        </is>
      </c>
      <c r="BJ58" s="5" t="inlineStr">
        <is>
          <t>New</t>
        </is>
      </c>
      <c r="BK58" s="5" t="inlineStr">
        <is>
          <t>2026-09-16</t>
        </is>
      </c>
      <c r="BL58" s="5" t="inlineStr"/>
      <c r="BM58" s="5" t="inlineStr"/>
      <c r="BN58" s="5" t="inlineStr"/>
      <c r="BO58" s="5" t="inlineStr"/>
      <c r="BP58" s="5" t="inlineStr"/>
      <c r="BQ58" s="5" t="inlineStr"/>
    </row>
    <row r="59">
      <c r="A59" s="10" t="inlineStr">
        <is>
          <t>WY-0034</t>
        </is>
      </c>
      <c r="B59" s="10" t="inlineStr">
        <is>
          <t>VALLIFOREC-01</t>
        </is>
      </c>
      <c r="C59" s="10" t="inlineStr">
        <is>
          <t>Valli Forecourts Ltd</t>
        </is>
      </c>
      <c r="D59" s="10" t="inlineStr">
        <is>
          <t>BP Gledhow Service Station (Valli Forecourts)</t>
        </is>
      </c>
      <c r="E59" s="10" t="inlineStr">
        <is>
          <t>Gledhow Service Station</t>
        </is>
      </c>
      <c r="F59" s="10" t="inlineStr">
        <is>
          <t>Valli Forecourts Ltd</t>
        </is>
      </c>
      <c r="G59" s="10" t="inlineStr">
        <is>
          <t>Petrol Station / Forecourt</t>
        </is>
      </c>
      <c r="H59" s="10" t="inlineStr">
        <is>
          <t>BP-branded forecourt with convenience store</t>
        </is>
      </c>
      <c r="I59" s="10" t="inlineStr">
        <is>
          <t>Regional Chain</t>
        </is>
      </c>
      <c r="J59" s="10" t="inlineStr">
        <is>
          <t>16</t>
        </is>
      </c>
      <c r="K59" s="10" t="inlineStr">
        <is>
          <t>https://valliforecourts.co.uk/</t>
        </is>
      </c>
      <c r="L59" s="10" t="inlineStr"/>
      <c r="M59" s="10" t="inlineStr"/>
      <c r="N59" s="10" t="inlineStr"/>
      <c r="O59" s="10" t="inlineStr"/>
      <c r="P59" s="10" t="inlineStr">
        <is>
          <t>Gledhow</t>
        </is>
      </c>
      <c r="Q59" s="10" t="inlineStr">
        <is>
          <t>Leeds</t>
        </is>
      </c>
      <c r="R59" s="10" t="inlineStr">
        <is>
          <t>West Yorkshire</t>
        </is>
      </c>
      <c r="S59" s="10" t="inlineStr">
        <is>
          <t>LS8 4BU</t>
        </is>
      </c>
      <c r="T59" s="10" t="inlineStr">
        <is>
          <t>Yorkshire &amp; Humber</t>
        </is>
      </c>
      <c r="U59" s="10" t="inlineStr">
        <is>
          <t>England</t>
        </is>
      </c>
      <c r="V59" s="10" t="inlineStr"/>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fuel; convenience retail</t>
        </is>
      </c>
      <c r="AL59" s="10" t="inlineStr"/>
      <c r="AM59" s="10" t="inlineStr">
        <is>
          <t>Petrol Station / Forecourt</t>
        </is>
      </c>
      <c r="AN59" s="10" t="inlineStr"/>
      <c r="AO59" s="10" t="inlineStr">
        <is>
          <t>BP Gledhow Service Station in Leeds referenced as a Valli Forecourts site in petrol-station listings. Street address/postcode/phone not confirmed - follow up via valliforecourts.co.uk site list. One of 16 Valli Forecourts sites.</t>
        </is>
      </c>
      <c r="AP59" s="10" t="inlineStr">
        <is>
          <t>Medium</t>
        </is>
      </c>
      <c r="AQ59" s="10" t="inlineStr">
        <is>
          <t>Multi-site retailer; Relevant category; Active website</t>
        </is>
      </c>
      <c r="AR59" s="10" t="inlineStr">
        <is>
          <t>https://www.petrolprices.com/locations/huddersfield</t>
        </is>
      </c>
      <c r="AS59" s="10" t="inlineStr">
        <is>
          <t>https://www.192.com/atoz/business/leeds-ls8/petrol-service-stations/b-p-gledhow-service-station/b2cc5ed266e9de6ac0fa2b011faef822e624c3ac/ml/</t>
        </is>
      </c>
      <c r="AT59" s="10" t="inlineStr">
        <is>
          <t>3</t>
        </is>
      </c>
      <c r="AU59" s="10" t="inlineStr">
        <is>
          <t>No</t>
        </is>
      </c>
      <c r="AV59" s="10" t="inlineStr">
        <is>
          <t>No</t>
        </is>
      </c>
      <c r="AW59" s="10" t="inlineStr">
        <is>
          <t>No</t>
        </is>
      </c>
      <c r="AX59" s="10" t="inlineStr">
        <is>
          <t>No</t>
        </is>
      </c>
      <c r="AY59" s="10" t="inlineStr">
        <is>
          <t>Not Found</t>
        </is>
      </c>
      <c r="AZ59" s="10" t="inlineStr">
        <is>
          <t>Website Found</t>
        </is>
      </c>
      <c r="BA59" s="10" t="inlineStr">
        <is>
          <t>2026-09-16</t>
        </is>
      </c>
      <c r="BB59" s="10" t="inlineStr">
        <is>
          <t>Requires Verification</t>
        </is>
      </c>
      <c r="BC59" s="10" t="inlineStr">
        <is>
          <t>Medium</t>
        </is>
      </c>
      <c r="BD59" s="10" t="inlineStr"/>
      <c r="BE59" s="10" t="inlineStr">
        <is>
          <t>Business (B2B)</t>
        </is>
      </c>
      <c r="BF59" s="10" t="inlineStr">
        <is>
          <t>Legitimate interest (B2B) - assess per campaign; PECR: corporate subscribers</t>
        </is>
      </c>
      <c r="BG59" s="10" t="inlineStr"/>
      <c r="BH59" s="10" t="inlineStr">
        <is>
          <t>No</t>
        </is>
      </c>
      <c r="BI59" s="10" t="inlineStr">
        <is>
          <t>2026-09-16</t>
        </is>
      </c>
      <c r="BJ59" s="10" t="inlineStr">
        <is>
          <t>New</t>
        </is>
      </c>
      <c r="BK59" s="10" t="inlineStr">
        <is>
          <t>2026-09-16</t>
        </is>
      </c>
      <c r="BL59" s="10" t="inlineStr"/>
      <c r="BM59" s="10" t="inlineStr"/>
      <c r="BN59" s="10" t="inlineStr"/>
      <c r="BO59" s="10" t="inlineStr"/>
      <c r="BP59" s="10" t="inlineStr"/>
      <c r="BQ59" s="10" t="inlineStr"/>
    </row>
    <row r="60">
      <c r="A60" s="5" t="inlineStr">
        <is>
          <t>WY-0035</t>
        </is>
      </c>
      <c r="B60" s="5" t="inlineStr">
        <is>
          <t>VALLIFOREC-02</t>
        </is>
      </c>
      <c r="C60" s="5" t="inlineStr">
        <is>
          <t>Valli Forecourts Ltd</t>
        </is>
      </c>
      <c r="D60" s="5" t="inlineStr">
        <is>
          <t>Valli Forecourts Ltd (Head Office)</t>
        </is>
      </c>
      <c r="E60" s="5" t="inlineStr">
        <is>
          <t>Valli Forecourts</t>
        </is>
      </c>
      <c r="F60" s="5" t="inlineStr">
        <is>
          <t>Valli Forecourts Ltd</t>
        </is>
      </c>
      <c r="G60" s="5" t="inlineStr">
        <is>
          <t>Petrol Station / Forecourt</t>
        </is>
      </c>
      <c r="H60" s="5" t="inlineStr">
        <is>
          <t>Independent forecourt group head office</t>
        </is>
      </c>
      <c r="I60" s="5" t="inlineStr">
        <is>
          <t>Regional Chain</t>
        </is>
      </c>
      <c r="J60" s="5" t="inlineStr">
        <is>
          <t>16</t>
        </is>
      </c>
      <c r="K60" s="5" t="inlineStr">
        <is>
          <t>https://valliforecourts.co.uk/</t>
        </is>
      </c>
      <c r="L60" s="5" t="inlineStr"/>
      <c r="M60" s="5" t="inlineStr"/>
      <c r="N60" s="5" t="inlineStr">
        <is>
          <t>https://uk.linkedin.com/company/valli-forecourts-ltd</t>
        </is>
      </c>
      <c r="O60" s="5" t="inlineStr"/>
      <c r="P60" s="5" t="inlineStr">
        <is>
          <t>Moortown</t>
        </is>
      </c>
      <c r="Q60" s="5" t="inlineStr">
        <is>
          <t>Leeds</t>
        </is>
      </c>
      <c r="R60" s="5" t="inlineStr">
        <is>
          <t>West Yorkshire</t>
        </is>
      </c>
      <c r="S60" s="5" t="inlineStr"/>
      <c r="T60" s="5" t="inlineStr">
        <is>
          <t>Yorkshire &amp; Humber</t>
        </is>
      </c>
      <c r="U60" s="5" t="inlineStr">
        <is>
          <t>England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fuel; convenience retail; food-to-go</t>
        </is>
      </c>
      <c r="AL60" s="5" t="inlineStr"/>
      <c r="AM60" s="5" t="inlineStr">
        <is>
          <t>Petrol Station / Forecourt</t>
        </is>
      </c>
      <c r="AN60" s="5" t="inlineStr">
        <is>
          <t>Sweetzone lists forecourts/petrol stations as a supplied sector; sites branded BP among others</t>
        </is>
      </c>
      <c r="AO60" s="5"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60" s="5" t="inlineStr">
        <is>
          <t>Medium</t>
        </is>
      </c>
      <c r="AQ60" s="5" t="inlineStr">
        <is>
          <t>Multi-site retailer; Relevant category; Active website; Social presence</t>
        </is>
      </c>
      <c r="AR60" s="5" t="inlineStr">
        <is>
          <t>https://www.yorkshire.com/moortown/transport/petrol-stations/valli-forecourts-ltd-head-office</t>
        </is>
      </c>
      <c r="AS60" s="5" t="inlineStr">
        <is>
          <t>https://uk.linkedin.com/company/valli-forecourts-ltd</t>
        </is>
      </c>
      <c r="AT60" s="5" t="inlineStr">
        <is>
          <t>3</t>
        </is>
      </c>
      <c r="AU60" s="5" t="inlineStr">
        <is>
          <t>No</t>
        </is>
      </c>
      <c r="AV60" s="5" t="inlineStr">
        <is>
          <t>No</t>
        </is>
      </c>
      <c r="AW60" s="5" t="inlineStr">
        <is>
          <t>No</t>
        </is>
      </c>
      <c r="AX60" s="5" t="inlineStr">
        <is>
          <t>No</t>
        </is>
      </c>
      <c r="AY60" s="5" t="inlineStr">
        <is>
          <t>Not Found</t>
        </is>
      </c>
      <c r="AZ60" s="5" t="inlineStr">
        <is>
          <t>Website Found</t>
        </is>
      </c>
      <c r="BA60" s="5" t="inlineStr">
        <is>
          <t>2026-09-16</t>
        </is>
      </c>
      <c r="BB60" s="5" t="inlineStr">
        <is>
          <t>Requires Verification</t>
        </is>
      </c>
      <c r="BC60" s="5" t="inlineStr">
        <is>
          <t>Low</t>
        </is>
      </c>
      <c r="BD60" s="5" t="inlineStr"/>
      <c r="BE60" s="5" t="inlineStr">
        <is>
          <t>Business (B2B)</t>
        </is>
      </c>
      <c r="BF60" s="5" t="inlineStr">
        <is>
          <t>Legitimate interest (B2B) - assess per campaign; PECR: corporate subscribers</t>
        </is>
      </c>
      <c r="BG60" s="5" t="inlineStr"/>
      <c r="BH60" s="5" t="inlineStr">
        <is>
          <t>No</t>
        </is>
      </c>
      <c r="BI60" s="5" t="inlineStr">
        <is>
          <t>2026-09-16</t>
        </is>
      </c>
      <c r="BJ60" s="5" t="inlineStr">
        <is>
          <t>New</t>
        </is>
      </c>
      <c r="BK60" s="5" t="inlineStr">
        <is>
          <t>2026-09-16</t>
        </is>
      </c>
      <c r="BL60" s="5" t="inlineStr"/>
      <c r="BM60" s="5" t="inlineStr"/>
      <c r="BN60" s="5" t="inlineStr"/>
      <c r="BO60" s="5" t="inlineStr"/>
      <c r="BP60" s="5" t="inlineStr"/>
      <c r="BQ60" s="5" t="inlineStr"/>
    </row>
    <row r="61">
      <c r="A61" s="10" t="inlineStr">
        <is>
          <t>WY-0036</t>
        </is>
      </c>
      <c r="B61" s="10" t="inlineStr">
        <is>
          <t>VAPARAMA-01</t>
        </is>
      </c>
      <c r="C61" s="10" t="inlineStr">
        <is>
          <t>Vaparama</t>
        </is>
      </c>
      <c r="D61" s="10" t="inlineStr">
        <is>
          <t>Vaparama (Featherstone)</t>
        </is>
      </c>
      <c r="E61" s="10" t="inlineStr">
        <is>
          <t>Vaparama</t>
        </is>
      </c>
      <c r="F61" s="10" t="inlineStr">
        <is>
          <t>Vaparama Ltd</t>
        </is>
      </c>
      <c r="G61" s="10" t="inlineStr">
        <is>
          <t>Vape Shop</t>
        </is>
      </c>
      <c r="H61" s="10" t="inlineStr">
        <is>
          <t>E-liquid specialist / vape retailer</t>
        </is>
      </c>
      <c r="I61" s="10" t="inlineStr">
        <is>
          <t>Regional Chain</t>
        </is>
      </c>
      <c r="J61" s="10" t="inlineStr">
        <is>
          <t>7</t>
        </is>
      </c>
      <c r="K61" s="10" t="inlineStr">
        <is>
          <t>https://www.vaparama.co.uk</t>
        </is>
      </c>
      <c r="L61" s="10" t="inlineStr">
        <is>
          <t>https://www.facebook.com/p/Vaparama-100063743672150/</t>
        </is>
      </c>
      <c r="M61" s="10" t="inlineStr"/>
      <c r="N61" s="10" t="inlineStr"/>
      <c r="O61" s="10" t="inlineStr">
        <is>
          <t>73-75 Station Lane</t>
        </is>
      </c>
      <c r="P61" s="10" t="inlineStr"/>
      <c r="Q61" s="10" t="inlineStr">
        <is>
          <t>Featherstone</t>
        </is>
      </c>
      <c r="R61" s="10" t="inlineStr">
        <is>
          <t>West Yorkshire</t>
        </is>
      </c>
      <c r="S61" s="10" t="inlineStr">
        <is>
          <t>WF7 5BJ</t>
        </is>
      </c>
      <c r="T61" s="10" t="inlineStr">
        <is>
          <t>Yorkshire &amp; Humber</t>
        </is>
      </c>
      <c r="U61" s="10" t="inlineStr">
        <is>
          <t>England</t>
        </is>
      </c>
      <c r="V61" s="10" t="inlineStr"/>
      <c r="W61" s="10" t="inlineStr"/>
      <c r="X61" s="10" t="inlineStr"/>
      <c r="Y61" s="10" t="inlineStr"/>
      <c r="Z61" s="10" t="inlineStr">
        <is>
          <t>shop@vaparama.co.uk</t>
        </is>
      </c>
      <c r="AA61" s="10" t="inlineStr"/>
      <c r="AB61" s="10" t="inlineStr"/>
      <c r="AC61" s="10" t="inlineStr"/>
      <c r="AD61" s="10" t="inlineStr"/>
      <c r="AE61" s="10" t="inlineStr">
        <is>
          <t>09736212</t>
        </is>
      </c>
      <c r="AF61" s="10" t="inlineStr">
        <is>
          <t>Active</t>
        </is>
      </c>
      <c r="AG61" s="10" t="inlineStr">
        <is>
          <t>VAPARAMA LTD</t>
        </is>
      </c>
      <c r="AH61" s="10" t="inlineStr">
        <is>
          <t>13 Market Place, Pontefract, England, WF8 1AG</t>
        </is>
      </c>
      <c r="AI61" s="10" t="inlineStr">
        <is>
          <t>2015-08-17</t>
        </is>
      </c>
      <c r="AJ61" s="10" t="inlineStr"/>
      <c r="AK61" s="10" t="inlineStr">
        <is>
          <t>e-liquids; vape hardware; accessories</t>
        </is>
      </c>
      <c r="AL61" s="10" t="inlineStr"/>
      <c r="AM61" s="10" t="inlineStr">
        <is>
          <t>Vape Shop</t>
        </is>
      </c>
      <c r="AN61" s="10" t="inlineStr"/>
      <c r="AO61" s="10" t="inlineStr">
        <is>
          <t>Featherstone branch of the Vaparama chain (HQ Pontefract).</t>
        </is>
      </c>
      <c r="AP61" s="10" t="inlineStr">
        <is>
          <t>High</t>
        </is>
      </c>
      <c r="AQ61" s="10" t="inlineStr">
        <is>
          <t>Multi-site retailer; Core relevant category; Public email available; Active website; Social presence</t>
        </is>
      </c>
      <c r="AR61" s="10" t="inlineStr">
        <is>
          <t>https://www.vaparama.co.uk/contact/</t>
        </is>
      </c>
      <c r="AS61" s="10" t="inlineStr">
        <is>
          <t>https://find-and-update.company-information.service.gov.uk/company/09736212</t>
        </is>
      </c>
      <c r="AT61" s="10" t="inlineStr">
        <is>
          <t>3</t>
        </is>
      </c>
      <c r="AU61" s="10" t="inlineStr">
        <is>
          <t>No</t>
        </is>
      </c>
      <c r="AV61" s="10" t="inlineStr">
        <is>
          <t>No</t>
        </is>
      </c>
      <c r="AW61" s="10" t="inlineStr">
        <is>
          <t>Yes</t>
        </is>
      </c>
      <c r="AX61" s="10" t="inlineStr">
        <is>
          <t>Yes</t>
        </is>
      </c>
      <c r="AY61" s="10" t="inlineStr">
        <is>
          <t>Not Found</t>
        </is>
      </c>
      <c r="AZ61" s="10" t="inlineStr">
        <is>
          <t>Publicly Listed</t>
        </is>
      </c>
      <c r="BA61" s="10" t="inlineStr">
        <is>
          <t>2026-09-16</t>
        </is>
      </c>
      <c r="BB61" s="10" t="inlineStr">
        <is>
          <t>Partially Verified</t>
        </is>
      </c>
      <c r="BC61" s="10" t="inlineStr">
        <is>
          <t>Medium</t>
        </is>
      </c>
      <c r="BD61" s="10" t="inlineStr"/>
      <c r="BE61" s="10" t="inlineStr">
        <is>
          <t>Business (B2B)</t>
        </is>
      </c>
      <c r="BF61" s="10" t="inlineStr">
        <is>
          <t>Legitimate interest (B2B) - assess per campaign; PECR: corporate subscribers</t>
        </is>
      </c>
      <c r="BG61" s="10" t="inlineStr"/>
      <c r="BH61" s="10" t="inlineStr">
        <is>
          <t>No</t>
        </is>
      </c>
      <c r="BI61" s="10" t="inlineStr">
        <is>
          <t>2026-09-16</t>
        </is>
      </c>
      <c r="BJ61" s="10" t="inlineStr">
        <is>
          <t>New</t>
        </is>
      </c>
      <c r="BK61" s="10" t="inlineStr">
        <is>
          <t>2026-09-16</t>
        </is>
      </c>
      <c r="BL61" s="10" t="inlineStr"/>
      <c r="BM61" s="10" t="inlineStr"/>
      <c r="BN61" s="10" t="inlineStr"/>
      <c r="BO61" s="10" t="inlineStr"/>
      <c r="BP61" s="10" t="inlineStr"/>
      <c r="BQ61" s="10" t="inlineStr"/>
    </row>
    <row r="62">
      <c r="A62" s="5" t="inlineStr">
        <is>
          <t>WY-0037</t>
        </is>
      </c>
      <c r="B62" s="5" t="inlineStr">
        <is>
          <t>VAPARAMA-02</t>
        </is>
      </c>
      <c r="C62" s="5" t="inlineStr">
        <is>
          <t>Vaparama</t>
        </is>
      </c>
      <c r="D62" s="5" t="inlineStr">
        <is>
          <t>Vaparama (Pontefract)</t>
        </is>
      </c>
      <c r="E62" s="5" t="inlineStr">
        <is>
          <t>Vaparama</t>
        </is>
      </c>
      <c r="F62" s="5" t="inlineStr">
        <is>
          <t>Vaparama Ltd</t>
        </is>
      </c>
      <c r="G62" s="5" t="inlineStr">
        <is>
          <t>Vape Shop</t>
        </is>
      </c>
      <c r="H62" s="5" t="inlineStr">
        <is>
          <t>E-liquid specialist / vape retailer and wholesaler</t>
        </is>
      </c>
      <c r="I62" s="5" t="inlineStr">
        <is>
          <t>Regional Chain</t>
        </is>
      </c>
      <c r="J62" s="5" t="inlineStr">
        <is>
          <t>7</t>
        </is>
      </c>
      <c r="K62" s="5" t="inlineStr">
        <is>
          <t>https://www.vaparama.co.uk</t>
        </is>
      </c>
      <c r="L62" s="5" t="inlineStr">
        <is>
          <t>https://www.facebook.com/p/Vaparama-100063743672150/</t>
        </is>
      </c>
      <c r="M62" s="5" t="inlineStr"/>
      <c r="N62" s="5" t="inlineStr"/>
      <c r="O62" s="5" t="inlineStr">
        <is>
          <t>13 Market Place</t>
        </is>
      </c>
      <c r="P62" s="5" t="inlineStr"/>
      <c r="Q62" s="5" t="inlineStr">
        <is>
          <t>Pontefract</t>
        </is>
      </c>
      <c r="R62" s="5" t="inlineStr">
        <is>
          <t>West Yorkshire</t>
        </is>
      </c>
      <c r="S62" s="5" t="inlineStr">
        <is>
          <t>WF8 1AG</t>
        </is>
      </c>
      <c r="T62" s="5" t="inlineStr">
        <is>
          <t>Yorkshire &amp; Humber</t>
        </is>
      </c>
      <c r="U62" s="5" t="inlineStr">
        <is>
          <t>England</t>
        </is>
      </c>
      <c r="V62" s="5" t="inlineStr">
        <is>
          <t>01977 277170</t>
        </is>
      </c>
      <c r="W62" s="5" t="inlineStr"/>
      <c r="X62" s="5" t="inlineStr"/>
      <c r="Y62" s="5" t="inlineStr">
        <is>
          <t>shop@vaparama.co.uk</t>
        </is>
      </c>
      <c r="Z62" s="5" t="inlineStr"/>
      <c r="AA62" s="5" t="inlineStr"/>
      <c r="AB62" s="5" t="inlineStr"/>
      <c r="AC62" s="5" t="inlineStr"/>
      <c r="AD62" s="5" t="inlineStr"/>
      <c r="AE62" s="5" t="inlineStr">
        <is>
          <t>09736212</t>
        </is>
      </c>
      <c r="AF62" s="5" t="inlineStr">
        <is>
          <t>Active</t>
        </is>
      </c>
      <c r="AG62" s="5" t="inlineStr">
        <is>
          <t>VAPARAMA LTD</t>
        </is>
      </c>
      <c r="AH62" s="5" t="inlineStr">
        <is>
          <t>13 Market Place, Pontefract, England, WF8 1AG</t>
        </is>
      </c>
      <c r="AI62" s="5" t="inlineStr">
        <is>
          <t>2015-08-17</t>
        </is>
      </c>
      <c r="AJ62" s="5" t="inlineStr"/>
      <c r="AK62" s="5" t="inlineStr">
        <is>
          <t>e-liquids (own 200+ flavour range); vape hardware; accessories</t>
        </is>
      </c>
      <c r="AL62" s="5" t="inlineStr"/>
      <c r="AM62" s="5" t="inlineStr">
        <is>
          <t>Vape Shop</t>
        </is>
      </c>
      <c r="AN62" s="5" t="inlineStr">
        <is>
          <t>Supplies e-liquid wholesale to other bricks-and-mortar vape stores</t>
        </is>
      </c>
      <c r="AO62" s="5" t="inlineStr">
        <is>
          <t>Established 2014. Yorkshire multi-store chain: Pontefract (HQ/registered office), Wakefield, Featherstone, plus Leeds, Doncaster, Sheffield, Halifax. This is the flagship/registered-office store.</t>
        </is>
      </c>
      <c r="AP62" s="5" t="inlineStr">
        <is>
          <t>High</t>
        </is>
      </c>
      <c r="AQ62" s="5" t="inlineStr">
        <is>
          <t>Multi-site retailer; Core relevant category; Public email available; Active website; Social presence</t>
        </is>
      </c>
      <c r="AR62" s="5" t="inlineStr">
        <is>
          <t>https://find-and-update.company-information.service.gov.uk/company/09736212</t>
        </is>
      </c>
      <c r="AS62" s="5" t="inlineStr">
        <is>
          <t>https://pontefract.cylex-uk.co.uk/company/vaparama-26236284.html</t>
        </is>
      </c>
      <c r="AT62" s="5" t="inlineStr">
        <is>
          <t>4</t>
        </is>
      </c>
      <c r="AU62" s="5" t="inlineStr">
        <is>
          <t>No</t>
        </is>
      </c>
      <c r="AV62" s="5" t="inlineStr">
        <is>
          <t>No</t>
        </is>
      </c>
      <c r="AW62" s="5" t="inlineStr">
        <is>
          <t>No</t>
        </is>
      </c>
      <c r="AX62" s="5" t="inlineStr">
        <is>
          <t>Yes</t>
        </is>
      </c>
      <c r="AY62" s="5" t="inlineStr">
        <is>
          <t>Verified directory</t>
        </is>
      </c>
      <c r="AZ62" s="5" t="inlineStr">
        <is>
          <t>Unverified</t>
        </is>
      </c>
      <c r="BA62" s="5" t="inlineStr">
        <is>
          <t>2026-09-16</t>
        </is>
      </c>
      <c r="BB62" s="5" t="inlineStr">
        <is>
          <t>Partially Verified</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2026-09-16</t>
        </is>
      </c>
      <c r="BJ62" s="5" t="inlineStr">
        <is>
          <t>New</t>
        </is>
      </c>
      <c r="BK62" s="5" t="inlineStr">
        <is>
          <t>2026-09-16</t>
        </is>
      </c>
      <c r="BL62" s="5" t="inlineStr"/>
      <c r="BM62" s="5" t="inlineStr"/>
      <c r="BN62" s="5" t="inlineStr"/>
      <c r="BO62" s="5" t="inlineStr"/>
      <c r="BP62" s="5" t="inlineStr"/>
      <c r="BQ62" s="5" t="inlineStr"/>
    </row>
    <row r="63">
      <c r="A63" s="10" t="inlineStr">
        <is>
          <t>WY-0038</t>
        </is>
      </c>
      <c r="B63" s="10" t="inlineStr">
        <is>
          <t>VAPARAMA-03</t>
        </is>
      </c>
      <c r="C63" s="10" t="inlineStr">
        <is>
          <t>Vaparama</t>
        </is>
      </c>
      <c r="D63" s="10" t="inlineStr">
        <is>
          <t>Vaparama (Wakefield)</t>
        </is>
      </c>
      <c r="E63" s="10" t="inlineStr">
        <is>
          <t>Vaparama</t>
        </is>
      </c>
      <c r="F63" s="10" t="inlineStr">
        <is>
          <t>Vaparama Ltd</t>
        </is>
      </c>
      <c r="G63" s="10" t="inlineStr">
        <is>
          <t>Vape Shop</t>
        </is>
      </c>
      <c r="H63" s="10" t="inlineStr">
        <is>
          <t>E-liquid specialist / vape retailer</t>
        </is>
      </c>
      <c r="I63" s="10" t="inlineStr">
        <is>
          <t>Regional Chain</t>
        </is>
      </c>
      <c r="J63" s="10" t="inlineStr">
        <is>
          <t>7</t>
        </is>
      </c>
      <c r="K63" s="10" t="inlineStr">
        <is>
          <t>https://www.vaparama.co.uk</t>
        </is>
      </c>
      <c r="L63" s="10" t="inlineStr">
        <is>
          <t>https://www.facebook.com/p/Vaparama-100063743672150/</t>
        </is>
      </c>
      <c r="M63" s="10" t="inlineStr"/>
      <c r="N63" s="10" t="inlineStr"/>
      <c r="O63" s="10" t="inlineStr">
        <is>
          <t>Britannia House, 31 Warrengate</t>
        </is>
      </c>
      <c r="P63" s="10" t="inlineStr"/>
      <c r="Q63" s="10" t="inlineStr">
        <is>
          <t>Wakefield</t>
        </is>
      </c>
      <c r="R63" s="10" t="inlineStr">
        <is>
          <t>West Yorkshire</t>
        </is>
      </c>
      <c r="S63" s="10" t="inlineStr"/>
      <c r="T63" s="10" t="inlineStr">
        <is>
          <t>Yorkshire &amp; Humber</t>
        </is>
      </c>
      <c r="U63" s="10" t="inlineStr">
        <is>
          <t>England</t>
        </is>
      </c>
      <c r="V63" s="10" t="inlineStr"/>
      <c r="W63" s="10" t="inlineStr"/>
      <c r="X63" s="10" t="inlineStr"/>
      <c r="Y63" s="10" t="inlineStr"/>
      <c r="Z63" s="10" t="inlineStr">
        <is>
          <t>shop@vaparama.co.uk</t>
        </is>
      </c>
      <c r="AA63" s="10" t="inlineStr"/>
      <c r="AB63" s="10" t="inlineStr"/>
      <c r="AC63" s="10" t="inlineStr"/>
      <c r="AD63" s="10" t="inlineStr"/>
      <c r="AE63" s="10" t="inlineStr">
        <is>
          <t>09736212</t>
        </is>
      </c>
      <c r="AF63" s="10" t="inlineStr">
        <is>
          <t>Active</t>
        </is>
      </c>
      <c r="AG63" s="10" t="inlineStr">
        <is>
          <t>VAPARAMA LTD</t>
        </is>
      </c>
      <c r="AH63" s="10" t="inlineStr">
        <is>
          <t>13 Market Place, Pontefract, England, WF8 1AG</t>
        </is>
      </c>
      <c r="AI63" s="10" t="inlineStr">
        <is>
          <t>2015-08-17</t>
        </is>
      </c>
      <c r="AJ63" s="10" t="inlineStr"/>
      <c r="AK63" s="10" t="inlineStr">
        <is>
          <t>e-liquids; vape hardware; accessories</t>
        </is>
      </c>
      <c r="AL63" s="10" t="inlineStr"/>
      <c r="AM63" s="10" t="inlineStr">
        <is>
          <t>Vape Shop</t>
        </is>
      </c>
      <c r="AN63" s="10" t="inlineStr"/>
      <c r="AO63" s="10" t="inlineStr">
        <is>
          <t>Wakefield branch of the Vaparama chain (HQ Pontefract). Address from vapemaps directory listing of Vaparama Limited store locations; postcode and branch phone not found.</t>
        </is>
      </c>
      <c r="AP63" s="10" t="inlineStr">
        <is>
          <t>High</t>
        </is>
      </c>
      <c r="AQ63" s="10" t="inlineStr">
        <is>
          <t>Multi-site retailer; Core relevant category; Public email available; Active website; Social presence</t>
        </is>
      </c>
      <c r="AR63" s="10" t="inlineStr">
        <is>
          <t>https://www.vaparama.co.uk/contact/</t>
        </is>
      </c>
      <c r="AS63" s="10" t="inlineStr">
        <is>
          <t>https://find-and-update.company-information.service.gov.uk/company/09736212</t>
        </is>
      </c>
      <c r="AT63" s="10" t="inlineStr">
        <is>
          <t>3</t>
        </is>
      </c>
      <c r="AU63" s="10" t="inlineStr">
        <is>
          <t>No</t>
        </is>
      </c>
      <c r="AV63" s="10" t="inlineStr">
        <is>
          <t>No</t>
        </is>
      </c>
      <c r="AW63" s="10" t="inlineStr">
        <is>
          <t>Yes</t>
        </is>
      </c>
      <c r="AX63" s="10" t="inlineStr">
        <is>
          <t>Yes</t>
        </is>
      </c>
      <c r="AY63" s="10" t="inlineStr">
        <is>
          <t>Not Found</t>
        </is>
      </c>
      <c r="AZ63" s="10" t="inlineStr">
        <is>
          <t>Publicly Listed</t>
        </is>
      </c>
      <c r="BA63" s="10" t="inlineStr">
        <is>
          <t>2026-09-16</t>
        </is>
      </c>
      <c r="BB63" s="10" t="inlineStr">
        <is>
          <t>Partially Verified</t>
        </is>
      </c>
      <c r="BC63" s="10" t="inlineStr">
        <is>
          <t>Medium</t>
        </is>
      </c>
      <c r="BD63" s="10" t="inlineStr"/>
      <c r="BE63" s="10" t="inlineStr">
        <is>
          <t>Business (B2B)</t>
        </is>
      </c>
      <c r="BF63" s="10" t="inlineStr">
        <is>
          <t>Legitimate interest (B2B) - assess per campaign; PECR: corporate subscribers</t>
        </is>
      </c>
      <c r="BG63" s="10" t="inlineStr"/>
      <c r="BH63" s="10" t="inlineStr">
        <is>
          <t>No</t>
        </is>
      </c>
      <c r="BI63" s="10" t="inlineStr">
        <is>
          <t>2026-09-16</t>
        </is>
      </c>
      <c r="BJ63" s="10" t="inlineStr">
        <is>
          <t>New</t>
        </is>
      </c>
      <c r="BK63" s="10" t="inlineStr">
        <is>
          <t>2026-09-16</t>
        </is>
      </c>
      <c r="BL63" s="10" t="inlineStr"/>
      <c r="BM63" s="10" t="inlineStr"/>
      <c r="BN63" s="10" t="inlineStr"/>
      <c r="BO63" s="10" t="inlineStr"/>
      <c r="BP63" s="10" t="inlineStr"/>
      <c r="BQ63" s="10" t="inlineStr"/>
    </row>
    <row r="64">
      <c r="A64" s="5" t="inlineStr">
        <is>
          <t>UK-000218</t>
        </is>
      </c>
      <c r="B64" s="5" t="inlineStr">
        <is>
          <t>VAPESAFE-01</t>
        </is>
      </c>
      <c r="C64" s="5" t="inlineStr">
        <is>
          <t>Vape Safe</t>
        </is>
      </c>
      <c r="D64" s="5" t="inlineStr">
        <is>
          <t>Vape Safe Whitby</t>
        </is>
      </c>
      <c r="E64" s="5" t="inlineStr">
        <is>
          <t>Vape Safe</t>
        </is>
      </c>
      <c r="F64" s="5" t="inlineStr"/>
      <c r="G64" s="5" t="inlineStr">
        <is>
          <t>Vape Shop</t>
        </is>
      </c>
      <c r="H64" s="5" t="inlineStr">
        <is>
          <t>Premium e-liquids, pods &amp; mods</t>
        </is>
      </c>
      <c r="I64" s="5" t="inlineStr">
        <is>
          <t>Multi-Site Independent</t>
        </is>
      </c>
      <c r="J64" s="5" t="inlineStr">
        <is>
          <t>2</t>
        </is>
      </c>
      <c r="K64" s="5" t="inlineStr">
        <is>
          <t>https://www.vapesafe.net/</t>
        </is>
      </c>
      <c r="L64" s="5" t="inlineStr"/>
      <c r="M64" s="5" t="inlineStr"/>
      <c r="N64" s="5" t="inlineStr"/>
      <c r="O64" s="5" t="inlineStr">
        <is>
          <t>24 Baxtergate</t>
        </is>
      </c>
      <c r="P64" s="5" t="inlineStr"/>
      <c r="Q64" s="5" t="inlineStr">
        <is>
          <t>Whitby</t>
        </is>
      </c>
      <c r="R64" s="5" t="inlineStr">
        <is>
          <t>North Yorkshire</t>
        </is>
      </c>
      <c r="S64" s="5" t="inlineStr">
        <is>
          <t>YO21 1BW</t>
        </is>
      </c>
      <c r="T64" s="5" t="inlineStr">
        <is>
          <t>Yorkshire &amp; Humber</t>
        </is>
      </c>
      <c r="U64" s="5" t="inlineStr">
        <is>
          <t>England</t>
        </is>
      </c>
      <c r="V64" s="5" t="inlineStr">
        <is>
          <t>01947 604873</t>
        </is>
      </c>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e-liquids; pods; mods</t>
        </is>
      </c>
      <c r="AL64" s="5" t="inlineStr"/>
      <c r="AM64" s="5" t="inlineStr">
        <is>
          <t>Vape Shop</t>
        </is>
      </c>
      <c r="AN64" s="5" t="inlineStr"/>
      <c r="AO64" s="5" t="inlineStr">
        <is>
          <t>Whitby branch of Vape Safe (vapesafe.net), a small independent chain with a second shop in York (8 Stonegate). Address 24 Baxtergate (YO21 1BW) and phone from Vape Shop Near Me directory listing via search snippets.</t>
        </is>
      </c>
      <c r="AP64" s="5" t="inlineStr">
        <is>
          <t>High</t>
        </is>
      </c>
      <c r="AQ64" s="5" t="inlineStr">
        <is>
          <t>Multi-site retailer; Independent retailer; Core relevant category; Active website</t>
        </is>
      </c>
      <c r="AR64" s="5" t="inlineStr">
        <is>
          <t>https://www.vapesafe.net/</t>
        </is>
      </c>
      <c r="AS64" s="5" t="inlineStr">
        <is>
          <t>https://vapeshop-nearme.com/listing/vape-safe-whitby/</t>
        </is>
      </c>
      <c r="AT64" s="5" t="inlineStr">
        <is>
          <t>2</t>
        </is>
      </c>
      <c r="AU64" s="5" t="inlineStr">
        <is>
          <t>No</t>
        </is>
      </c>
      <c r="AV64" s="5" t="inlineStr">
        <is>
          <t>No</t>
        </is>
      </c>
      <c r="AW64" s="5" t="inlineStr">
        <is>
          <t>No</t>
        </is>
      </c>
      <c r="AX64" s="5" t="inlineStr">
        <is>
          <t>No</t>
        </is>
      </c>
      <c r="AY64" s="5" t="inlineStr">
        <is>
          <t>Verified directory</t>
        </is>
      </c>
      <c r="AZ64" s="5" t="inlineStr">
        <is>
          <t>Not Found</t>
        </is>
      </c>
      <c r="BA64" s="5" t="inlineStr">
        <is>
          <t>2026-09-16</t>
        </is>
      </c>
      <c r="BB64" s="5" t="inlineStr">
        <is>
          <t>Requires Verification</t>
        </is>
      </c>
      <c r="BC64" s="5" t="inlineStr">
        <is>
          <t>Low</t>
        </is>
      </c>
      <c r="BD64" s="5" t="inlineStr"/>
      <c r="BE64" s="5" t="inlineStr">
        <is>
          <t>Business (B2B)</t>
        </is>
      </c>
      <c r="BF64" s="5" t="inlineStr">
        <is>
          <t>Legitimate interest (B2B) - assess per campaign; PECR: corporate subscribers</t>
        </is>
      </c>
      <c r="BG64" s="5" t="inlineStr"/>
      <c r="BH64" s="5" t="inlineStr">
        <is>
          <t>No</t>
        </is>
      </c>
      <c r="BI64" s="5" t="inlineStr">
        <is>
          <t>2026-09-16</t>
        </is>
      </c>
      <c r="BJ64" s="5" t="inlineStr">
        <is>
          <t>New</t>
        </is>
      </c>
      <c r="BK64" s="5" t="inlineStr">
        <is>
          <t>2026-09-16</t>
        </is>
      </c>
      <c r="BL64" s="5" t="inlineStr"/>
      <c r="BM64" s="5" t="inlineStr"/>
      <c r="BN64" s="5" t="inlineStr"/>
      <c r="BO64" s="5" t="inlineStr"/>
      <c r="BP64" s="5" t="inlineStr"/>
      <c r="BQ64" s="5" t="inlineStr"/>
    </row>
    <row r="65">
      <c r="A65" s="10" t="inlineStr">
        <is>
          <t>UK-000219</t>
        </is>
      </c>
      <c r="B65" s="10" t="inlineStr">
        <is>
          <t>VAPESAFE-02</t>
        </is>
      </c>
      <c r="C65" s="10" t="inlineStr">
        <is>
          <t>Vape Safe</t>
        </is>
      </c>
      <c r="D65" s="10" t="inlineStr">
        <is>
          <t>Vape Safe York</t>
        </is>
      </c>
      <c r="E65" s="10" t="inlineStr">
        <is>
          <t>Vape Safe</t>
        </is>
      </c>
      <c r="F65" s="10" t="inlineStr"/>
      <c r="G65" s="10" t="inlineStr">
        <is>
          <t>Vape Shop</t>
        </is>
      </c>
      <c r="H65" s="10" t="inlineStr">
        <is>
          <t>Premium e-liquids, pods &amp; mods</t>
        </is>
      </c>
      <c r="I65" s="10" t="inlineStr">
        <is>
          <t>Multi-Site Independent</t>
        </is>
      </c>
      <c r="J65" s="10" t="inlineStr">
        <is>
          <t>2</t>
        </is>
      </c>
      <c r="K65" s="10" t="inlineStr">
        <is>
          <t>https://www.vapesafe.net/</t>
        </is>
      </c>
      <c r="L65" s="10" t="inlineStr"/>
      <c r="M65" s="10" t="inlineStr"/>
      <c r="N65" s="10" t="inlineStr"/>
      <c r="O65" s="10" t="inlineStr">
        <is>
          <t>8 Stonegate</t>
        </is>
      </c>
      <c r="P65" s="10" t="inlineStr"/>
      <c r="Q65" s="10" t="inlineStr">
        <is>
          <t>York</t>
        </is>
      </c>
      <c r="R65" s="10" t="inlineStr">
        <is>
          <t>North Yorkshire</t>
        </is>
      </c>
      <c r="S65" s="10" t="inlineStr">
        <is>
          <t>YO1 8AX</t>
        </is>
      </c>
      <c r="T65" s="10" t="inlineStr">
        <is>
          <t>Yorkshire &amp; Humber</t>
        </is>
      </c>
      <c r="U65" s="10" t="inlineStr">
        <is>
          <t>England</t>
        </is>
      </c>
      <c r="V65" s="10" t="inlineStr">
        <is>
          <t>01904 848488</t>
        </is>
      </c>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premium e-liquids; pods; mods; disposables</t>
        </is>
      </c>
      <c r="AL65" s="10" t="inlineStr"/>
      <c r="AM65" s="10" t="inlineStr">
        <is>
          <t>Vape Shop</t>
        </is>
      </c>
      <c r="AN65" s="10" t="inlineStr"/>
      <c r="AO65" s="10" t="inlineStr">
        <is>
          <t>York city-centre branch of Vape Safe (vapesafe.net), 8 Stonegate (YO1 8AX). Second location of the Vape Safe chain (also Whitby). Address/phone from eCig Directory / Cylex York listings via search snippets.</t>
        </is>
      </c>
      <c r="AP65" s="10" t="inlineStr">
        <is>
          <t>High</t>
        </is>
      </c>
      <c r="AQ65" s="10" t="inlineStr">
        <is>
          <t>Multi-site retailer; Independent retailer; Core relevant category; Active website</t>
        </is>
      </c>
      <c r="AR65" s="10" t="inlineStr">
        <is>
          <t>https://www.vapesafe.net/</t>
        </is>
      </c>
      <c r="AS65" s="10" t="inlineStr">
        <is>
          <t>https://ecigdirectory.co.uk/vape-shop/listing/vape-safe-york</t>
        </is>
      </c>
      <c r="AT65" s="10" t="inlineStr">
        <is>
          <t>2</t>
        </is>
      </c>
      <c r="AU65" s="10" t="inlineStr">
        <is>
          <t>No</t>
        </is>
      </c>
      <c r="AV65" s="10" t="inlineStr">
        <is>
          <t>No</t>
        </is>
      </c>
      <c r="AW65" s="10" t="inlineStr">
        <is>
          <t>No</t>
        </is>
      </c>
      <c r="AX65" s="10" t="inlineStr">
        <is>
          <t>No</t>
        </is>
      </c>
      <c r="AY65" s="10" t="inlineStr">
        <is>
          <t>Verified directory</t>
        </is>
      </c>
      <c r="AZ65" s="10" t="inlineStr">
        <is>
          <t>Website Found</t>
        </is>
      </c>
      <c r="BA65" s="10" t="inlineStr">
        <is>
          <t>2026-09-16</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2026-09-16</t>
        </is>
      </c>
      <c r="BJ65" s="10" t="inlineStr">
        <is>
          <t>New</t>
        </is>
      </c>
      <c r="BK65" s="10" t="inlineStr">
        <is>
          <t>2026-09-16</t>
        </is>
      </c>
      <c r="BL65" s="10" t="inlineStr"/>
      <c r="BM65" s="10" t="inlineStr"/>
      <c r="BN65" s="10" t="inlineStr"/>
      <c r="BO65" s="10" t="inlineStr"/>
      <c r="BP65" s="10" t="inlineStr"/>
      <c r="BQ65" s="10" t="inlineStr"/>
    </row>
    <row r="66">
      <c r="A66" s="5" t="inlineStr">
        <is>
          <t>UK-000220</t>
        </is>
      </c>
      <c r="B66" s="5" t="inlineStr">
        <is>
          <t>VAPESHACK-01</t>
        </is>
      </c>
      <c r="C66" s="5" t="inlineStr">
        <is>
          <t>Vape Shack</t>
        </is>
      </c>
      <c r="D66" s="5" t="inlineStr">
        <is>
          <t>The Vape Shack Beverley</t>
        </is>
      </c>
      <c r="E66" s="5" t="inlineStr">
        <is>
          <t>The Vape Shack</t>
        </is>
      </c>
      <c r="F66" s="5" t="inlineStr"/>
      <c r="G66" s="5" t="inlineStr">
        <is>
          <t>Vape Shop</t>
        </is>
      </c>
      <c r="H66" s="5" t="inlineStr">
        <is>
          <t>E-liquid and e-cigarette shop</t>
        </is>
      </c>
      <c r="I66" s="5" t="inlineStr">
        <is>
          <t>Multi-Site Independent</t>
        </is>
      </c>
      <c r="J66" s="5" t="inlineStr">
        <is>
          <t>2</t>
        </is>
      </c>
      <c r="K66" s="5" t="inlineStr">
        <is>
          <t>https://www.vape-shack.co.uk</t>
        </is>
      </c>
      <c r="L66" s="5" t="inlineStr">
        <is>
          <t>https://www.facebook.com/thevapeshackbeverley/</t>
        </is>
      </c>
      <c r="M66" s="5" t="inlineStr"/>
      <c r="N66" s="5" t="inlineStr"/>
      <c r="O66" s="5" t="inlineStr">
        <is>
          <t>7 Sow Hill Road</t>
        </is>
      </c>
      <c r="P66" s="5" t="inlineStr">
        <is>
          <t>Beverley Bus Station</t>
        </is>
      </c>
      <c r="Q66" s="5" t="inlineStr">
        <is>
          <t>Beverley</t>
        </is>
      </c>
      <c r="R66" s="5" t="inlineStr">
        <is>
          <t>East Riding of Yorkshire</t>
        </is>
      </c>
      <c r="S66" s="5" t="inlineStr">
        <is>
          <t>HU17 8BG</t>
        </is>
      </c>
      <c r="T66" s="5" t="inlineStr">
        <is>
          <t>Yorkshire &amp; Humber</t>
        </is>
      </c>
      <c r="U66" s="5" t="inlineStr">
        <is>
          <t>England</t>
        </is>
      </c>
      <c r="V66" s="5" t="inlineStr">
        <is>
          <t>07359 267997</t>
        </is>
      </c>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e-liquids; e-cigarettes; filters; disposables</t>
        </is>
      </c>
      <c r="AL66" s="5" t="inlineStr"/>
      <c r="AM66" s="5" t="inlineStr">
        <is>
          <t>Vape Shop</t>
        </is>
      </c>
      <c r="AN66" s="5" t="inlineStr"/>
      <c r="AO66" s="5" t="inlineStr">
        <is>
          <t>Beverley store of Vape Shack (own website vape-shack.co.uk). A separately-branded 'Vape Shack Immingham' operates at 70 Pelham Rd; shared parent inferred from common brand/name — link not independently confirmed.</t>
        </is>
      </c>
      <c r="AP66" s="5" t="inlineStr">
        <is>
          <t>High</t>
        </is>
      </c>
      <c r="AQ66" s="5" t="inlineStr">
        <is>
          <t>Multi-site retailer; Independent retailer; Core relevant category; Active website; Social presence</t>
        </is>
      </c>
      <c r="AR66" s="5" t="inlineStr">
        <is>
          <t>https://www.vape-shack.co.uk/</t>
        </is>
      </c>
      <c r="AS66" s="5" t="inlineStr">
        <is>
          <t>https://find-open.co.uk/beverley/the-vape-shack-beverley-3114235</t>
        </is>
      </c>
      <c r="AT66" s="5" t="inlineStr">
        <is>
          <t>2</t>
        </is>
      </c>
      <c r="AU66" s="5" t="inlineStr">
        <is>
          <t>Yes</t>
        </is>
      </c>
      <c r="AV66" s="5" t="inlineStr">
        <is>
          <t>No</t>
        </is>
      </c>
      <c r="AW66" s="5" t="inlineStr">
        <is>
          <t>No</t>
        </is>
      </c>
      <c r="AX66" s="5" t="inlineStr">
        <is>
          <t>No</t>
        </is>
      </c>
      <c r="AY66" s="5" t="inlineStr">
        <is>
          <t>Verified directory</t>
        </is>
      </c>
      <c r="AZ66" s="5" t="inlineStr">
        <is>
          <t>Not Found</t>
        </is>
      </c>
      <c r="BA66" s="5" t="inlineStr">
        <is>
          <t>2026-09-16</t>
        </is>
      </c>
      <c r="BB66" s="5" t="inlineStr">
        <is>
          <t>Partially Verified</t>
        </is>
      </c>
      <c r="BC66" s="5" t="inlineStr">
        <is>
          <t>Medium</t>
        </is>
      </c>
      <c r="BD66" s="5" t="inlineStr"/>
      <c r="BE66" s="5" t="inlineStr">
        <is>
          <t>Business (B2B)</t>
        </is>
      </c>
      <c r="BF66" s="5" t="inlineStr">
        <is>
          <t>Legitimate interest (B2B) - assess per campaign; PECR: corporate subscribers</t>
        </is>
      </c>
      <c r="BG66" s="5" t="inlineStr"/>
      <c r="BH66" s="5" t="inlineStr">
        <is>
          <t>No</t>
        </is>
      </c>
      <c r="BI66" s="5" t="inlineStr">
        <is>
          <t>2026-09-16</t>
        </is>
      </c>
      <c r="BJ66" s="5" t="inlineStr">
        <is>
          <t>New</t>
        </is>
      </c>
      <c r="BK66" s="5" t="inlineStr">
        <is>
          <t>2026-09-16</t>
        </is>
      </c>
      <c r="BL66" s="5" t="inlineStr"/>
      <c r="BM66" s="5" t="inlineStr"/>
      <c r="BN66" s="5" t="inlineStr"/>
      <c r="BO66" s="5" t="inlineStr"/>
      <c r="BP66" s="5" t="inlineStr"/>
      <c r="BQ66" s="5" t="inlineStr"/>
    </row>
    <row r="67">
      <c r="A67" s="10" t="inlineStr">
        <is>
          <t>UK-000221</t>
        </is>
      </c>
      <c r="B67" s="10" t="inlineStr">
        <is>
          <t>VAPESHACK-02</t>
        </is>
      </c>
      <c r="C67" s="10" t="inlineStr">
        <is>
          <t>Vape Shack</t>
        </is>
      </c>
      <c r="D67" s="10" t="inlineStr">
        <is>
          <t>Vape Shack Immingham</t>
        </is>
      </c>
      <c r="E67" s="10" t="inlineStr">
        <is>
          <t>Vape Shack</t>
        </is>
      </c>
      <c r="F67" s="10" t="inlineStr"/>
      <c r="G67" s="10" t="inlineStr">
        <is>
          <t>Vape Shop</t>
        </is>
      </c>
      <c r="H67" s="10" t="inlineStr">
        <is>
          <t>Vape shop</t>
        </is>
      </c>
      <c r="I67" s="10" t="inlineStr">
        <is>
          <t>Multi-Site Independent</t>
        </is>
      </c>
      <c r="J67" s="10" t="inlineStr">
        <is>
          <t>2</t>
        </is>
      </c>
      <c r="K67" s="10" t="inlineStr"/>
      <c r="L67" s="10" t="inlineStr">
        <is>
          <t>https://www.facebook.com/vapeshackimmingham/</t>
        </is>
      </c>
      <c r="M67" s="10" t="inlineStr"/>
      <c r="N67" s="10" t="inlineStr"/>
      <c r="O67" s="10" t="inlineStr">
        <is>
          <t>70 Pelham Road</t>
        </is>
      </c>
      <c r="P67" s="10" t="inlineStr"/>
      <c r="Q67" s="10" t="inlineStr">
        <is>
          <t>Immingham</t>
        </is>
      </c>
      <c r="R67" s="10" t="inlineStr">
        <is>
          <t>Lincolnshire</t>
        </is>
      </c>
      <c r="S67" s="10" t="inlineStr"/>
      <c r="T67" s="10" t="inlineStr">
        <is>
          <t>Yorkshire &amp; Humber</t>
        </is>
      </c>
      <c r="U67" s="10" t="inlineStr">
        <is>
          <t>England</t>
        </is>
      </c>
      <c r="V67" s="10" t="inlineStr">
        <is>
          <t>01469 577493</t>
        </is>
      </c>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disposables; kits; e-liquids; vape hardware</t>
        </is>
      </c>
      <c r="AL67" s="10" t="inlineStr"/>
      <c r="AM67" s="10" t="inlineStr">
        <is>
          <t>Vape Shop</t>
        </is>
      </c>
      <c r="AN67" s="10" t="inlineStr"/>
      <c r="AO67" s="10" t="inlineStr">
        <is>
          <t>Immingham store trading as Vape Shack. Shared parent with The Vape Shack Beverley inferred from brand/name; link not independently confirmed. No postcode in search results.</t>
        </is>
      </c>
      <c r="AP67" s="10" t="inlineStr">
        <is>
          <t>High</t>
        </is>
      </c>
      <c r="AQ67" s="10" t="inlineStr">
        <is>
          <t>Multi-site retailer; Independent retailer; Core relevant category; Social presence</t>
        </is>
      </c>
      <c r="AR67" s="10" t="inlineStr">
        <is>
          <t>https://www.facebook.com/vapeshackimmingham/</t>
        </is>
      </c>
      <c r="AS67" s="10" t="inlineStr">
        <is>
          <t>https://www.thomsonlocal.com/search/smoking-cessation/brigg-south-humberside/vape-shack-immingham/3239866/01469577493</t>
        </is>
      </c>
      <c r="AT67" s="10" t="inlineStr">
        <is>
          <t>2</t>
        </is>
      </c>
      <c r="AU67" s="10" t="inlineStr">
        <is>
          <t>No</t>
        </is>
      </c>
      <c r="AV67" s="10" t="inlineStr">
        <is>
          <t>No</t>
        </is>
      </c>
      <c r="AW67" s="10" t="inlineStr">
        <is>
          <t>No</t>
        </is>
      </c>
      <c r="AX67" s="10" t="inlineStr">
        <is>
          <t>No</t>
        </is>
      </c>
      <c r="AY67" s="10" t="inlineStr">
        <is>
          <t>Verified directory</t>
        </is>
      </c>
      <c r="AZ67" s="10" t="inlineStr">
        <is>
          <t>Not Found</t>
        </is>
      </c>
      <c r="BA67" s="10" t="inlineStr">
        <is>
          <t>2026-09-16</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2026-09-16</t>
        </is>
      </c>
      <c r="BJ67" s="10" t="inlineStr">
        <is>
          <t>New</t>
        </is>
      </c>
      <c r="BK67" s="10" t="inlineStr">
        <is>
          <t>2026-09-16</t>
        </is>
      </c>
      <c r="BL67" s="10" t="inlineStr"/>
      <c r="BM67" s="10" t="inlineStr"/>
      <c r="BN67" s="10" t="inlineStr"/>
      <c r="BO67" s="10" t="inlineStr"/>
      <c r="BP67" s="10" t="inlineStr"/>
      <c r="BQ67" s="10" t="inlineStr"/>
    </row>
    <row r="68">
      <c r="A68" s="5" t="inlineStr">
        <is>
          <t>UK-000222</t>
        </is>
      </c>
      <c r="B68" s="5" t="inlineStr">
        <is>
          <t>VAPESHOPGU-01</t>
        </is>
      </c>
      <c r="C68" s="5" t="inlineStr">
        <is>
          <t>Vape Shop Guy</t>
        </is>
      </c>
      <c r="D68" s="5" t="inlineStr">
        <is>
          <t>Vape Shop Guy Boroughbridge</t>
        </is>
      </c>
      <c r="E68" s="5" t="inlineStr">
        <is>
          <t>Vape Shop Guy</t>
        </is>
      </c>
      <c r="F68" s="5" t="inlineStr"/>
      <c r="G68" s="5" t="inlineStr">
        <is>
          <t>Vape Shop</t>
        </is>
      </c>
      <c r="H68" s="5" t="inlineStr">
        <is>
          <t>Vaping products &amp; e-liquids</t>
        </is>
      </c>
      <c r="I68" s="5" t="inlineStr">
        <is>
          <t>Multi-Site Independent</t>
        </is>
      </c>
      <c r="J68" s="5" t="inlineStr">
        <is>
          <t>4</t>
        </is>
      </c>
      <c r="K68" s="5" t="inlineStr">
        <is>
          <t>https://vapeshopguy.co.uk/</t>
        </is>
      </c>
      <c r="L68" s="5" t="inlineStr"/>
      <c r="M68" s="5" t="inlineStr"/>
      <c r="N68" s="5" t="inlineStr"/>
      <c r="O68" s="5" t="inlineStr">
        <is>
          <t>34 High Street</t>
        </is>
      </c>
      <c r="P68" s="5" t="inlineStr"/>
      <c r="Q68" s="5" t="inlineStr">
        <is>
          <t>Boroughbridge</t>
        </is>
      </c>
      <c r="R68" s="5" t="inlineStr">
        <is>
          <t>North Yorkshire</t>
        </is>
      </c>
      <c r="S68" s="5" t="inlineStr"/>
      <c r="T68" s="5" t="inlineStr">
        <is>
          <t>Yorkshire &amp; Humber</t>
        </is>
      </c>
      <c r="U68" s="5" t="inlineStr">
        <is>
          <t>England</t>
        </is>
      </c>
      <c r="V68" s="5" t="inlineStr">
        <is>
          <t>01423 325924</t>
        </is>
      </c>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vape hardware; e-liquids; disposables</t>
        </is>
      </c>
      <c r="AL68" s="5" t="inlineStr"/>
      <c r="AM68" s="5" t="inlineStr">
        <is>
          <t>Vape Shop</t>
        </is>
      </c>
      <c r="AN68" s="5" t="inlineStr"/>
      <c r="AO68" s="5" t="inlineStr">
        <is>
          <t>Boroughbridge branch of the Vape Shop Guy group (vapeshopguy.co.uk). Address 34 High Street and phone from the group's own Locations/Contact pages via search snippets; full postcode not surfaced (YO51 area).</t>
        </is>
      </c>
      <c r="AP68" s="5" t="inlineStr">
        <is>
          <t>High</t>
        </is>
      </c>
      <c r="AQ68" s="5" t="inlineStr">
        <is>
          <t>Multi-site retailer; Independent retailer; Core relevant category; Active website; Phone verified on official website</t>
        </is>
      </c>
      <c r="AR68" s="5" t="inlineStr">
        <is>
          <t>https://vapeshopguy.co.uk/locations</t>
        </is>
      </c>
      <c r="AS68" s="5" t="inlineStr"/>
      <c r="AT68" s="5" t="inlineStr">
        <is>
          <t>1</t>
        </is>
      </c>
      <c r="AU68" s="5" t="inlineStr">
        <is>
          <t>No</t>
        </is>
      </c>
      <c r="AV68" s="5" t="inlineStr">
        <is>
          <t>No</t>
        </is>
      </c>
      <c r="AW68" s="5" t="inlineStr">
        <is>
          <t>No</t>
        </is>
      </c>
      <c r="AX68" s="5" t="inlineStr">
        <is>
          <t>No</t>
        </is>
      </c>
      <c r="AY68" s="5" t="inlineStr">
        <is>
          <t>Verified on official website</t>
        </is>
      </c>
      <c r="AZ68" s="5" t="inlineStr">
        <is>
          <t>Website Found</t>
        </is>
      </c>
      <c r="BA68" s="5" t="inlineStr">
        <is>
          <t>2026-09-16</t>
        </is>
      </c>
      <c r="BB68" s="5" t="inlineStr">
        <is>
          <t>Requires Verification</t>
        </is>
      </c>
      <c r="BC68" s="5" t="inlineStr">
        <is>
          <t>Medium</t>
        </is>
      </c>
      <c r="BD68" s="5" t="inlineStr"/>
      <c r="BE68" s="5" t="inlineStr">
        <is>
          <t>Business (B2B)</t>
        </is>
      </c>
      <c r="BF68" s="5" t="inlineStr">
        <is>
          <t>Legitimate interest (B2B) - assess per campaign; PECR: corporate subscribers</t>
        </is>
      </c>
      <c r="BG68" s="5" t="inlineStr"/>
      <c r="BH68" s="5" t="inlineStr">
        <is>
          <t>No</t>
        </is>
      </c>
      <c r="BI68" s="5" t="inlineStr">
        <is>
          <t>2026-09-16</t>
        </is>
      </c>
      <c r="BJ68" s="5" t="inlineStr">
        <is>
          <t>New</t>
        </is>
      </c>
      <c r="BK68" s="5" t="inlineStr">
        <is>
          <t>2026-09-16</t>
        </is>
      </c>
      <c r="BL68" s="5" t="inlineStr"/>
      <c r="BM68" s="5" t="inlineStr"/>
      <c r="BN68" s="5" t="inlineStr"/>
      <c r="BO68" s="5" t="inlineStr"/>
      <c r="BP68" s="5" t="inlineStr"/>
      <c r="BQ68" s="5" t="inlineStr"/>
    </row>
    <row r="69">
      <c r="A69" s="10" t="inlineStr">
        <is>
          <t>UK-000223</t>
        </is>
      </c>
      <c r="B69" s="10" t="inlineStr">
        <is>
          <t>VAPESHOPGU-02</t>
        </is>
      </c>
      <c r="C69" s="10" t="inlineStr">
        <is>
          <t>Vape Shop Guy</t>
        </is>
      </c>
      <c r="D69" s="10" t="inlineStr">
        <is>
          <t>Vape Shop Guy Ripon</t>
        </is>
      </c>
      <c r="E69" s="10" t="inlineStr">
        <is>
          <t>Vape Shop Guy</t>
        </is>
      </c>
      <c r="F69" s="10" t="inlineStr">
        <is>
          <t>Vape Shop Guy Ripon Ltd</t>
        </is>
      </c>
      <c r="G69" s="10" t="inlineStr">
        <is>
          <t>Vape Shop</t>
        </is>
      </c>
      <c r="H69" s="10" t="inlineStr">
        <is>
          <t>Vaping products &amp; e-liquids</t>
        </is>
      </c>
      <c r="I69" s="10" t="inlineStr">
        <is>
          <t>Multi-Site Independent</t>
        </is>
      </c>
      <c r="J69" s="10" t="inlineStr">
        <is>
          <t>4</t>
        </is>
      </c>
      <c r="K69" s="10" t="inlineStr">
        <is>
          <t>https://vapeshopguy.co.uk/</t>
        </is>
      </c>
      <c r="L69" s="10" t="inlineStr"/>
      <c r="M69" s="10" t="inlineStr"/>
      <c r="N69" s="10" t="inlineStr"/>
      <c r="O69" s="10" t="inlineStr">
        <is>
          <t>4 North Street</t>
        </is>
      </c>
      <c r="P69" s="10" t="inlineStr"/>
      <c r="Q69" s="10" t="inlineStr">
        <is>
          <t>Ripon</t>
        </is>
      </c>
      <c r="R69" s="10" t="inlineStr">
        <is>
          <t>North Yorkshire</t>
        </is>
      </c>
      <c r="S69" s="10" t="inlineStr"/>
      <c r="T69" s="10" t="inlineStr">
        <is>
          <t>Yorkshire &amp; Humber</t>
        </is>
      </c>
      <c r="U69" s="10" t="inlineStr">
        <is>
          <t>England</t>
        </is>
      </c>
      <c r="V69" s="10" t="inlineStr"/>
      <c r="W69" s="10" t="inlineStr"/>
      <c r="X69" s="10" t="inlineStr"/>
      <c r="Y69" s="10" t="inlineStr"/>
      <c r="Z69" s="10" t="inlineStr"/>
      <c r="AA69" s="10" t="inlineStr"/>
      <c r="AB69" s="10" t="inlineStr"/>
      <c r="AC69" s="10" t="inlineStr"/>
      <c r="AD69" s="10" t="inlineStr"/>
      <c r="AE69" s="10" t="inlineStr">
        <is>
          <t>16398053</t>
        </is>
      </c>
      <c r="AF69" s="10" t="inlineStr"/>
      <c r="AG69" s="10" t="inlineStr">
        <is>
          <t>VAPE SHOP GUY RIPON LTD</t>
        </is>
      </c>
      <c r="AH69" s="10" t="inlineStr"/>
      <c r="AI69" s="10" t="inlineStr"/>
      <c r="AJ69" s="10" t="inlineStr"/>
      <c r="AK69" s="10" t="inlineStr">
        <is>
          <t>vape hardware; e-liquids; disposables</t>
        </is>
      </c>
      <c r="AL69" s="10" t="inlineStr"/>
      <c r="AM69" s="10" t="inlineStr">
        <is>
          <t>Vape Shop</t>
        </is>
      </c>
      <c r="AN69" s="10" t="inlineStr"/>
      <c r="AO69" s="10" t="inlineStr">
        <is>
          <t>Ripon branch of the Vape Shop Guy group at 4 North Street. Companies House match VAPE SHOP GUY RIPON LTD (no. 16398053) surfaced in search results; CH page not opened so status/incorporation left blank.</t>
        </is>
      </c>
      <c r="AP69" s="10" t="inlineStr">
        <is>
          <t>High</t>
        </is>
      </c>
      <c r="AQ69" s="10" t="inlineStr">
        <is>
          <t>Multi-site retailer; Independent retailer; Core relevant category; Active website</t>
        </is>
      </c>
      <c r="AR69" s="10" t="inlineStr">
        <is>
          <t>https://vapeshopguy.co.uk/locations</t>
        </is>
      </c>
      <c r="AS69" s="10" t="inlineStr">
        <is>
          <t>https://find-and-update.company-information.service.gov.uk/company/16398053</t>
        </is>
      </c>
      <c r="AT69" s="10" t="inlineStr">
        <is>
          <t>2</t>
        </is>
      </c>
      <c r="AU69" s="10" t="inlineStr">
        <is>
          <t>No</t>
        </is>
      </c>
      <c r="AV69" s="10" t="inlineStr">
        <is>
          <t>No</t>
        </is>
      </c>
      <c r="AW69" s="10" t="inlineStr">
        <is>
          <t>No</t>
        </is>
      </c>
      <c r="AX69" s="10" t="inlineStr">
        <is>
          <t>No</t>
        </is>
      </c>
      <c r="AY69" s="10" t="inlineStr">
        <is>
          <t>Not Found</t>
        </is>
      </c>
      <c r="AZ69" s="10" t="inlineStr">
        <is>
          <t>Website Found</t>
        </is>
      </c>
      <c r="BA69" s="10" t="inlineStr">
        <is>
          <t>2026-09-16</t>
        </is>
      </c>
      <c r="BB69" s="10" t="inlineStr">
        <is>
          <t>Requires Verification</t>
        </is>
      </c>
      <c r="BC69" s="10" t="inlineStr">
        <is>
          <t>Medium</t>
        </is>
      </c>
      <c r="BD69" s="10" t="inlineStr"/>
      <c r="BE69" s="10" t="inlineStr">
        <is>
          <t>Business (B2B)</t>
        </is>
      </c>
      <c r="BF69" s="10" t="inlineStr">
        <is>
          <t>Legitimate interest (B2B) - assess per campaign; PECR: corporate subscribers</t>
        </is>
      </c>
      <c r="BG69" s="10" t="inlineStr"/>
      <c r="BH69" s="10" t="inlineStr">
        <is>
          <t>No</t>
        </is>
      </c>
      <c r="BI69" s="10" t="inlineStr">
        <is>
          <t>2026-09-16</t>
        </is>
      </c>
      <c r="BJ69" s="10" t="inlineStr">
        <is>
          <t>New</t>
        </is>
      </c>
      <c r="BK69" s="10" t="inlineStr">
        <is>
          <t>2026-09-16</t>
        </is>
      </c>
      <c r="BL69" s="10" t="inlineStr"/>
      <c r="BM69" s="10" t="inlineStr"/>
      <c r="BN69" s="10" t="inlineStr"/>
      <c r="BO69" s="10" t="inlineStr"/>
      <c r="BP69" s="10" t="inlineStr"/>
      <c r="BQ69" s="10" t="inlineStr"/>
    </row>
    <row r="70">
      <c r="A70" s="5" t="inlineStr">
        <is>
          <t>UK-000224</t>
        </is>
      </c>
      <c r="B70" s="5" t="inlineStr">
        <is>
          <t>VAPESHOPGU-03</t>
        </is>
      </c>
      <c r="C70" s="5" t="inlineStr">
        <is>
          <t>Vape Shop Guy</t>
        </is>
      </c>
      <c r="D70" s="5" t="inlineStr">
        <is>
          <t>Vape Shop Guy Thirsk</t>
        </is>
      </c>
      <c r="E70" s="5" t="inlineStr">
        <is>
          <t>Vape Shop Guy</t>
        </is>
      </c>
      <c r="F70" s="5" t="inlineStr">
        <is>
          <t>Vape Shop Guy Thirsk Ltd</t>
        </is>
      </c>
      <c r="G70" s="5" t="inlineStr">
        <is>
          <t>Vape Shop</t>
        </is>
      </c>
      <c r="H70" s="5" t="inlineStr">
        <is>
          <t>Vaping products &amp; e-liquids</t>
        </is>
      </c>
      <c r="I70" s="5" t="inlineStr">
        <is>
          <t>Multi-Site Independent</t>
        </is>
      </c>
      <c r="J70" s="5" t="inlineStr">
        <is>
          <t>4</t>
        </is>
      </c>
      <c r="K70" s="5" t="inlineStr">
        <is>
          <t>https://vapeshopguy.co.uk/</t>
        </is>
      </c>
      <c r="L70" s="5" t="inlineStr"/>
      <c r="M70" s="5" t="inlineStr"/>
      <c r="N70" s="5" t="inlineStr"/>
      <c r="O70" s="5" t="inlineStr">
        <is>
          <t>2 Millgate</t>
        </is>
      </c>
      <c r="P70" s="5" t="inlineStr"/>
      <c r="Q70" s="5" t="inlineStr">
        <is>
          <t>Thirsk</t>
        </is>
      </c>
      <c r="R70" s="5" t="inlineStr">
        <is>
          <t>North Yorkshire</t>
        </is>
      </c>
      <c r="S70" s="5" t="inlineStr"/>
      <c r="T70" s="5" t="inlineStr">
        <is>
          <t>Yorkshire &amp; Humber</t>
        </is>
      </c>
      <c r="U70" s="5" t="inlineStr">
        <is>
          <t>England</t>
        </is>
      </c>
      <c r="V70" s="5" t="inlineStr"/>
      <c r="W70" s="5" t="inlineStr"/>
      <c r="X70" s="5" t="inlineStr"/>
      <c r="Y70" s="5" t="inlineStr"/>
      <c r="Z70" s="5" t="inlineStr"/>
      <c r="AA70" s="5" t="inlineStr"/>
      <c r="AB70" s="5" t="inlineStr"/>
      <c r="AC70" s="5" t="inlineStr"/>
      <c r="AD70" s="5" t="inlineStr"/>
      <c r="AE70" s="5" t="inlineStr">
        <is>
          <t>15869863</t>
        </is>
      </c>
      <c r="AF70" s="5" t="inlineStr"/>
      <c r="AG70" s="5" t="inlineStr">
        <is>
          <t>VAPE SHOP GUY THIRSK LTD</t>
        </is>
      </c>
      <c r="AH70" s="5" t="inlineStr"/>
      <c r="AI70" s="5" t="inlineStr"/>
      <c r="AJ70" s="5" t="inlineStr"/>
      <c r="AK70" s="5" t="inlineStr">
        <is>
          <t>vape hardware; e-liquids; disposables</t>
        </is>
      </c>
      <c r="AL70" s="5" t="inlineStr"/>
      <c r="AM70" s="5" t="inlineStr">
        <is>
          <t>Vape Shop</t>
        </is>
      </c>
      <c r="AN70" s="5" t="inlineStr"/>
      <c r="AO70" s="5"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70" s="5" t="inlineStr">
        <is>
          <t>High</t>
        </is>
      </c>
      <c r="AQ70" s="5" t="inlineStr">
        <is>
          <t>Multi-site retailer; Independent retailer; Core relevant category; Active website</t>
        </is>
      </c>
      <c r="AR70" s="5" t="inlineStr">
        <is>
          <t>https://vapeshopguy.co.uk/locations</t>
        </is>
      </c>
      <c r="AS70" s="5" t="inlineStr">
        <is>
          <t>https://find-and-update.company-information.service.gov.uk/company/15869863</t>
        </is>
      </c>
      <c r="AT70" s="5" t="inlineStr">
        <is>
          <t>2</t>
        </is>
      </c>
      <c r="AU70" s="5" t="inlineStr">
        <is>
          <t>No</t>
        </is>
      </c>
      <c r="AV70" s="5" t="inlineStr">
        <is>
          <t>No</t>
        </is>
      </c>
      <c r="AW70" s="5" t="inlineStr">
        <is>
          <t>No</t>
        </is>
      </c>
      <c r="AX70" s="5" t="inlineStr">
        <is>
          <t>No</t>
        </is>
      </c>
      <c r="AY70" s="5" t="inlineStr">
        <is>
          <t>Not Found</t>
        </is>
      </c>
      <c r="AZ70" s="5" t="inlineStr">
        <is>
          <t>Website Found</t>
        </is>
      </c>
      <c r="BA70" s="5" t="inlineStr">
        <is>
          <t>2026-09-16</t>
        </is>
      </c>
      <c r="BB70" s="5" t="inlineStr">
        <is>
          <t>Requires Verification</t>
        </is>
      </c>
      <c r="BC70" s="5" t="inlineStr">
        <is>
          <t>Medium</t>
        </is>
      </c>
      <c r="BD70" s="5" t="inlineStr"/>
      <c r="BE70" s="5" t="inlineStr">
        <is>
          <t>Business (B2B)</t>
        </is>
      </c>
      <c r="BF70" s="5" t="inlineStr">
        <is>
          <t>Legitimate interest (B2B) - assess per campaign; PECR: corporate subscribers</t>
        </is>
      </c>
      <c r="BG70" s="5" t="inlineStr"/>
      <c r="BH70" s="5" t="inlineStr">
        <is>
          <t>No</t>
        </is>
      </c>
      <c r="BI70" s="5" t="inlineStr">
        <is>
          <t>2026-09-16</t>
        </is>
      </c>
      <c r="BJ70" s="5" t="inlineStr">
        <is>
          <t>New</t>
        </is>
      </c>
      <c r="BK70" s="5" t="inlineStr">
        <is>
          <t>2026-09-16</t>
        </is>
      </c>
      <c r="BL70" s="5" t="inlineStr"/>
      <c r="BM70" s="5" t="inlineStr"/>
      <c r="BN70" s="5" t="inlineStr"/>
      <c r="BO70" s="5" t="inlineStr"/>
      <c r="BP70" s="5" t="inlineStr"/>
      <c r="BQ70" s="5" t="inlineStr"/>
    </row>
    <row r="71">
      <c r="A71" s="10" t="inlineStr">
        <is>
          <t>UK-000225</t>
        </is>
      </c>
      <c r="B71" s="10" t="inlineStr">
        <is>
          <t>VAPESHOPGU-04</t>
        </is>
      </c>
      <c r="C71" s="10" t="inlineStr">
        <is>
          <t>Vape Shop Guy</t>
        </is>
      </c>
      <c r="D71" s="10" t="inlineStr">
        <is>
          <t>Vapour Worx Knaresborough</t>
        </is>
      </c>
      <c r="E71" s="10" t="inlineStr">
        <is>
          <t>Vapour Worx</t>
        </is>
      </c>
      <c r="F71" s="10" t="inlineStr"/>
      <c r="G71" s="10" t="inlineStr">
        <is>
          <t>Vape Shop</t>
        </is>
      </c>
      <c r="H71" s="10" t="inlineStr">
        <is>
          <t>Vaping products &amp; e-liquids</t>
        </is>
      </c>
      <c r="I71" s="10" t="inlineStr">
        <is>
          <t>Multi-Site Independent</t>
        </is>
      </c>
      <c r="J71" s="10" t="inlineStr">
        <is>
          <t>4</t>
        </is>
      </c>
      <c r="K71" s="10" t="inlineStr">
        <is>
          <t>https://vapeshopguy.co.uk/</t>
        </is>
      </c>
      <c r="L71" s="10" t="inlineStr"/>
      <c r="M71" s="10" t="inlineStr"/>
      <c r="N71" s="10" t="inlineStr"/>
      <c r="O71" s="10" t="inlineStr">
        <is>
          <t>39a High Street</t>
        </is>
      </c>
      <c r="P71" s="10" t="inlineStr"/>
      <c r="Q71" s="10" t="inlineStr">
        <is>
          <t>Knaresborough</t>
        </is>
      </c>
      <c r="R71" s="10" t="inlineStr">
        <is>
          <t>North Yorkshire</t>
        </is>
      </c>
      <c r="S71" s="10" t="inlineStr">
        <is>
          <t>HG5 0HB</t>
        </is>
      </c>
      <c r="T71" s="10" t="inlineStr">
        <is>
          <t>Yorkshire &amp; Humber</t>
        </is>
      </c>
      <c r="U71" s="10" t="inlineStr">
        <is>
          <t>England</t>
        </is>
      </c>
      <c r="V71" s="10" t="inlineStr">
        <is>
          <t>01423 610083</t>
        </is>
      </c>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vape hardware; e-liquids; disposables</t>
        </is>
      </c>
      <c r="AL71" s="10" t="inlineStr"/>
      <c r="AM71" s="10" t="inlineStr">
        <is>
          <t>Vape Shop</t>
        </is>
      </c>
      <c r="AN71" s="10" t="inlineStr"/>
      <c r="AO71" s="10"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71" s="10" t="inlineStr">
        <is>
          <t>High</t>
        </is>
      </c>
      <c r="AQ71" s="10" t="inlineStr">
        <is>
          <t>Multi-site retailer; Independent retailer; Core relevant category; Active website</t>
        </is>
      </c>
      <c r="AR71" s="10" t="inlineStr">
        <is>
          <t>https://directory.crewechronicle.co.uk/company/1223189121957890</t>
        </is>
      </c>
      <c r="AS71" s="10" t="inlineStr">
        <is>
          <t>https://vymaps.com/GB/Vapour-Worx-Knaresborough-318766375170972/</t>
        </is>
      </c>
      <c r="AT71" s="10" t="inlineStr">
        <is>
          <t>3</t>
        </is>
      </c>
      <c r="AU71" s="10" t="inlineStr">
        <is>
          <t>No</t>
        </is>
      </c>
      <c r="AV71" s="10" t="inlineStr">
        <is>
          <t>No</t>
        </is>
      </c>
      <c r="AW71" s="10" t="inlineStr">
        <is>
          <t>No</t>
        </is>
      </c>
      <c r="AX71" s="10" t="inlineStr">
        <is>
          <t>No</t>
        </is>
      </c>
      <c r="AY71" s="10" t="inlineStr">
        <is>
          <t>Verified directory</t>
        </is>
      </c>
      <c r="AZ71" s="10" t="inlineStr">
        <is>
          <t>Website Found</t>
        </is>
      </c>
      <c r="BA71" s="10" t="inlineStr">
        <is>
          <t>2026-09-16</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2026-09-16</t>
        </is>
      </c>
      <c r="BJ71" s="10" t="inlineStr">
        <is>
          <t>New</t>
        </is>
      </c>
      <c r="BK71" s="10" t="inlineStr">
        <is>
          <t>2026-09-16</t>
        </is>
      </c>
      <c r="BL71" s="10" t="inlineStr"/>
      <c r="BM71" s="10" t="inlineStr"/>
      <c r="BN71" s="10" t="inlineStr"/>
      <c r="BO71" s="10" t="inlineStr"/>
      <c r="BP71" s="10" t="inlineStr"/>
      <c r="BQ71" s="10" t="inlineStr"/>
    </row>
    <row r="72">
      <c r="A72" s="5" t="inlineStr">
        <is>
          <t>WY-0039</t>
        </is>
      </c>
      <c r="B72" s="5" t="inlineStr">
        <is>
          <t>WOWVAPE-01</t>
        </is>
      </c>
      <c r="C72" s="5" t="inlineStr">
        <is>
          <t>WOW Vape</t>
        </is>
      </c>
      <c r="D72" s="5" t="inlineStr">
        <is>
          <t>WOW Vape (Castleford)</t>
        </is>
      </c>
      <c r="E72" s="5" t="inlineStr">
        <is>
          <t>WOW Vape</t>
        </is>
      </c>
      <c r="F72" s="5" t="inlineStr"/>
      <c r="G72" s="5" t="inlineStr">
        <is>
          <t>Vape Shop</t>
        </is>
      </c>
      <c r="H72" s="5" t="inlineStr">
        <is>
          <t>Vape retailer</t>
        </is>
      </c>
      <c r="I72" s="5" t="inlineStr">
        <is>
          <t>Multi-Site Independent</t>
        </is>
      </c>
      <c r="J72" s="5" t="inlineStr">
        <is>
          <t>2</t>
        </is>
      </c>
      <c r="K72" s="5" t="inlineStr">
        <is>
          <t>https://wow-vape.co.uk</t>
        </is>
      </c>
      <c r="L72" s="5" t="inlineStr">
        <is>
          <t>https://www.facebook.com/wowvapecas/</t>
        </is>
      </c>
      <c r="M72" s="5" t="inlineStr">
        <is>
          <t>https://www.instagram.com/wow_vape_castleford/</t>
        </is>
      </c>
      <c r="N72" s="5" t="inlineStr"/>
      <c r="O72" s="5" t="inlineStr">
        <is>
          <t>45 Carlton Street</t>
        </is>
      </c>
      <c r="P72" s="5" t="inlineStr"/>
      <c r="Q72" s="5" t="inlineStr">
        <is>
          <t>Castleford</t>
        </is>
      </c>
      <c r="R72" s="5" t="inlineStr">
        <is>
          <t>West Yorkshire</t>
        </is>
      </c>
      <c r="S72" s="5" t="inlineStr">
        <is>
          <t>WF10 1BA</t>
        </is>
      </c>
      <c r="T72" s="5" t="inlineStr">
        <is>
          <t>Yorkshire &amp; Humber</t>
        </is>
      </c>
      <c r="U72" s="5" t="inlineStr">
        <is>
          <t>England</t>
        </is>
      </c>
      <c r="V72" s="5" t="inlineStr">
        <is>
          <t>01977 516062</t>
        </is>
      </c>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vape hardware; e-liquids</t>
        </is>
      </c>
      <c r="AL72" s="5" t="inlineStr"/>
      <c r="AM72" s="5" t="inlineStr">
        <is>
          <t>Vape Shop</t>
        </is>
      </c>
      <c r="AN72" s="5" t="inlineStr"/>
      <c r="AO72" s="5"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72" s="5" t="inlineStr">
        <is>
          <t>High</t>
        </is>
      </c>
      <c r="AQ72" s="5" t="inlineStr">
        <is>
          <t>Multi-site retailer; Independent retailer; Core relevant category; Active website; Social presence</t>
        </is>
      </c>
      <c r="AR72" s="5" t="inlineStr">
        <is>
          <t>https://www.facebook.com/wowvapecas/</t>
        </is>
      </c>
      <c r="AS72" s="5" t="inlineStr">
        <is>
          <t>https://www.yelp.com/biz/wow-vape-castleford</t>
        </is>
      </c>
      <c r="AT72" s="5" t="inlineStr">
        <is>
          <t>3</t>
        </is>
      </c>
      <c r="AU72" s="5" t="inlineStr">
        <is>
          <t>No</t>
        </is>
      </c>
      <c r="AV72" s="5" t="inlineStr">
        <is>
          <t>No</t>
        </is>
      </c>
      <c r="AW72" s="5" t="inlineStr">
        <is>
          <t>No</t>
        </is>
      </c>
      <c r="AX72" s="5" t="inlineStr">
        <is>
          <t>No</t>
        </is>
      </c>
      <c r="AY72" s="5" t="inlineStr">
        <is>
          <t>Verified directory</t>
        </is>
      </c>
      <c r="AZ72" s="5" t="inlineStr">
        <is>
          <t>Not Found</t>
        </is>
      </c>
      <c r="BA72" s="5" t="inlineStr">
        <is>
          <t>2026-09-16</t>
        </is>
      </c>
      <c r="BB72" s="5" t="inlineStr">
        <is>
          <t>Requires Verification</t>
        </is>
      </c>
      <c r="BC72" s="5" t="inlineStr">
        <is>
          <t>Medium</t>
        </is>
      </c>
      <c r="BD72" s="5" t="inlineStr"/>
      <c r="BE72" s="5" t="inlineStr">
        <is>
          <t>Business (B2B)</t>
        </is>
      </c>
      <c r="BF72" s="5" t="inlineStr">
        <is>
          <t>Legitimate interest (B2B) - assess per campaign; PECR: corporate subscribers</t>
        </is>
      </c>
      <c r="BG72" s="5" t="inlineStr"/>
      <c r="BH72" s="5" t="inlineStr">
        <is>
          <t>No</t>
        </is>
      </c>
      <c r="BI72" s="5" t="inlineStr">
        <is>
          <t>2026-09-16</t>
        </is>
      </c>
      <c r="BJ72" s="5" t="inlineStr">
        <is>
          <t>New</t>
        </is>
      </c>
      <c r="BK72" s="5" t="inlineStr">
        <is>
          <t>2026-09-16</t>
        </is>
      </c>
      <c r="BL72" s="5" t="inlineStr"/>
      <c r="BM72" s="5" t="inlineStr"/>
      <c r="BN72" s="5" t="inlineStr"/>
      <c r="BO72" s="5" t="inlineStr"/>
      <c r="BP72" s="5" t="inlineStr"/>
      <c r="BQ72" s="5" t="inlineStr"/>
    </row>
    <row r="73">
      <c r="A73" s="10" t="inlineStr">
        <is>
          <t>WY-0040</t>
        </is>
      </c>
      <c r="B73" s="10" t="inlineStr">
        <is>
          <t>WOWVAPE-02</t>
        </is>
      </c>
      <c r="C73" s="10" t="inlineStr">
        <is>
          <t>WOW Vape</t>
        </is>
      </c>
      <c r="D73" s="10" t="inlineStr">
        <is>
          <t>WOW Vape (Wakefield)</t>
        </is>
      </c>
      <c r="E73" s="10" t="inlineStr">
        <is>
          <t>WOW Vape</t>
        </is>
      </c>
      <c r="F73" s="10" t="inlineStr"/>
      <c r="G73" s="10" t="inlineStr">
        <is>
          <t>Vape Shop</t>
        </is>
      </c>
      <c r="H73" s="10" t="inlineStr">
        <is>
          <t>Vape retailer</t>
        </is>
      </c>
      <c r="I73" s="10" t="inlineStr">
        <is>
          <t>Multi-Site Independent</t>
        </is>
      </c>
      <c r="J73" s="10" t="inlineStr">
        <is>
          <t>2</t>
        </is>
      </c>
      <c r="K73" s="10" t="inlineStr"/>
      <c r="L73" s="10" t="inlineStr"/>
      <c r="M73" s="10" t="inlineStr">
        <is>
          <t>https://www.instagram.com/wowvapewakefield/</t>
        </is>
      </c>
      <c r="N73" s="10" t="inlineStr"/>
      <c r="O73" s="10" t="inlineStr"/>
      <c r="P73" s="10" t="inlineStr"/>
      <c r="Q73" s="10" t="inlineStr">
        <is>
          <t>Wakefield</t>
        </is>
      </c>
      <c r="R73" s="10" t="inlineStr">
        <is>
          <t>West Yorkshire</t>
        </is>
      </c>
      <c r="S73" s="10" t="inlineStr"/>
      <c r="T73" s="10" t="inlineStr">
        <is>
          <t>Yorkshire &amp; Humber</t>
        </is>
      </c>
      <c r="U73" s="10" t="inlineStr">
        <is>
          <t>England</t>
        </is>
      </c>
      <c r="V73" s="10" t="inlineStr"/>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vape hardware; e-liquids</t>
        </is>
      </c>
      <c r="AL73" s="10" t="inlineStr"/>
      <c r="AM73" s="10" t="inlineStr">
        <is>
          <t>Vape Shop</t>
        </is>
      </c>
      <c r="AN73" s="10" t="inlineStr"/>
      <c r="AO73" s="10" t="inlineStr">
        <is>
          <t>Wakefield branch of WOW Vape (sister shop to Castleford). Confirmed via Instagram handle and Puffing Bird directory listing; street address not found in accessible sources - needs follow-up.</t>
        </is>
      </c>
      <c r="AP73" s="10" t="inlineStr">
        <is>
          <t>High</t>
        </is>
      </c>
      <c r="AQ73" s="10" t="inlineStr">
        <is>
          <t>Multi-site retailer; Independent retailer; Core relevant category; Social presence</t>
        </is>
      </c>
      <c r="AR73" s="10" t="inlineStr">
        <is>
          <t>https://www.instagram.com/wowvapewakefield/</t>
        </is>
      </c>
      <c r="AS73" s="10" t="inlineStr">
        <is>
          <t>https://vapeshops.puffingbird.com/yorkshire-and-the-humber/wakefield/wow-vape-wakefield</t>
        </is>
      </c>
      <c r="AT73" s="10" t="inlineStr">
        <is>
          <t>2</t>
        </is>
      </c>
      <c r="AU73" s="10" t="inlineStr">
        <is>
          <t>No</t>
        </is>
      </c>
      <c r="AV73" s="10" t="inlineStr">
        <is>
          <t>No</t>
        </is>
      </c>
      <c r="AW73" s="10" t="inlineStr">
        <is>
          <t>No</t>
        </is>
      </c>
      <c r="AX73" s="10" t="inlineStr">
        <is>
          <t>No</t>
        </is>
      </c>
      <c r="AY73" s="10" t="inlineStr">
        <is>
          <t>Not Found</t>
        </is>
      </c>
      <c r="AZ73" s="10" t="inlineStr">
        <is>
          <t>Not Found</t>
        </is>
      </c>
      <c r="BA73" s="10" t="inlineStr">
        <is>
          <t>2026-09-16</t>
        </is>
      </c>
      <c r="BB73" s="10" t="inlineStr">
        <is>
          <t>Requires Verification</t>
        </is>
      </c>
      <c r="BC73" s="10" t="inlineStr">
        <is>
          <t>Low</t>
        </is>
      </c>
      <c r="BD73" s="10" t="inlineStr"/>
      <c r="BE73" s="10" t="inlineStr">
        <is>
          <t>Business (B2B)</t>
        </is>
      </c>
      <c r="BF73" s="10" t="inlineStr">
        <is>
          <t>Legitimate interest (B2B) - assess per campaign; PECR: corporate subscribers</t>
        </is>
      </c>
      <c r="BG73" s="10" t="inlineStr"/>
      <c r="BH73" s="10" t="inlineStr">
        <is>
          <t>No</t>
        </is>
      </c>
      <c r="BI73" s="10" t="inlineStr">
        <is>
          <t>2026-09-16</t>
        </is>
      </c>
      <c r="BJ73" s="10" t="inlineStr">
        <is>
          <t>New</t>
        </is>
      </c>
      <c r="BK73" s="10" t="inlineStr">
        <is>
          <t>2026-09-16</t>
        </is>
      </c>
      <c r="BL73" s="10" t="inlineStr"/>
      <c r="BM73" s="10" t="inlineStr"/>
      <c r="BN73" s="10" t="inlineStr"/>
      <c r="BO73" s="10" t="inlineStr"/>
      <c r="BP73" s="10" t="inlineStr"/>
      <c r="BQ73" s="10" t="inlineStr"/>
    </row>
    <row r="74">
      <c r="A74" s="5" t="inlineStr">
        <is>
          <t>WY-0041</t>
        </is>
      </c>
      <c r="B74" s="5" t="inlineStr">
        <is>
          <t>WEAREVAPES-01</t>
        </is>
      </c>
      <c r="C74" s="5" t="inlineStr">
        <is>
          <t>We Are Vapes</t>
        </is>
      </c>
      <c r="D74" s="5" t="inlineStr">
        <is>
          <t>We Are Vapes</t>
        </is>
      </c>
      <c r="E74" s="5" t="inlineStr">
        <is>
          <t>We Are Vapes</t>
        </is>
      </c>
      <c r="F74" s="5" t="inlineStr"/>
      <c r="G74" s="5" t="inlineStr">
        <is>
          <t>Vape Shop</t>
        </is>
      </c>
      <c r="H74" s="5" t="inlineStr">
        <is>
          <t>Vape kits, e-liquids &amp; accessories</t>
        </is>
      </c>
      <c r="I74" s="5" t="inlineStr">
        <is>
          <t>Multi-Site Independent</t>
        </is>
      </c>
      <c r="J74" s="5" t="inlineStr">
        <is>
          <t>3</t>
        </is>
      </c>
      <c r="K74" s="5" t="inlineStr">
        <is>
          <t>https://www.wearevapes.com/</t>
        </is>
      </c>
      <c r="L74" s="5" t="inlineStr"/>
      <c r="M74" s="5" t="inlineStr"/>
      <c r="N74" s="5" t="inlineStr"/>
      <c r="O74" s="5" t="inlineStr">
        <is>
          <t>287 Tong Street</t>
        </is>
      </c>
      <c r="P74" s="5" t="inlineStr"/>
      <c r="Q74" s="5" t="inlineStr">
        <is>
          <t>Bradford</t>
        </is>
      </c>
      <c r="R74" s="5" t="inlineStr">
        <is>
          <t>West Yorkshire</t>
        </is>
      </c>
      <c r="S74" s="5" t="inlineStr">
        <is>
          <t>BD4 9QJ</t>
        </is>
      </c>
      <c r="T74" s="5" t="inlineStr">
        <is>
          <t>Yorkshire &amp; Humber</t>
        </is>
      </c>
      <c r="U74" s="5" t="inlineStr">
        <is>
          <t>England</t>
        </is>
      </c>
      <c r="V74" s="5" t="inlineStr">
        <is>
          <t>01274 270773</t>
        </is>
      </c>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vape hardware; e-liquids; disposables</t>
        </is>
      </c>
      <c r="AL74" s="5" t="inlineStr"/>
      <c r="AM74" s="5" t="inlineStr">
        <is>
          <t>Vape Shop</t>
        </is>
      </c>
      <c r="AN74" s="5" t="inlineStr"/>
      <c r="AO74" s="5"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74" s="5" t="inlineStr">
        <is>
          <t>High</t>
        </is>
      </c>
      <c r="AQ74" s="5" t="inlineStr">
        <is>
          <t>Multi-site retailer; Independent retailer; Core relevant category; Active website</t>
        </is>
      </c>
      <c r="AR74" s="5" t="inlineStr">
        <is>
          <t>https://www.wearevapes.com/</t>
        </is>
      </c>
      <c r="AS74" s="5" t="inlineStr">
        <is>
          <t>https://www.yelp.co.uk/biz/we-are-vapes-bradford-3</t>
        </is>
      </c>
      <c r="AT74" s="5" t="inlineStr">
        <is>
          <t>2</t>
        </is>
      </c>
      <c r="AU74" s="5" t="inlineStr">
        <is>
          <t>No</t>
        </is>
      </c>
      <c r="AV74" s="5" t="inlineStr">
        <is>
          <t>No</t>
        </is>
      </c>
      <c r="AW74" s="5" t="inlineStr">
        <is>
          <t>No</t>
        </is>
      </c>
      <c r="AX74" s="5" t="inlineStr">
        <is>
          <t>No</t>
        </is>
      </c>
      <c r="AY74" s="5" t="inlineStr">
        <is>
          <t>Verified directory</t>
        </is>
      </c>
      <c r="AZ74" s="5" t="inlineStr">
        <is>
          <t>Website Found</t>
        </is>
      </c>
      <c r="BA74" s="5" t="inlineStr">
        <is>
          <t>2026-09-16</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2026-09-16</t>
        </is>
      </c>
      <c r="BJ74" s="5" t="inlineStr">
        <is>
          <t>New</t>
        </is>
      </c>
      <c r="BK74" s="5" t="inlineStr">
        <is>
          <t>2026-09-16</t>
        </is>
      </c>
      <c r="BL74" s="5" t="inlineStr"/>
      <c r="BM74" s="5" t="inlineStr"/>
      <c r="BN74" s="5" t="inlineStr"/>
      <c r="BO74" s="5" t="inlineStr"/>
      <c r="BP74" s="5" t="inlineStr"/>
      <c r="BQ74" s="5" t="inlineStr"/>
    </row>
    <row r="75">
      <c r="A75" s="10" t="inlineStr">
        <is>
          <t>WY-0042</t>
        </is>
      </c>
      <c r="B75" s="10" t="inlineStr">
        <is>
          <t>WEAREVAPES-02</t>
        </is>
      </c>
      <c r="C75" s="10" t="inlineStr">
        <is>
          <t>We Are Vapes</t>
        </is>
      </c>
      <c r="D75" s="10" t="inlineStr">
        <is>
          <t>We Are Vapes</t>
        </is>
      </c>
      <c r="E75" s="10" t="inlineStr">
        <is>
          <t>We Are Vapes</t>
        </is>
      </c>
      <c r="F75" s="10" t="inlineStr"/>
      <c r="G75" s="10" t="inlineStr">
        <is>
          <t>Vape Shop</t>
        </is>
      </c>
      <c r="H75" s="10" t="inlineStr">
        <is>
          <t>Vape kits, e-liquids &amp; accessories</t>
        </is>
      </c>
      <c r="I75" s="10" t="inlineStr">
        <is>
          <t>Multi-Site Independent</t>
        </is>
      </c>
      <c r="J75" s="10" t="inlineStr">
        <is>
          <t>3</t>
        </is>
      </c>
      <c r="K75" s="10" t="inlineStr">
        <is>
          <t>https://www.wearevapes.com/</t>
        </is>
      </c>
      <c r="L75" s="10" t="inlineStr"/>
      <c r="M75" s="10" t="inlineStr"/>
      <c r="N75" s="10" t="inlineStr"/>
      <c r="O75" s="10" t="inlineStr">
        <is>
          <t>220 High Street</t>
        </is>
      </c>
      <c r="P75" s="10" t="inlineStr">
        <is>
          <t>Wibsey</t>
        </is>
      </c>
      <c r="Q75" s="10" t="inlineStr">
        <is>
          <t>Bradford</t>
        </is>
      </c>
      <c r="R75" s="10" t="inlineStr">
        <is>
          <t>West Yorkshire</t>
        </is>
      </c>
      <c r="S75" s="10" t="inlineStr"/>
      <c r="T75" s="10" t="inlineStr">
        <is>
          <t>Yorkshire &amp; Humber</t>
        </is>
      </c>
      <c r="U75" s="10" t="inlineStr">
        <is>
          <t>England</t>
        </is>
      </c>
      <c r="V75" s="10" t="inlineStr">
        <is>
          <t>01274 634327</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vape hardware; e-liquids; disposables</t>
        </is>
      </c>
      <c r="AL75" s="10" t="inlineStr"/>
      <c r="AM75" s="10" t="inlineStr">
        <is>
          <t>Vape Shop</t>
        </is>
      </c>
      <c r="AN75" s="10" t="inlineStr"/>
      <c r="AO75" s="10" t="inlineStr">
        <is>
          <t>Wibsey branch of the 3-store We Are Vapes group. Phone listed against this branch in directory results.</t>
        </is>
      </c>
      <c r="AP75" s="10" t="inlineStr">
        <is>
          <t>High</t>
        </is>
      </c>
      <c r="AQ75" s="10" t="inlineStr">
        <is>
          <t>Multi-site retailer; Independent retailer; Core relevant category; Active website</t>
        </is>
      </c>
      <c r="AR75" s="10" t="inlineStr">
        <is>
          <t>https://www.wearevapes.com/</t>
        </is>
      </c>
      <c r="AS75" s="10" t="inlineStr">
        <is>
          <t>https://www.yelp.com/biz/we-are-vapes-bradford-2</t>
        </is>
      </c>
      <c r="AT75" s="10" t="inlineStr">
        <is>
          <t>2</t>
        </is>
      </c>
      <c r="AU75" s="10" t="inlineStr">
        <is>
          <t>No</t>
        </is>
      </c>
      <c r="AV75" s="10" t="inlineStr">
        <is>
          <t>No</t>
        </is>
      </c>
      <c r="AW75" s="10" t="inlineStr">
        <is>
          <t>No</t>
        </is>
      </c>
      <c r="AX75" s="10" t="inlineStr">
        <is>
          <t>No</t>
        </is>
      </c>
      <c r="AY75" s="10" t="inlineStr">
        <is>
          <t>Verified directory</t>
        </is>
      </c>
      <c r="AZ75" s="10" t="inlineStr">
        <is>
          <t>Website Found</t>
        </is>
      </c>
      <c r="BA75" s="10" t="inlineStr">
        <is>
          <t>2026-09-16</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2026-09-16</t>
        </is>
      </c>
      <c r="BJ75" s="10" t="inlineStr">
        <is>
          <t>New</t>
        </is>
      </c>
      <c r="BK75" s="10" t="inlineStr">
        <is>
          <t>2026-09-16</t>
        </is>
      </c>
      <c r="BL75" s="10" t="inlineStr"/>
      <c r="BM75" s="10" t="inlineStr"/>
      <c r="BN75" s="10" t="inlineStr"/>
      <c r="BO75" s="10" t="inlineStr"/>
      <c r="BP75" s="10" t="inlineStr"/>
      <c r="BQ75" s="10" t="inlineStr"/>
    </row>
    <row r="76">
      <c r="A76" s="5" t="inlineStr">
        <is>
          <t>WY-0043</t>
        </is>
      </c>
      <c r="B76" s="5" t="inlineStr">
        <is>
          <t>WEAREVAPES-03</t>
        </is>
      </c>
      <c r="C76" s="5" t="inlineStr">
        <is>
          <t>We Are Vapes</t>
        </is>
      </c>
      <c r="D76" s="5" t="inlineStr">
        <is>
          <t>We Are Vapes</t>
        </is>
      </c>
      <c r="E76" s="5" t="inlineStr">
        <is>
          <t>We Are Vapes</t>
        </is>
      </c>
      <c r="F76" s="5" t="inlineStr"/>
      <c r="G76" s="5" t="inlineStr">
        <is>
          <t>Vape Shop</t>
        </is>
      </c>
      <c r="H76" s="5" t="inlineStr">
        <is>
          <t>Vape kits, e-liquids &amp; accessories</t>
        </is>
      </c>
      <c r="I76" s="5" t="inlineStr">
        <is>
          <t>Multi-Site Independent</t>
        </is>
      </c>
      <c r="J76" s="5" t="inlineStr">
        <is>
          <t>3</t>
        </is>
      </c>
      <c r="K76" s="5" t="inlineStr">
        <is>
          <t>https://www.wearevapes.com/</t>
        </is>
      </c>
      <c r="L76" s="5" t="inlineStr"/>
      <c r="M76" s="5" t="inlineStr"/>
      <c r="N76" s="5" t="inlineStr"/>
      <c r="O76" s="5" t="inlineStr">
        <is>
          <t>446 Killinghall Road</t>
        </is>
      </c>
      <c r="P76" s="5" t="inlineStr"/>
      <c r="Q76" s="5" t="inlineStr">
        <is>
          <t>Bradford</t>
        </is>
      </c>
      <c r="R76" s="5" t="inlineStr">
        <is>
          <t>West Yorkshire</t>
        </is>
      </c>
      <c r="S76" s="5" t="inlineStr"/>
      <c r="T76" s="5" t="inlineStr">
        <is>
          <t>Yorkshire &amp; Humber</t>
        </is>
      </c>
      <c r="U76" s="5" t="inlineStr">
        <is>
          <t>England</t>
        </is>
      </c>
      <c r="V76" s="5" t="inlineStr"/>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vape hardware; e-liquids; disposables</t>
        </is>
      </c>
      <c r="AL76" s="5" t="inlineStr"/>
      <c r="AM76" s="5" t="inlineStr">
        <is>
          <t>Vape Shop</t>
        </is>
      </c>
      <c r="AN76" s="5" t="inlineStr"/>
      <c r="AO76" s="5" t="inlineStr">
        <is>
          <t>Killinghall Road branch (Bradford Moor side of the city) of the 3-store We Are Vapes group.</t>
        </is>
      </c>
      <c r="AP76" s="5" t="inlineStr">
        <is>
          <t>High</t>
        </is>
      </c>
      <c r="AQ76" s="5" t="inlineStr">
        <is>
          <t>Multi-site retailer; Independent retailer; Core relevant category; Active website</t>
        </is>
      </c>
      <c r="AR76" s="5" t="inlineStr">
        <is>
          <t>https://www.wearevapes.com/</t>
        </is>
      </c>
      <c r="AS76" s="5" t="inlineStr">
        <is>
          <t>https://www.yelp.com/biz/we-are-vapes-bradford</t>
        </is>
      </c>
      <c r="AT76" s="5" t="inlineStr">
        <is>
          <t>2</t>
        </is>
      </c>
      <c r="AU76" s="5" t="inlineStr">
        <is>
          <t>No</t>
        </is>
      </c>
      <c r="AV76" s="5" t="inlineStr">
        <is>
          <t>No</t>
        </is>
      </c>
      <c r="AW76" s="5" t="inlineStr">
        <is>
          <t>No</t>
        </is>
      </c>
      <c r="AX76" s="5" t="inlineStr">
        <is>
          <t>No</t>
        </is>
      </c>
      <c r="AY76" s="5" t="inlineStr">
        <is>
          <t>Not Found</t>
        </is>
      </c>
      <c r="AZ76" s="5" t="inlineStr">
        <is>
          <t>Website Found</t>
        </is>
      </c>
      <c r="BA76" s="5" t="inlineStr">
        <is>
          <t>2026-09-16</t>
        </is>
      </c>
      <c r="BB76" s="5" t="inlineStr">
        <is>
          <t>Requires Verification</t>
        </is>
      </c>
      <c r="BC76" s="5" t="inlineStr">
        <is>
          <t>Low</t>
        </is>
      </c>
      <c r="BD76" s="5" t="inlineStr"/>
      <c r="BE76" s="5" t="inlineStr">
        <is>
          <t>Business (B2B)</t>
        </is>
      </c>
      <c r="BF76" s="5" t="inlineStr">
        <is>
          <t>Legitimate interest (B2B) - assess per campaign; PECR: corporate subscribers</t>
        </is>
      </c>
      <c r="BG76" s="5" t="inlineStr"/>
      <c r="BH76" s="5" t="inlineStr">
        <is>
          <t>No</t>
        </is>
      </c>
      <c r="BI76" s="5" t="inlineStr">
        <is>
          <t>2026-09-16</t>
        </is>
      </c>
      <c r="BJ76" s="5" t="inlineStr">
        <is>
          <t>New</t>
        </is>
      </c>
      <c r="BK76" s="5" t="inlineStr">
        <is>
          <t>2026-09-16</t>
        </is>
      </c>
      <c r="BL76" s="5" t="inlineStr"/>
      <c r="BM76" s="5" t="inlineStr"/>
      <c r="BN76" s="5" t="inlineStr"/>
      <c r="BO76" s="5" t="inlineStr"/>
      <c r="BP76" s="5" t="inlineStr"/>
      <c r="BQ76" s="5" t="inlineStr"/>
    </row>
    <row r="77">
      <c r="A77" s="10" t="inlineStr">
        <is>
          <t>WY-0044</t>
        </is>
      </c>
      <c r="B77" s="10" t="inlineStr">
        <is>
          <t>WORLDWIDEF-01</t>
        </is>
      </c>
      <c r="C77" s="10" t="inlineStr">
        <is>
          <t>Worldwide Foods Group</t>
        </is>
      </c>
      <c r="D77" s="10" t="inlineStr">
        <is>
          <t>Worldwide Foods Bradford (Great Horton Road)</t>
        </is>
      </c>
      <c r="E77" s="10" t="inlineStr">
        <is>
          <t>Worldwide Foods</t>
        </is>
      </c>
      <c r="F77" s="10" t="inlineStr">
        <is>
          <t>Worldwide Foods (Bradford) Limited</t>
        </is>
      </c>
      <c r="G77" s="10" t="inlineStr">
        <is>
          <t>Independent Supermarket</t>
        </is>
      </c>
      <c r="H77" s="10" t="inlineStr">
        <is>
          <t>Halal / world food supermarket</t>
        </is>
      </c>
      <c r="I77" s="10" t="inlineStr">
        <is>
          <t>Regional Chain</t>
        </is>
      </c>
      <c r="J77" s="10" t="inlineStr"/>
      <c r="K77" s="10" t="inlineStr">
        <is>
          <t>https://worldwidefoods.co.uk/</t>
        </is>
      </c>
      <c r="L77" s="10" t="inlineStr">
        <is>
          <t>https://www.facebook.com/worldwidefoods/</t>
        </is>
      </c>
      <c r="M77" s="10" t="inlineStr"/>
      <c r="N77" s="10" t="inlineStr"/>
      <c r="O77" s="10" t="inlineStr">
        <is>
          <t>607 Great Horton Road</t>
        </is>
      </c>
      <c r="P77" s="10" t="inlineStr">
        <is>
          <t>Great Horton</t>
        </is>
      </c>
      <c r="Q77" s="10" t="inlineStr">
        <is>
          <t>Bradford</t>
        </is>
      </c>
      <c r="R77" s="10" t="inlineStr">
        <is>
          <t>West Yorkshire</t>
        </is>
      </c>
      <c r="S77" s="10" t="inlineStr">
        <is>
          <t>BD7 4ED</t>
        </is>
      </c>
      <c r="T77" s="10" t="inlineStr">
        <is>
          <t>Yorkshire &amp; Humber</t>
        </is>
      </c>
      <c r="U77" s="10" t="inlineStr">
        <is>
          <t>England</t>
        </is>
      </c>
      <c r="V77" s="10" t="inlineStr">
        <is>
          <t>01274 572661</t>
        </is>
      </c>
      <c r="W77" s="10" t="inlineStr"/>
      <c r="X77" s="10" t="inlineStr"/>
      <c r="Y77" s="10" t="inlineStr">
        <is>
          <t>info@worldwidefoods.co.uk</t>
        </is>
      </c>
      <c r="Z77" s="10" t="inlineStr"/>
      <c r="AA77" s="10" t="inlineStr"/>
      <c r="AB77" s="10" t="inlineStr"/>
      <c r="AC77" s="10" t="inlineStr"/>
      <c r="AD77" s="10" t="inlineStr"/>
      <c r="AE77" s="10" t="inlineStr">
        <is>
          <t>04179487</t>
        </is>
      </c>
      <c r="AF77" s="10" t="inlineStr"/>
      <c r="AG77" s="10" t="inlineStr">
        <is>
          <t>WORLDWIDE FOODS (BRADFORD) LIMITED</t>
        </is>
      </c>
      <c r="AH77" s="10" t="inlineStr"/>
      <c r="AI77" s="10" t="inlineStr"/>
      <c r="AJ77" s="10" t="inlineStr"/>
      <c r="AK77" s="10" t="inlineStr">
        <is>
          <t>halal meat; fresh produce; spices; world foods; groceries</t>
        </is>
      </c>
      <c r="AL77" s="10" t="inlineStr"/>
      <c r="AM77" s="10" t="inlineStr">
        <is>
          <t>Independent Supermarket</t>
        </is>
      </c>
      <c r="AN77" s="10" t="inlineStr"/>
      <c r="AO77" s="10" t="inlineStr">
        <is>
          <t>Second Bradford store of the Worldwide Foods group. Two phone numbers seen in listings: 01274 572661 and 01274 572673.</t>
        </is>
      </c>
      <c r="AP77" s="10" t="inlineStr">
        <is>
          <t>High</t>
        </is>
      </c>
      <c r="AQ77" s="10" t="inlineStr">
        <is>
          <t>Multi-site retailer; Relevant category; Public email available; Active website; Social presence</t>
        </is>
      </c>
      <c r="AR77" s="10" t="inlineStr">
        <is>
          <t>https://worldwidefoods.co.uk/worldwide-bradford-great-horton-road/</t>
        </is>
      </c>
      <c r="AS77" s="10" t="inlineStr">
        <is>
          <t>https://worldwidefoods.co.uk/contact-us/</t>
        </is>
      </c>
      <c r="AT77" s="10" t="inlineStr">
        <is>
          <t>3</t>
        </is>
      </c>
      <c r="AU77" s="10" t="inlineStr">
        <is>
          <t>No</t>
        </is>
      </c>
      <c r="AV77" s="10" t="inlineStr">
        <is>
          <t>No</t>
        </is>
      </c>
      <c r="AW77" s="10" t="inlineStr">
        <is>
          <t>Yes</t>
        </is>
      </c>
      <c r="AX77" s="10" t="inlineStr">
        <is>
          <t>Yes</t>
        </is>
      </c>
      <c r="AY77" s="10" t="inlineStr">
        <is>
          <t>Verified directory</t>
        </is>
      </c>
      <c r="AZ77" s="10" t="inlineStr">
        <is>
          <t>Website Found</t>
        </is>
      </c>
      <c r="BA77" s="10" t="inlineStr">
        <is>
          <t>2026-09-16</t>
        </is>
      </c>
      <c r="BB77" s="10" t="inlineStr">
        <is>
          <t>Partially Verified</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2026-09-16</t>
        </is>
      </c>
      <c r="BJ77" s="10" t="inlineStr">
        <is>
          <t>New</t>
        </is>
      </c>
      <c r="BK77" s="10" t="inlineStr">
        <is>
          <t>2026-09-16</t>
        </is>
      </c>
      <c r="BL77" s="10" t="inlineStr"/>
      <c r="BM77" s="10" t="inlineStr"/>
      <c r="BN77" s="10" t="inlineStr"/>
      <c r="BO77" s="10" t="inlineStr"/>
      <c r="BP77" s="10" t="inlineStr"/>
      <c r="BQ77" s="10" t="inlineStr"/>
    </row>
    <row r="78">
      <c r="A78" s="5" t="inlineStr">
        <is>
          <t>WY-0045</t>
        </is>
      </c>
      <c r="B78" s="5" t="inlineStr">
        <is>
          <t>WORLDWIDEF-02</t>
        </is>
      </c>
      <c r="C78" s="5" t="inlineStr">
        <is>
          <t>Worldwide Foods Group</t>
        </is>
      </c>
      <c r="D78" s="5" t="inlineStr">
        <is>
          <t>Worldwide Foods Bradford (Leeds Road)</t>
        </is>
      </c>
      <c r="E78" s="5" t="inlineStr">
        <is>
          <t>Al Halal Worldwide Foods</t>
        </is>
      </c>
      <c r="F78" s="5" t="inlineStr">
        <is>
          <t>Worldwide Foods (Bradford) Limited</t>
        </is>
      </c>
      <c r="G78" s="5" t="inlineStr">
        <is>
          <t>Independent Supermarket</t>
        </is>
      </c>
      <c r="H78" s="5" t="inlineStr">
        <is>
          <t>Halal / world food supermarket (24 hours)</t>
        </is>
      </c>
      <c r="I78" s="5" t="inlineStr">
        <is>
          <t>Regional Chain</t>
        </is>
      </c>
      <c r="J78" s="5" t="inlineStr"/>
      <c r="K78" s="5" t="inlineStr">
        <is>
          <t>https://worldwidefoods.co.uk/</t>
        </is>
      </c>
      <c r="L78" s="5" t="inlineStr">
        <is>
          <t>https://www.facebook.com/worldwidefoods/</t>
        </is>
      </c>
      <c r="M78" s="5" t="inlineStr"/>
      <c r="N78" s="5" t="inlineStr"/>
      <c r="O78" s="5" t="inlineStr">
        <is>
          <t>1001 Leeds Road</t>
        </is>
      </c>
      <c r="P78" s="5" t="inlineStr"/>
      <c r="Q78" s="5" t="inlineStr">
        <is>
          <t>Bradford</t>
        </is>
      </c>
      <c r="R78" s="5" t="inlineStr">
        <is>
          <t>West Yorkshire</t>
        </is>
      </c>
      <c r="S78" s="5" t="inlineStr">
        <is>
          <t>BD3 7NH</t>
        </is>
      </c>
      <c r="T78" s="5" t="inlineStr">
        <is>
          <t>Yorkshire &amp; Humber</t>
        </is>
      </c>
      <c r="U78" s="5" t="inlineStr">
        <is>
          <t>England</t>
        </is>
      </c>
      <c r="V78" s="5" t="inlineStr">
        <is>
          <t>01274 656638</t>
        </is>
      </c>
      <c r="W78" s="5" t="inlineStr"/>
      <c r="X78" s="5" t="inlineStr"/>
      <c r="Y78" s="5" t="inlineStr"/>
      <c r="Z78" s="5" t="inlineStr"/>
      <c r="AA78" s="5" t="inlineStr"/>
      <c r="AB78" s="5" t="inlineStr"/>
      <c r="AC78" s="5" t="inlineStr"/>
      <c r="AD78" s="5" t="inlineStr"/>
      <c r="AE78" s="5" t="inlineStr">
        <is>
          <t>04179487</t>
        </is>
      </c>
      <c r="AF78" s="5" t="inlineStr"/>
      <c r="AG78" s="5" t="inlineStr">
        <is>
          <t>WORLDWIDE FOODS (BRADFORD) LIMITED</t>
        </is>
      </c>
      <c r="AH78" s="5" t="inlineStr"/>
      <c r="AI78" s="5" t="inlineStr"/>
      <c r="AJ78" s="5" t="inlineStr"/>
      <c r="AK78" s="5" t="inlineStr">
        <is>
          <t>halal meat; fresh produce; spices; world foods; groceries</t>
        </is>
      </c>
      <c r="AL78" s="5" t="inlineStr"/>
      <c r="AM78" s="5" t="inlineStr">
        <is>
          <t>Independent Supermarket</t>
        </is>
      </c>
      <c r="AN78" s="5" t="inlineStr"/>
      <c r="AO78"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78" s="5" t="inlineStr">
        <is>
          <t>Medium</t>
        </is>
      </c>
      <c r="AQ78" s="5" t="inlineStr">
        <is>
          <t>Multi-site retailer; Relevant category; Active website; Social presence</t>
        </is>
      </c>
      <c r="AR78" s="5" t="inlineStr">
        <is>
          <t>https://worldwidefoods.co.uk/worldwide-bradford-leeds-road/</t>
        </is>
      </c>
      <c r="AS78" s="5" t="inlineStr">
        <is>
          <t>https://find-and-update.company-information.service.gov.uk/company/04179487</t>
        </is>
      </c>
      <c r="AT78" s="5" t="inlineStr">
        <is>
          <t>3</t>
        </is>
      </c>
      <c r="AU78" s="5" t="inlineStr">
        <is>
          <t>No</t>
        </is>
      </c>
      <c r="AV78" s="5" t="inlineStr">
        <is>
          <t>No</t>
        </is>
      </c>
      <c r="AW78" s="5" t="inlineStr">
        <is>
          <t>No</t>
        </is>
      </c>
      <c r="AX78" s="5" t="inlineStr">
        <is>
          <t>Yes</t>
        </is>
      </c>
      <c r="AY78" s="5" t="inlineStr">
        <is>
          <t>Verified directory</t>
        </is>
      </c>
      <c r="AZ78" s="5" t="inlineStr">
        <is>
          <t>Website Found</t>
        </is>
      </c>
      <c r="BA78" s="5" t="inlineStr">
        <is>
          <t>2026-09-16</t>
        </is>
      </c>
      <c r="BB78" s="5" t="inlineStr">
        <is>
          <t>Partially Verified</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2026-09-16</t>
        </is>
      </c>
      <c r="BJ78" s="5" t="inlineStr">
        <is>
          <t>New</t>
        </is>
      </c>
      <c r="BK78" s="5" t="inlineStr">
        <is>
          <t>2026-09-16</t>
        </is>
      </c>
      <c r="BL78" s="5" t="inlineStr"/>
      <c r="BM78" s="5" t="inlineStr"/>
      <c r="BN78" s="5" t="inlineStr"/>
      <c r="BO78" s="5" t="inlineStr"/>
      <c r="BP78" s="5" t="inlineStr"/>
      <c r="BQ78" s="5" t="inlineStr"/>
    </row>
    <row r="79">
      <c r="A79" s="10" t="inlineStr">
        <is>
          <t>WY-0046</t>
        </is>
      </c>
      <c r="B79" s="10" t="inlineStr">
        <is>
          <t>WORLDWIDEF-03</t>
        </is>
      </c>
      <c r="C79" s="10" t="inlineStr">
        <is>
          <t>Worldwide Foods Group</t>
        </is>
      </c>
      <c r="D79" s="10" t="inlineStr">
        <is>
          <t>Worldwide Foods Bradford (Woodhead Road)</t>
        </is>
      </c>
      <c r="E79" s="10" t="inlineStr">
        <is>
          <t>Al Halal Supermarket</t>
        </is>
      </c>
      <c r="F79" s="10" t="inlineStr">
        <is>
          <t>Worldwide Foods (Bradford) Limited</t>
        </is>
      </c>
      <c r="G79" s="10" t="inlineStr">
        <is>
          <t>Independent Supermarket</t>
        </is>
      </c>
      <c r="H79" s="10" t="inlineStr">
        <is>
          <t>Halal / world food supermarket</t>
        </is>
      </c>
      <c r="I79" s="10" t="inlineStr">
        <is>
          <t>Regional Chain</t>
        </is>
      </c>
      <c r="J79" s="10" t="inlineStr"/>
      <c r="K79" s="10" t="inlineStr">
        <is>
          <t>https://worldwidefoods.co.uk/</t>
        </is>
      </c>
      <c r="L79" s="10" t="inlineStr">
        <is>
          <t>https://www.facebook.com/worldwidefoods/</t>
        </is>
      </c>
      <c r="M79" s="10" t="inlineStr"/>
      <c r="N79" s="10" t="inlineStr"/>
      <c r="O79" s="10" t="inlineStr">
        <is>
          <t>Woodhead Road</t>
        </is>
      </c>
      <c r="P79" s="10" t="inlineStr"/>
      <c r="Q79" s="10" t="inlineStr">
        <is>
          <t>Bradford</t>
        </is>
      </c>
      <c r="R79" s="10" t="inlineStr">
        <is>
          <t>West Yorkshire</t>
        </is>
      </c>
      <c r="S79" s="10" t="inlineStr"/>
      <c r="T79" s="10" t="inlineStr">
        <is>
          <t>Yorkshire &amp; Humber</t>
        </is>
      </c>
      <c r="U79" s="10" t="inlineStr">
        <is>
          <t>England</t>
        </is>
      </c>
      <c r="V79" s="10" t="inlineStr"/>
      <c r="W79" s="10" t="inlineStr"/>
      <c r="X79" s="10" t="inlineStr"/>
      <c r="Y79" s="10" t="inlineStr"/>
      <c r="Z79" s="10" t="inlineStr"/>
      <c r="AA79" s="10" t="inlineStr"/>
      <c r="AB79" s="10" t="inlineStr"/>
      <c r="AC79" s="10" t="inlineStr"/>
      <c r="AD79" s="10" t="inlineStr"/>
      <c r="AE79" s="10" t="inlineStr">
        <is>
          <t>04179487</t>
        </is>
      </c>
      <c r="AF79" s="10" t="inlineStr"/>
      <c r="AG79" s="10" t="inlineStr">
        <is>
          <t>WORLDWIDE FOODS (BRADFORD) LIMITED</t>
        </is>
      </c>
      <c r="AH79" s="10" t="inlineStr"/>
      <c r="AI79" s="10" t="inlineStr"/>
      <c r="AJ79" s="10" t="inlineStr"/>
      <c r="AK79" s="10" t="inlineStr">
        <is>
          <t>halal meat; fresh produce; world foods; groceries</t>
        </is>
      </c>
      <c r="AL79" s="10" t="inlineStr"/>
      <c r="AM79" s="10" t="inlineStr">
        <is>
          <t>Independent Supermarket</t>
        </is>
      </c>
      <c r="AN79" s="10" t="inlineStr"/>
      <c r="AO79" s="10" t="inlineStr">
        <is>
          <t>Third Bradford location cited in group locations list (search snippet) and on Yelp as Al Halal Supermarket, Woodhead Road. Postcode/phone not captured - needs enrichment.</t>
        </is>
      </c>
      <c r="AP79" s="10" t="inlineStr">
        <is>
          <t>Medium</t>
        </is>
      </c>
      <c r="AQ79" s="10" t="inlineStr">
        <is>
          <t>Multi-site retailer; Relevant category; Active website; Social presence</t>
        </is>
      </c>
      <c r="AR79" s="10" t="inlineStr">
        <is>
          <t>https://worldwidefoods.co.uk/locations/</t>
        </is>
      </c>
      <c r="AS79" s="10" t="inlineStr">
        <is>
          <t>https://www.yelp.co.uk/biz/al-halal-supermarket-bradford</t>
        </is>
      </c>
      <c r="AT79" s="10" t="inlineStr">
        <is>
          <t>2</t>
        </is>
      </c>
      <c r="AU79" s="10" t="inlineStr">
        <is>
          <t>No</t>
        </is>
      </c>
      <c r="AV79" s="10" t="inlineStr">
        <is>
          <t>No</t>
        </is>
      </c>
      <c r="AW79" s="10" t="inlineStr">
        <is>
          <t>No</t>
        </is>
      </c>
      <c r="AX79" s="10" t="inlineStr">
        <is>
          <t>Yes</t>
        </is>
      </c>
      <c r="AY79" s="10" t="inlineStr">
        <is>
          <t>Not Found</t>
        </is>
      </c>
      <c r="AZ79" s="10" t="inlineStr">
        <is>
          <t>Website Found</t>
        </is>
      </c>
      <c r="BA79" s="10" t="inlineStr">
        <is>
          <t>2026-09-16</t>
        </is>
      </c>
      <c r="BB79" s="10" t="inlineStr">
        <is>
          <t>Partially Verified</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2026-09-16</t>
        </is>
      </c>
      <c r="BL79" s="10" t="inlineStr"/>
      <c r="BM79" s="10" t="inlineStr"/>
      <c r="BN79" s="10" t="inlineStr"/>
      <c r="BO79" s="10" t="inlineStr"/>
      <c r="BP79" s="10" t="inlineStr"/>
      <c r="BQ79" s="10" t="inlineStr"/>
    </row>
    <row r="80">
      <c r="A80" s="5" t="inlineStr">
        <is>
          <t>UK-000226</t>
        </is>
      </c>
      <c r="B80" s="5" t="inlineStr">
        <is>
          <t>YORKSHIREA-01</t>
        </is>
      </c>
      <c r="C80" s="5" t="inlineStr">
        <is>
          <t>Yorkshire Agricultural Society</t>
        </is>
      </c>
      <c r="D80" s="5" t="inlineStr">
        <is>
          <t>Fodder</t>
        </is>
      </c>
      <c r="E80" s="5" t="inlineStr">
        <is>
          <t>Fodder</t>
        </is>
      </c>
      <c r="F80" s="5" t="inlineStr"/>
      <c r="G80" s="5" t="inlineStr">
        <is>
          <t>Independent Supermarket</t>
        </is>
      </c>
      <c r="H80" s="5" t="inlineStr">
        <is>
          <t>Farm shop, food hall &amp; cafe</t>
        </is>
      </c>
      <c r="I80" s="5" t="inlineStr">
        <is>
          <t>Independent</t>
        </is>
      </c>
      <c r="J80" s="5" t="inlineStr">
        <is>
          <t>1</t>
        </is>
      </c>
      <c r="K80" s="5" t="inlineStr">
        <is>
          <t>https://fodder.co.uk/</t>
        </is>
      </c>
      <c r="L80" s="5" t="inlineStr"/>
      <c r="M80" s="5" t="inlineStr"/>
      <c r="N80" s="5" t="inlineStr"/>
      <c r="O80" s="5" t="inlineStr">
        <is>
          <t>Great Yorkshire Showground</t>
        </is>
      </c>
      <c r="P80" s="5" t="inlineStr">
        <is>
          <t>Railway Road</t>
        </is>
      </c>
      <c r="Q80" s="5" t="inlineStr">
        <is>
          <t>Harrogate</t>
        </is>
      </c>
      <c r="R80" s="5" t="inlineStr">
        <is>
          <t>North Yorkshire</t>
        </is>
      </c>
      <c r="S80" s="5" t="inlineStr">
        <is>
          <t>HG2 8NZ</t>
        </is>
      </c>
      <c r="T80" s="5" t="inlineStr">
        <is>
          <t>Yorkshire &amp; Humber</t>
        </is>
      </c>
      <c r="U80" s="5" t="inlineStr">
        <is>
          <t>England</t>
        </is>
      </c>
      <c r="V80" s="5" t="inlineStr">
        <is>
          <t>01423 546111</t>
        </is>
      </c>
      <c r="W80" s="5" t="inlineStr"/>
      <c r="X80" s="5" t="inlineStr"/>
      <c r="Y80" s="5" t="inlineStr">
        <is>
          <t>enquiries@fodder.co.uk</t>
        </is>
      </c>
      <c r="Z80" s="5" t="inlineStr"/>
      <c r="AA80" s="5" t="inlineStr"/>
      <c r="AB80" s="5" t="inlineStr"/>
      <c r="AC80" s="5" t="inlineStr"/>
      <c r="AD80" s="5" t="inlineStr"/>
      <c r="AE80" s="5" t="inlineStr"/>
      <c r="AF80" s="5" t="inlineStr"/>
      <c r="AG80" s="5" t="inlineStr"/>
      <c r="AH80" s="5" t="inlineStr"/>
      <c r="AI80" s="5" t="inlineStr"/>
      <c r="AJ80" s="5" t="inlineStr"/>
      <c r="AK80" s="5" t="inlineStr">
        <is>
          <t>fresh produce; butchery; deli; bakery; Yorkshire cheese; groceries</t>
        </is>
      </c>
      <c r="AL80" s="5" t="inlineStr"/>
      <c r="AM80" s="5" t="inlineStr">
        <is>
          <t>Independent Supermarket</t>
        </is>
      </c>
      <c r="AN80" s="5" t="inlineStr">
        <is>
          <t>Works with 430+ Yorkshire farmers/producers; ~85% of stock sourced from Yorkshire</t>
        </is>
      </c>
      <c r="AO80" s="5"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80" s="5" t="inlineStr">
        <is>
          <t>High</t>
        </is>
      </c>
      <c r="AQ80" s="5" t="inlineStr">
        <is>
          <t>Multi-site retailer; Independent retailer; Relevant category; Public email available; Active website; Phone verified on official website</t>
        </is>
      </c>
      <c r="AR80" s="5" t="inlineStr">
        <is>
          <t>https://fodder.co.uk/</t>
        </is>
      </c>
      <c r="AS80" s="5" t="inlineStr">
        <is>
          <t>https://visitharrogate.co.uk/business-directory/fodder-farm-shop-and-cafe</t>
        </is>
      </c>
      <c r="AT80" s="5" t="inlineStr">
        <is>
          <t>3</t>
        </is>
      </c>
      <c r="AU80" s="5" t="inlineStr">
        <is>
          <t>No</t>
        </is>
      </c>
      <c r="AV80" s="5" t="inlineStr">
        <is>
          <t>No</t>
        </is>
      </c>
      <c r="AW80" s="5" t="inlineStr">
        <is>
          <t>No</t>
        </is>
      </c>
      <c r="AX80" s="5" t="inlineStr">
        <is>
          <t>No</t>
        </is>
      </c>
      <c r="AY80" s="5" t="inlineStr">
        <is>
          <t>Verified on official website</t>
        </is>
      </c>
      <c r="AZ80" s="5" t="inlineStr">
        <is>
          <t>Publicly Listed</t>
        </is>
      </c>
      <c r="BA80" s="5" t="inlineStr">
        <is>
          <t>2026-09-16</t>
        </is>
      </c>
      <c r="BB80" s="5" t="inlineStr">
        <is>
          <t>Requires Verification</t>
        </is>
      </c>
      <c r="BC80" s="5" t="inlineStr">
        <is>
          <t>Medium</t>
        </is>
      </c>
      <c r="BD80" s="5" t="inlineStr"/>
      <c r="BE80" s="5" t="inlineStr">
        <is>
          <t>Business (B2B)</t>
        </is>
      </c>
      <c r="BF80" s="5" t="inlineStr">
        <is>
          <t>Legitimate interest (B2B) - assess per campaign; PECR: corporate subscribers</t>
        </is>
      </c>
      <c r="BG80" s="5" t="inlineStr"/>
      <c r="BH80" s="5" t="inlineStr">
        <is>
          <t>No</t>
        </is>
      </c>
      <c r="BI80" s="5" t="inlineStr">
        <is>
          <t>2026-09-16</t>
        </is>
      </c>
      <c r="BJ80" s="5" t="inlineStr">
        <is>
          <t>New</t>
        </is>
      </c>
      <c r="BK80" s="5" t="inlineStr">
        <is>
          <t>2026-09-16</t>
        </is>
      </c>
      <c r="BL80" s="5" t="inlineStr"/>
      <c r="BM80" s="5" t="inlineStr"/>
      <c r="BN80" s="5" t="inlineStr"/>
      <c r="BO80" s="5" t="inlineStr"/>
      <c r="BP80" s="5" t="inlineStr"/>
      <c r="BQ80" s="5" t="inlineStr"/>
    </row>
    <row r="81">
      <c r="A81" s="10" t="inlineStr">
        <is>
          <t>UK-000227</t>
        </is>
      </c>
      <c r="B81" s="10" t="inlineStr">
        <is>
          <t>ECIGARETTE-01</t>
        </is>
      </c>
      <c r="C81" s="10" t="inlineStr">
        <is>
          <t>eCigarette Outlet</t>
        </is>
      </c>
      <c r="D81" s="10" t="inlineStr">
        <is>
          <t>eCigarette Outlet</t>
        </is>
      </c>
      <c r="E81" s="10" t="inlineStr">
        <is>
          <t>eCigarette Outlet</t>
        </is>
      </c>
      <c r="F81" s="10" t="inlineStr"/>
      <c r="G81" s="10" t="inlineStr">
        <is>
          <t>Vape Shop</t>
        </is>
      </c>
      <c r="H81" s="10" t="inlineStr">
        <is>
          <t>E-cigarette specialist chain</t>
        </is>
      </c>
      <c r="I81" s="10" t="inlineStr">
        <is>
          <t>Regional Chain</t>
        </is>
      </c>
      <c r="J81" s="10" t="inlineStr">
        <is>
          <t>6</t>
        </is>
      </c>
      <c r="K81" s="10" t="inlineStr">
        <is>
          <t>https://ecigaretteoutlet.co.uk</t>
        </is>
      </c>
      <c r="L81" s="10" t="inlineStr">
        <is>
          <t>https://www.facebook.com/EcigaretteoutletHull/</t>
        </is>
      </c>
      <c r="M81" s="10" t="inlineStr"/>
      <c r="N81" s="10" t="inlineStr"/>
      <c r="O81" s="10" t="inlineStr">
        <is>
          <t>53 Jameson Street</t>
        </is>
      </c>
      <c r="P81" s="10" t="inlineStr">
        <is>
          <t>City Centre</t>
        </is>
      </c>
      <c r="Q81" s="10" t="inlineStr">
        <is>
          <t>Kingston upon Hull</t>
        </is>
      </c>
      <c r="R81" s="10" t="inlineStr">
        <is>
          <t>East Riding of Yorkshire</t>
        </is>
      </c>
      <c r="S81" s="10" t="inlineStr"/>
      <c r="T81" s="10" t="inlineStr">
        <is>
          <t>Yorkshire &amp; Humber</t>
        </is>
      </c>
      <c r="U81" s="10" t="inlineStr">
        <is>
          <t>England</t>
        </is>
      </c>
      <c r="V81" s="10" t="inlineStr"/>
      <c r="W81" s="10" t="inlineStr"/>
      <c r="X81" s="10" t="inlineStr"/>
      <c r="Y81" s="10" t="inlineStr">
        <is>
          <t>customer.service@ecigaretteoutlet.co.uk</t>
        </is>
      </c>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e-cigarettes; e-liquids; disposables; hardware</t>
        </is>
      </c>
      <c r="AL81" s="10" t="inlineStr"/>
      <c r="AM81" s="10" t="inlineStr">
        <is>
          <t>Vape Shop</t>
        </is>
      </c>
      <c r="AN81" s="10" t="inlineStr"/>
      <c r="AO81" s="10"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81" s="10" t="inlineStr">
        <is>
          <t>High</t>
        </is>
      </c>
      <c r="AQ81" s="10" t="inlineStr">
        <is>
          <t>Multi-site retailer; Core relevant category; Public email available; Active website; Social presence</t>
        </is>
      </c>
      <c r="AR81" s="10" t="inlineStr">
        <is>
          <t>https://www.facebook.com/EcigaretteoutletHull/</t>
        </is>
      </c>
      <c r="AS81" s="10" t="inlineStr">
        <is>
          <t>https://ecigdirectory.co.uk/vape-shop-hull-listings/</t>
        </is>
      </c>
      <c r="AT81" s="10" t="inlineStr">
        <is>
          <t>2</t>
        </is>
      </c>
      <c r="AU81" s="10" t="inlineStr">
        <is>
          <t>Yes</t>
        </is>
      </c>
      <c r="AV81" s="10" t="inlineStr">
        <is>
          <t>No</t>
        </is>
      </c>
      <c r="AW81" s="10" t="inlineStr">
        <is>
          <t>No</t>
        </is>
      </c>
      <c r="AX81" s="10" t="inlineStr">
        <is>
          <t>No</t>
        </is>
      </c>
      <c r="AY81" s="10" t="inlineStr">
        <is>
          <t>Not Found</t>
        </is>
      </c>
      <c r="AZ81" s="10" t="inlineStr">
        <is>
          <t>Publicly Listed</t>
        </is>
      </c>
      <c r="BA81" s="10" t="inlineStr">
        <is>
          <t>2026-09-16</t>
        </is>
      </c>
      <c r="BB81" s="10" t="inlineStr">
        <is>
          <t>Partially Verified</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2026-09-16</t>
        </is>
      </c>
      <c r="BJ81" s="10" t="inlineStr">
        <is>
          <t>New</t>
        </is>
      </c>
      <c r="BK81" s="10" t="inlineStr">
        <is>
          <t>2026-09-16</t>
        </is>
      </c>
      <c r="BL81" s="10" t="inlineStr"/>
      <c r="BM81" s="10" t="inlineStr"/>
      <c r="BN81" s="10" t="inlineStr"/>
      <c r="BO81" s="10" t="inlineStr"/>
      <c r="BP81" s="10" t="inlineStr"/>
      <c r="BQ81" s="10" t="inlineStr"/>
    </row>
    <row r="82">
      <c r="A82" s="5" t="inlineStr">
        <is>
          <t>UK-000228</t>
        </is>
      </c>
      <c r="B82" s="5" t="inlineStr">
        <is>
          <t>ECIGARETTE-02</t>
        </is>
      </c>
      <c r="C82" s="5" t="inlineStr">
        <is>
          <t>eCigarette Outlet</t>
        </is>
      </c>
      <c r="D82" s="5" t="inlineStr">
        <is>
          <t>eCigarette Outlet Cleethorpes</t>
        </is>
      </c>
      <c r="E82" s="5" t="inlineStr">
        <is>
          <t>eCigarette Outlet</t>
        </is>
      </c>
      <c r="F82" s="5" t="inlineStr"/>
      <c r="G82" s="5" t="inlineStr">
        <is>
          <t>Vape Shop</t>
        </is>
      </c>
      <c r="H82" s="5" t="inlineStr">
        <is>
          <t>E-cigarette specialist chain</t>
        </is>
      </c>
      <c r="I82" s="5" t="inlineStr">
        <is>
          <t>Regional Chain</t>
        </is>
      </c>
      <c r="J82" s="5" t="inlineStr">
        <is>
          <t>1</t>
        </is>
      </c>
      <c r="K82" s="5" t="inlineStr">
        <is>
          <t>https://ecigaretteoutlet.co.uk</t>
        </is>
      </c>
      <c r="L82" s="5" t="inlineStr"/>
      <c r="M82" s="5" t="inlineStr"/>
      <c r="N82" s="5" t="inlineStr"/>
      <c r="O82" s="5" t="inlineStr">
        <is>
          <t>3 St Peter's Avenue</t>
        </is>
      </c>
      <c r="P82" s="5" t="inlineStr"/>
      <c r="Q82" s="5" t="inlineStr">
        <is>
          <t>Cleethorpes</t>
        </is>
      </c>
      <c r="R82" s="5" t="inlineStr">
        <is>
          <t>Lincolnshire</t>
        </is>
      </c>
      <c r="S82" s="5" t="inlineStr">
        <is>
          <t>DN35 8HQ</t>
        </is>
      </c>
      <c r="T82" s="5" t="inlineStr">
        <is>
          <t>Yorkshire &amp; Humber</t>
        </is>
      </c>
      <c r="U82" s="5" t="inlineStr">
        <is>
          <t>England</t>
        </is>
      </c>
      <c r="V82" s="5" t="inlineStr">
        <is>
          <t>01472 694619</t>
        </is>
      </c>
      <c r="W82" s="5" t="inlineStr"/>
      <c r="X82" s="5" t="inlineStr"/>
      <c r="Y82" s="5" t="inlineStr">
        <is>
          <t>customer.service@ecigaretteoutlet.co.uk</t>
        </is>
      </c>
      <c r="Z82" s="5" t="inlineStr"/>
      <c r="AA82" s="5" t="inlineStr"/>
      <c r="AB82" s="5" t="inlineStr"/>
      <c r="AC82" s="5" t="inlineStr"/>
      <c r="AD82" s="5" t="inlineStr"/>
      <c r="AE82" s="5" t="inlineStr"/>
      <c r="AF82" s="5" t="inlineStr"/>
      <c r="AG82" s="5" t="inlineStr"/>
      <c r="AH82" s="5" t="inlineStr"/>
      <c r="AI82" s="5" t="inlineStr"/>
      <c r="AJ82" s="5" t="inlineStr"/>
      <c r="AK82" s="5" t="inlineStr">
        <is>
          <t>e-cigarettes; e-liquids; disposables; hardware</t>
        </is>
      </c>
      <c r="AL82" s="5" t="inlineStr"/>
      <c r="AM82" s="5" t="inlineStr">
        <is>
          <t>Vape Shop</t>
        </is>
      </c>
      <c r="AN82" s="5" t="inlineStr"/>
      <c r="AO82" s="5" t="inlineStr">
        <is>
          <t>Cleethorpes branch of eCigarette Outlet regional chain. Shared brand email and website.</t>
        </is>
      </c>
      <c r="AP82" s="5" t="inlineStr">
        <is>
          <t>High</t>
        </is>
      </c>
      <c r="AQ82" s="5" t="inlineStr">
        <is>
          <t>Multi-site retailer; Core relevant category; Public email available; Active website</t>
        </is>
      </c>
      <c r="AR82" s="5" t="inlineStr">
        <is>
          <t>https://vapeshop-nearme.com/listing/ecigarette-outlet-cleethorpes/</t>
        </is>
      </c>
      <c r="AS82" s="5" t="inlineStr"/>
      <c r="AT82" s="5" t="inlineStr">
        <is>
          <t>1</t>
        </is>
      </c>
      <c r="AU82" s="5" t="inlineStr">
        <is>
          <t>Yes</t>
        </is>
      </c>
      <c r="AV82" s="5" t="inlineStr">
        <is>
          <t>No</t>
        </is>
      </c>
      <c r="AW82" s="5" t="inlineStr">
        <is>
          <t>No</t>
        </is>
      </c>
      <c r="AX82" s="5" t="inlineStr">
        <is>
          <t>No</t>
        </is>
      </c>
      <c r="AY82" s="5" t="inlineStr">
        <is>
          <t>Verified directory</t>
        </is>
      </c>
      <c r="AZ82" s="5" t="inlineStr">
        <is>
          <t>Publicly Listed</t>
        </is>
      </c>
      <c r="BA82" s="5" t="inlineStr">
        <is>
          <t>2026-09-16</t>
        </is>
      </c>
      <c r="BB82" s="5" t="inlineStr">
        <is>
          <t>Partially Verified</t>
        </is>
      </c>
      <c r="BC82" s="5" t="inlineStr">
        <is>
          <t>Medium</t>
        </is>
      </c>
      <c r="BD82" s="5" t="inlineStr"/>
      <c r="BE82" s="5" t="inlineStr">
        <is>
          <t>Business (B2B)</t>
        </is>
      </c>
      <c r="BF82" s="5" t="inlineStr">
        <is>
          <t>Legitimate interest (B2B) - assess per campaign; PECR: corporate subscribers</t>
        </is>
      </c>
      <c r="BG82" s="5" t="inlineStr"/>
      <c r="BH82" s="5" t="inlineStr">
        <is>
          <t>No</t>
        </is>
      </c>
      <c r="BI82" s="5" t="inlineStr">
        <is>
          <t>2026-09-16</t>
        </is>
      </c>
      <c r="BJ82" s="5" t="inlineStr">
        <is>
          <t>New</t>
        </is>
      </c>
      <c r="BK82" s="5" t="inlineStr">
        <is>
          <t>2026-09-16</t>
        </is>
      </c>
      <c r="BL82" s="5" t="inlineStr"/>
      <c r="BM82" s="5" t="inlineStr"/>
      <c r="BN82" s="5" t="inlineStr"/>
      <c r="BO82" s="5" t="inlineStr"/>
      <c r="BP82" s="5" t="inlineStr"/>
      <c r="BQ82" s="5" t="inlineStr"/>
    </row>
    <row r="83">
      <c r="A83" s="10" t="inlineStr">
        <is>
          <t>UK-000229</t>
        </is>
      </c>
      <c r="B83" s="10" t="inlineStr">
        <is>
          <t>ECIGARETTE-03</t>
        </is>
      </c>
      <c r="C83" s="10" t="inlineStr">
        <is>
          <t>eCigarette Outlet</t>
        </is>
      </c>
      <c r="D83" s="10" t="inlineStr">
        <is>
          <t>eCigarette Outlet Scunthorpe</t>
        </is>
      </c>
      <c r="E83" s="10" t="inlineStr">
        <is>
          <t>eCigarette Outlet</t>
        </is>
      </c>
      <c r="F83" s="10" t="inlineStr"/>
      <c r="G83" s="10" t="inlineStr">
        <is>
          <t>Vape Shop</t>
        </is>
      </c>
      <c r="H83" s="10" t="inlineStr">
        <is>
          <t>E-cigarette specialist chain</t>
        </is>
      </c>
      <c r="I83" s="10" t="inlineStr">
        <is>
          <t>Regional Chain</t>
        </is>
      </c>
      <c r="J83" s="10" t="inlineStr">
        <is>
          <t>1</t>
        </is>
      </c>
      <c r="K83" s="10" t="inlineStr">
        <is>
          <t>https://ecigaretteoutlet.co.uk</t>
        </is>
      </c>
      <c r="L83" s="10" t="inlineStr">
        <is>
          <t>https://www.facebook.com/Ecigaretteoutlet/</t>
        </is>
      </c>
      <c r="M83" s="10" t="inlineStr"/>
      <c r="N83" s="10" t="inlineStr"/>
      <c r="O83" s="10" t="inlineStr">
        <is>
          <t>14 Laneham Street</t>
        </is>
      </c>
      <c r="P83" s="10" t="inlineStr"/>
      <c r="Q83" s="10" t="inlineStr">
        <is>
          <t>Scunthorpe</t>
        </is>
      </c>
      <c r="R83" s="10" t="inlineStr">
        <is>
          <t>Lincolnshire</t>
        </is>
      </c>
      <c r="S83" s="10" t="inlineStr">
        <is>
          <t>DN15 6LJ</t>
        </is>
      </c>
      <c r="T83" s="10" t="inlineStr">
        <is>
          <t>Yorkshire &amp; Humber</t>
        </is>
      </c>
      <c r="U83" s="10" t="inlineStr">
        <is>
          <t>England</t>
        </is>
      </c>
      <c r="V83" s="10" t="inlineStr"/>
      <c r="W83" s="10" t="inlineStr"/>
      <c r="X83" s="10" t="inlineStr"/>
      <c r="Y83" s="10" t="inlineStr">
        <is>
          <t>customer.service@ecigaretteoutlet.co.uk</t>
        </is>
      </c>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e-cigarettes; e-liquids; disposables; hardware</t>
        </is>
      </c>
      <c r="AL83" s="10" t="inlineStr"/>
      <c r="AM83" s="10" t="inlineStr">
        <is>
          <t>Vape Shop</t>
        </is>
      </c>
      <c r="AN83" s="10" t="inlineStr"/>
      <c r="AO83" s="10" t="inlineStr">
        <is>
          <t>Scunthorpe branch of the eCigarette Outlet regional chain (High Street / Laneham St). Shared brand email and website.</t>
        </is>
      </c>
      <c r="AP83" s="10" t="inlineStr">
        <is>
          <t>High</t>
        </is>
      </c>
      <c r="AQ83" s="10" t="inlineStr">
        <is>
          <t>Multi-site retailer; Core relevant category; Public email available; Active website; Social presence</t>
        </is>
      </c>
      <c r="AR83" s="10" t="inlineStr">
        <is>
          <t>https://www.facebook.com/Ecigaretteoutlet/</t>
        </is>
      </c>
      <c r="AS83" s="10" t="inlineStr">
        <is>
          <t>https://vapeshop-nearme.com/listing/ecigarette-outlet-scunthorpe/</t>
        </is>
      </c>
      <c r="AT83" s="10" t="inlineStr">
        <is>
          <t>2</t>
        </is>
      </c>
      <c r="AU83" s="10" t="inlineStr">
        <is>
          <t>Yes</t>
        </is>
      </c>
      <c r="AV83" s="10" t="inlineStr">
        <is>
          <t>No</t>
        </is>
      </c>
      <c r="AW83" s="10" t="inlineStr">
        <is>
          <t>No</t>
        </is>
      </c>
      <c r="AX83" s="10" t="inlineStr">
        <is>
          <t>No</t>
        </is>
      </c>
      <c r="AY83" s="10" t="inlineStr">
        <is>
          <t>Not Found</t>
        </is>
      </c>
      <c r="AZ83" s="10" t="inlineStr">
        <is>
          <t>Publicly Listed</t>
        </is>
      </c>
      <c r="BA83" s="10" t="inlineStr">
        <is>
          <t>2026-09-16</t>
        </is>
      </c>
      <c r="BB83" s="10" t="inlineStr">
        <is>
          <t>Partially Verified</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2026-09-16</t>
        </is>
      </c>
      <c r="BJ83" s="10" t="inlineStr">
        <is>
          <t>New</t>
        </is>
      </c>
      <c r="BK83" s="10" t="inlineStr">
        <is>
          <t>2026-09-16</t>
        </is>
      </c>
      <c r="BL83" s="10" t="inlineStr"/>
      <c r="BM83" s="10" t="inlineStr"/>
      <c r="BN83" s="10" t="inlineStr"/>
      <c r="BO83" s="10" t="inlineStr"/>
      <c r="BP83" s="10" t="inlineStr"/>
      <c r="BQ83" s="10" t="inlineStr"/>
    </row>
    <row r="84">
      <c r="A84" s="5" t="inlineStr">
        <is>
          <t>UK-000230</t>
        </is>
      </c>
      <c r="B84" s="5" t="inlineStr">
        <is>
          <t>IVAPESTORE-01</t>
        </is>
      </c>
      <c r="C84" s="5" t="inlineStr">
        <is>
          <t>iVape Store</t>
        </is>
      </c>
      <c r="D84" s="5" t="inlineStr">
        <is>
          <t>iVape Harrogate</t>
        </is>
      </c>
      <c r="E84" s="5" t="inlineStr">
        <is>
          <t>iVape Store</t>
        </is>
      </c>
      <c r="F84" s="5" t="inlineStr"/>
      <c r="G84" s="5" t="inlineStr">
        <is>
          <t>Vape Shop</t>
        </is>
      </c>
      <c r="H84" s="5" t="inlineStr">
        <is>
          <t>Disposables, e-liquids &amp; devices</t>
        </is>
      </c>
      <c r="I84" s="5" t="inlineStr">
        <is>
          <t>Regional Chain</t>
        </is>
      </c>
      <c r="J84" s="5" t="inlineStr"/>
      <c r="K84" s="5" t="inlineStr">
        <is>
          <t>https://ivapestore.co.uk/stores/ivape-harrogate</t>
        </is>
      </c>
      <c r="L84" s="5" t="inlineStr">
        <is>
          <t>https://www.facebook.com/iVapeHarrogateUK/</t>
        </is>
      </c>
      <c r="M84" s="5" t="inlineStr"/>
      <c r="N84" s="5" t="inlineStr"/>
      <c r="O84" s="5" t="inlineStr">
        <is>
          <t>8 Beulah Street</t>
        </is>
      </c>
      <c r="P84" s="5" t="inlineStr"/>
      <c r="Q84" s="5" t="inlineStr">
        <is>
          <t>Harrogate</t>
        </is>
      </c>
      <c r="R84" s="5" t="inlineStr">
        <is>
          <t>North Yorkshire</t>
        </is>
      </c>
      <c r="S84" s="5" t="inlineStr">
        <is>
          <t>HG1 1QQ</t>
        </is>
      </c>
      <c r="T84" s="5" t="inlineStr">
        <is>
          <t>Yorkshire &amp; Humber</t>
        </is>
      </c>
      <c r="U84" s="5" t="inlineStr">
        <is>
          <t>England</t>
        </is>
      </c>
      <c r="V84" s="5" t="inlineStr">
        <is>
          <t>01423 509009</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disposable vapes; e-liquids; devices; accessories</t>
        </is>
      </c>
      <c r="AL84" s="5" t="inlineStr"/>
      <c r="AM84" s="5" t="inlineStr">
        <is>
          <t>Vape Shop</t>
        </is>
      </c>
      <c r="AN84" s="5" t="inlineStr"/>
      <c r="AO84" s="5" t="inlineStr">
        <is>
          <t>Harrogate branch of the iVape Store chain (ivapestore.co.uk). Address 8 Beulah Street, phone from chain store page and iBegin/Yelp listings via search snippets. Note VPZ operates at 10 Beulah Street next door (national multiple, excluded).</t>
        </is>
      </c>
      <c r="AP84" s="5" t="inlineStr">
        <is>
          <t>High</t>
        </is>
      </c>
      <c r="AQ84" s="5" t="inlineStr">
        <is>
          <t>Multi-site retailer; Core relevant category; Active website; Social presence</t>
        </is>
      </c>
      <c r="AR84" s="5" t="inlineStr">
        <is>
          <t>https://ivapestore.co.uk/stores/ivape-harrogate</t>
        </is>
      </c>
      <c r="AS84" s="5" t="inlineStr">
        <is>
          <t>https://harrogate.cylex-uk.co.uk/vape-shops/</t>
        </is>
      </c>
      <c r="AT84" s="5" t="inlineStr">
        <is>
          <t>2</t>
        </is>
      </c>
      <c r="AU84" s="5" t="inlineStr">
        <is>
          <t>No</t>
        </is>
      </c>
      <c r="AV84" s="5" t="inlineStr">
        <is>
          <t>No</t>
        </is>
      </c>
      <c r="AW84" s="5" t="inlineStr">
        <is>
          <t>No</t>
        </is>
      </c>
      <c r="AX84" s="5" t="inlineStr">
        <is>
          <t>No</t>
        </is>
      </c>
      <c r="AY84" s="5" t="inlineStr">
        <is>
          <t>Verified directory</t>
        </is>
      </c>
      <c r="AZ84" s="5" t="inlineStr">
        <is>
          <t>Website Found</t>
        </is>
      </c>
      <c r="BA84" s="5" t="inlineStr">
        <is>
          <t>2026-09-16</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2026-09-16</t>
        </is>
      </c>
      <c r="BJ84" s="5" t="inlineStr">
        <is>
          <t>New</t>
        </is>
      </c>
      <c r="BK84" s="5" t="inlineStr">
        <is>
          <t>2026-09-16</t>
        </is>
      </c>
      <c r="BL84" s="5" t="inlineStr"/>
      <c r="BM84" s="5" t="inlineStr"/>
      <c r="BN84" s="5" t="inlineStr"/>
      <c r="BO84" s="5" t="inlineStr"/>
      <c r="BP84" s="5" t="inlineStr"/>
      <c r="BQ84" s="5" t="inlineStr"/>
    </row>
    <row r="85">
      <c r="A85" s="10" t="inlineStr">
        <is>
          <t>WY-0047</t>
        </is>
      </c>
      <c r="B85" s="10" t="inlineStr">
        <is>
          <t>WY-0047-01</t>
        </is>
      </c>
      <c r="C85" s="10" t="inlineStr"/>
      <c r="D85" s="10" t="inlineStr">
        <is>
          <t>A &amp; B Stores</t>
        </is>
      </c>
      <c r="E85" s="10" t="inlineStr">
        <is>
          <t>A &amp; B Stores</t>
        </is>
      </c>
      <c r="F85" s="10" t="inlineStr"/>
      <c r="G85" s="10" t="inlineStr">
        <is>
          <t>Off-Licence</t>
        </is>
      </c>
      <c r="H85" s="10" t="inlineStr">
        <is>
          <t>Off-licence / convenience</t>
        </is>
      </c>
      <c r="I85" s="10" t="inlineStr">
        <is>
          <t>Independent</t>
        </is>
      </c>
      <c r="J85" s="10" t="inlineStr">
        <is>
          <t>1</t>
        </is>
      </c>
      <c r="K85" s="10" t="inlineStr"/>
      <c r="L85" s="10" t="inlineStr"/>
      <c r="M85" s="10" t="inlineStr"/>
      <c r="N85" s="10" t="inlineStr"/>
      <c r="O85" s="10" t="inlineStr"/>
      <c r="P85" s="10" t="inlineStr"/>
      <c r="Q85" s="10" t="inlineStr">
        <is>
          <t>Bingley</t>
        </is>
      </c>
      <c r="R85" s="10" t="inlineStr">
        <is>
          <t>West Yorkshire</t>
        </is>
      </c>
      <c r="S85" s="10" t="inlineStr"/>
      <c r="T85" s="10" t="inlineStr">
        <is>
          <t>Yorkshire &amp; Humber</t>
        </is>
      </c>
      <c r="U85" s="10" t="inlineStr">
        <is>
          <t>England</t>
        </is>
      </c>
      <c r="V85" s="10" t="inlineStr"/>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beers; wines; spirits; convenience lines</t>
        </is>
      </c>
      <c r="AL85" s="10" t="inlineStr"/>
      <c r="AM85" s="10" t="inlineStr">
        <is>
          <t>Off-Licence</t>
        </is>
      </c>
      <c r="AN85" s="10" t="inlineStr"/>
      <c r="AO85" s="10" t="inlineStr">
        <is>
          <t>Off-licence listed for Bingley; street address not captured - needs enrichment.</t>
        </is>
      </c>
      <c r="AP85" s="10" t="inlineStr">
        <is>
          <t>Low</t>
        </is>
      </c>
      <c r="AQ85" s="10" t="inlineStr">
        <is>
          <t>Independent retailer; Relevant category</t>
        </is>
      </c>
      <c r="AR85" s="10" t="inlineStr">
        <is>
          <t>https://www.yorkshire.com/bingley/shopping/off-license/a-b-stores</t>
        </is>
      </c>
      <c r="AS85" s="10" t="inlineStr"/>
      <c r="AT85" s="10" t="inlineStr">
        <is>
          <t>1</t>
        </is>
      </c>
      <c r="AU85" s="10" t="inlineStr">
        <is>
          <t>No</t>
        </is>
      </c>
      <c r="AV85" s="10" t="inlineStr">
        <is>
          <t>No</t>
        </is>
      </c>
      <c r="AW85" s="10" t="inlineStr">
        <is>
          <t>No</t>
        </is>
      </c>
      <c r="AX85" s="10" t="inlineStr">
        <is>
          <t>No</t>
        </is>
      </c>
      <c r="AY85" s="10" t="inlineStr">
        <is>
          <t>Not Found</t>
        </is>
      </c>
      <c r="AZ85" s="10" t="inlineStr">
        <is>
          <t>Not Found</t>
        </is>
      </c>
      <c r="BA85" s="10" t="inlineStr">
        <is>
          <t>2026-09-16</t>
        </is>
      </c>
      <c r="BB85" s="10" t="inlineStr">
        <is>
          <t>Requires Verification</t>
        </is>
      </c>
      <c r="BC85" s="10" t="inlineStr">
        <is>
          <t>Low</t>
        </is>
      </c>
      <c r="BD85" s="10" t="inlineStr"/>
      <c r="BE85" s="10" t="inlineStr">
        <is>
          <t>Business (B2B)</t>
        </is>
      </c>
      <c r="BF85" s="10" t="inlineStr">
        <is>
          <t>Legitimate interest (B2B) - assess per campaign; PECR: corporate subscribers</t>
        </is>
      </c>
      <c r="BG85" s="10" t="inlineStr"/>
      <c r="BH85" s="10" t="inlineStr">
        <is>
          <t>No</t>
        </is>
      </c>
      <c r="BI85" s="10" t="inlineStr">
        <is>
          <t>2026-09-16</t>
        </is>
      </c>
      <c r="BJ85" s="10" t="inlineStr">
        <is>
          <t>New</t>
        </is>
      </c>
      <c r="BK85" s="10" t="inlineStr">
        <is>
          <t>2026-09-16</t>
        </is>
      </c>
      <c r="BL85" s="10" t="inlineStr"/>
      <c r="BM85" s="10" t="inlineStr"/>
      <c r="BN85" s="10" t="inlineStr"/>
      <c r="BO85" s="10" t="inlineStr"/>
      <c r="BP85" s="10" t="inlineStr"/>
      <c r="BQ85" s="10" t="inlineStr"/>
    </row>
    <row r="86">
      <c r="A86" s="5" t="inlineStr">
        <is>
          <t>UK-000231</t>
        </is>
      </c>
      <c r="B86" s="5" t="inlineStr">
        <is>
          <t>UK-000231-01</t>
        </is>
      </c>
      <c r="C86" s="5" t="inlineStr"/>
      <c r="D86" s="5" t="inlineStr">
        <is>
          <t>A Touch of Glass</t>
        </is>
      </c>
      <c r="E86" s="5" t="inlineStr">
        <is>
          <t>A Touch of Glass</t>
        </is>
      </c>
      <c r="F86" s="5" t="inlineStr"/>
      <c r="G86" s="5" t="inlineStr">
        <is>
          <t>Vape Shop</t>
        </is>
      </c>
      <c r="H86" s="5" t="inlineStr">
        <is>
          <t>E-cig and e-liquid shop</t>
        </is>
      </c>
      <c r="I86" s="5" t="inlineStr">
        <is>
          <t>Independent</t>
        </is>
      </c>
      <c r="J86" s="5" t="inlineStr">
        <is>
          <t>1</t>
        </is>
      </c>
      <c r="K86" s="5" t="inlineStr"/>
      <c r="L86" s="5" t="inlineStr"/>
      <c r="M86" s="5" t="inlineStr"/>
      <c r="N86" s="5" t="inlineStr"/>
      <c r="O86" s="5" t="inlineStr">
        <is>
          <t>2 Chapel Street</t>
        </is>
      </c>
      <c r="P86" s="5" t="inlineStr"/>
      <c r="Q86" s="5" t="inlineStr">
        <is>
          <t>Bridlington</t>
        </is>
      </c>
      <c r="R86" s="5" t="inlineStr">
        <is>
          <t>East Riding of Yorkshire</t>
        </is>
      </c>
      <c r="S86" s="5" t="inlineStr">
        <is>
          <t>YO15 2DW</t>
        </is>
      </c>
      <c r="T86" s="5" t="inlineStr">
        <is>
          <t>Yorkshire &amp; Humber</t>
        </is>
      </c>
      <c r="U86" s="5" t="inlineStr">
        <is>
          <t>England</t>
        </is>
      </c>
      <c r="V86" s="5" t="inlineStr">
        <is>
          <t>01262 677677</t>
        </is>
      </c>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is>
          <t>Totally Wicked</t>
        </is>
      </c>
      <c r="AK86" s="5" t="inlineStr">
        <is>
          <t>e-cigarettes; e-liquids; hardware</t>
        </is>
      </c>
      <c r="AL86" s="5" t="inlineStr"/>
      <c r="AM86" s="5" t="inlineStr">
        <is>
          <t>Vape Shop</t>
        </is>
      </c>
      <c r="AN86" s="5" t="inlineStr"/>
      <c r="AO86" s="5" t="inlineStr">
        <is>
          <t>Independent Bridlington vape shop; listed as a Totally Wicked stockist/affiliated store. Address 2 Chapel Street YO15 2DW.</t>
        </is>
      </c>
      <c r="AP86" s="5" t="inlineStr">
        <is>
          <t>Medium</t>
        </is>
      </c>
      <c r="AQ86" s="5" t="inlineStr">
        <is>
          <t>Independent retailer; Core relevant category</t>
        </is>
      </c>
      <c r="AR86" s="5" t="inlineStr">
        <is>
          <t>https://ecigdirectory.co.uk/vape-shop/listing/a-touch-of-class-bridlington</t>
        </is>
      </c>
      <c r="AS86" s="5" t="inlineStr">
        <is>
          <t>https://www.totallywicked-eliquid.co.uk/stores/bridlington-e-cigs-e-liquid-touch-of-glass</t>
        </is>
      </c>
      <c r="AT86" s="5" t="inlineStr">
        <is>
          <t>2</t>
        </is>
      </c>
      <c r="AU86" s="5" t="inlineStr">
        <is>
          <t>No</t>
        </is>
      </c>
      <c r="AV86" s="5" t="inlineStr">
        <is>
          <t>No</t>
        </is>
      </c>
      <c r="AW86" s="5" t="inlineStr">
        <is>
          <t>No</t>
        </is>
      </c>
      <c r="AX86" s="5" t="inlineStr">
        <is>
          <t>No</t>
        </is>
      </c>
      <c r="AY86" s="5" t="inlineStr">
        <is>
          <t>Verified directory</t>
        </is>
      </c>
      <c r="AZ86" s="5" t="inlineStr">
        <is>
          <t>Not Found</t>
        </is>
      </c>
      <c r="BA86" s="5" t="inlineStr">
        <is>
          <t>2026-09-16</t>
        </is>
      </c>
      <c r="BB86" s="5" t="inlineStr">
        <is>
          <t>Requires Verification</t>
        </is>
      </c>
      <c r="BC86" s="5" t="inlineStr">
        <is>
          <t>Medium</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2026-09-16</t>
        </is>
      </c>
      <c r="BL86" s="5" t="inlineStr"/>
      <c r="BM86" s="5" t="inlineStr"/>
      <c r="BN86" s="5" t="inlineStr"/>
      <c r="BO86" s="5" t="inlineStr"/>
      <c r="BP86" s="5" t="inlineStr"/>
      <c r="BQ86" s="5" t="inlineStr"/>
    </row>
    <row r="87">
      <c r="A87" s="10" t="inlineStr">
        <is>
          <t>UK-000232</t>
        </is>
      </c>
      <c r="B87" s="10" t="inlineStr">
        <is>
          <t>UK-000232-01</t>
        </is>
      </c>
      <c r="C87" s="10" t="inlineStr"/>
      <c r="D87" s="10" t="inlineStr">
        <is>
          <t>AA Off Licence</t>
        </is>
      </c>
      <c r="E87" s="10" t="inlineStr">
        <is>
          <t>AA Off Licence</t>
        </is>
      </c>
      <c r="F87" s="10" t="inlineStr"/>
      <c r="G87" s="10" t="inlineStr">
        <is>
          <t>Off-Licence</t>
        </is>
      </c>
      <c r="H87" s="10" t="inlineStr">
        <is>
          <t>Off-licence / convenience</t>
        </is>
      </c>
      <c r="I87" s="10" t="inlineStr">
        <is>
          <t>Independent</t>
        </is>
      </c>
      <c r="J87" s="10" t="inlineStr">
        <is>
          <t>1</t>
        </is>
      </c>
      <c r="K87" s="10" t="inlineStr"/>
      <c r="L87" s="10" t="inlineStr"/>
      <c r="M87" s="10" t="inlineStr"/>
      <c r="N87" s="10" t="inlineStr"/>
      <c r="O87" s="10" t="inlineStr">
        <is>
          <t>Hessle Road</t>
        </is>
      </c>
      <c r="P87" s="10" t="inlineStr"/>
      <c r="Q87" s="10" t="inlineStr">
        <is>
          <t>Kingston upon Hull</t>
        </is>
      </c>
      <c r="R87" s="10" t="inlineStr">
        <is>
          <t>East Riding of Yorkshire</t>
        </is>
      </c>
      <c r="S87" s="10" t="inlineStr"/>
      <c r="T87" s="10" t="inlineStr">
        <is>
          <t>Yorkshire &amp; Humber</t>
        </is>
      </c>
      <c r="U87" s="10" t="inlineStr">
        <is>
          <t>England</t>
        </is>
      </c>
      <c r="V87" s="10" t="inlineStr"/>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beers, wines &amp; spirits; groceries; snacks</t>
        </is>
      </c>
      <c r="AL87" s="10" t="inlineStr"/>
      <c r="AM87" s="10" t="inlineStr">
        <is>
          <t>Off-Licence</t>
        </is>
      </c>
      <c r="AN87" s="10" t="inlineStr"/>
      <c r="AO87" s="10" t="inlineStr">
        <is>
          <t>Independent off-licence/convenience store on Hessle Road, Hull; open 06:00-01:00 daily per listing. No postcode/phone in search results.</t>
        </is>
      </c>
      <c r="AP87" s="10" t="inlineStr">
        <is>
          <t>Low</t>
        </is>
      </c>
      <c r="AQ87" s="10" t="inlineStr">
        <is>
          <t>Independent retailer; Relevant category</t>
        </is>
      </c>
      <c r="AR87" s="10" t="inlineStr">
        <is>
          <t>https://www.yorkshire.com/hull/shopping/off-license/aa-off-licence</t>
        </is>
      </c>
      <c r="AS87" s="10" t="inlineStr"/>
      <c r="AT87" s="10" t="inlineStr">
        <is>
          <t>1</t>
        </is>
      </c>
      <c r="AU87" s="10" t="inlineStr">
        <is>
          <t>No</t>
        </is>
      </c>
      <c r="AV87" s="10" t="inlineStr">
        <is>
          <t>No</t>
        </is>
      </c>
      <c r="AW87" s="10" t="inlineStr">
        <is>
          <t>No</t>
        </is>
      </c>
      <c r="AX87" s="10" t="inlineStr">
        <is>
          <t>No</t>
        </is>
      </c>
      <c r="AY87" s="10" t="inlineStr">
        <is>
          <t>Not Found</t>
        </is>
      </c>
      <c r="AZ87" s="10" t="inlineStr">
        <is>
          <t>Not Found</t>
        </is>
      </c>
      <c r="BA87" s="10" t="inlineStr">
        <is>
          <t>2026-09-16</t>
        </is>
      </c>
      <c r="BB87" s="10" t="inlineStr">
        <is>
          <t>Requires Verification</t>
        </is>
      </c>
      <c r="BC87" s="10" t="inlineStr">
        <is>
          <t>Low</t>
        </is>
      </c>
      <c r="BD87" s="10" t="inlineStr"/>
      <c r="BE87" s="10" t="inlineStr">
        <is>
          <t>Business (B2B)</t>
        </is>
      </c>
      <c r="BF87" s="10" t="inlineStr">
        <is>
          <t>Legitimate interest (B2B) - assess per campaign; PECR: corporate subscribers</t>
        </is>
      </c>
      <c r="BG87" s="10" t="inlineStr"/>
      <c r="BH87" s="10" t="inlineStr">
        <is>
          <t>No</t>
        </is>
      </c>
      <c r="BI87" s="10" t="inlineStr">
        <is>
          <t>2026-09-16</t>
        </is>
      </c>
      <c r="BJ87" s="10" t="inlineStr">
        <is>
          <t>New</t>
        </is>
      </c>
      <c r="BK87" s="10" t="inlineStr">
        <is>
          <t>2026-09-16</t>
        </is>
      </c>
      <c r="BL87" s="10" t="inlineStr"/>
      <c r="BM87" s="10" t="inlineStr"/>
      <c r="BN87" s="10" t="inlineStr"/>
      <c r="BO87" s="10" t="inlineStr"/>
      <c r="BP87" s="10" t="inlineStr"/>
      <c r="BQ87" s="10" t="inlineStr"/>
    </row>
    <row r="88">
      <c r="A88" s="5" t="inlineStr">
        <is>
          <t>WY-0048</t>
        </is>
      </c>
      <c r="B88" s="5" t="inlineStr">
        <is>
          <t>WY-0048-01</t>
        </is>
      </c>
      <c r="C88" s="5" t="inlineStr"/>
      <c r="D88" s="5" t="inlineStr">
        <is>
          <t>AV &amp; JI Stores</t>
        </is>
      </c>
      <c r="E88" s="5" t="inlineStr">
        <is>
          <t>Premier AV &amp; JI Stores (Sowerby Off Licence)</t>
        </is>
      </c>
      <c r="F88" s="5" t="inlineStr"/>
      <c r="G88" s="5" t="inlineStr">
        <is>
          <t>Convenience Store</t>
        </is>
      </c>
      <c r="H88" s="5" t="inlineStr">
        <is>
          <t>Premier symbol group convenience store and off-licence</t>
        </is>
      </c>
      <c r="I88" s="5" t="inlineStr">
        <is>
          <t>Franchise / Symbol Group</t>
        </is>
      </c>
      <c r="J88" s="5" t="inlineStr">
        <is>
          <t>1</t>
        </is>
      </c>
      <c r="K88" s="5" t="inlineStr"/>
      <c r="L88" s="5" t="inlineStr">
        <is>
          <t>https://www.facebook.com/people/Premier-AV-JI-Stores/61567311514140/</t>
        </is>
      </c>
      <c r="M88" s="5" t="inlineStr"/>
      <c r="N88" s="5" t="inlineStr"/>
      <c r="O88" s="5" t="inlineStr">
        <is>
          <t>12 Albert Road</t>
        </is>
      </c>
      <c r="P88" s="5" t="inlineStr"/>
      <c r="Q88" s="5" t="inlineStr">
        <is>
          <t>Sowerby Bridge</t>
        </is>
      </c>
      <c r="R88" s="5" t="inlineStr">
        <is>
          <t>West Yorkshire</t>
        </is>
      </c>
      <c r="S88" s="5" t="inlineStr">
        <is>
          <t>HX6 2PA</t>
        </is>
      </c>
      <c r="T88" s="5" t="inlineStr">
        <is>
          <t>Yorkshire &amp; Humber</t>
        </is>
      </c>
      <c r="U88" s="5" t="inlineStr">
        <is>
          <t>England</t>
        </is>
      </c>
      <c r="V88" s="5" t="inlineStr"/>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convenience; beers, wines and spirits</t>
        </is>
      </c>
      <c r="AL88" s="5" t="inlineStr"/>
      <c r="AM88" s="5" t="inlineStr">
        <is>
          <t>Convenience Store</t>
        </is>
      </c>
      <c r="AN88" s="5" t="inlineStr">
        <is>
          <t>Premier symbol group (Booker)</t>
        </is>
      </c>
      <c r="AO88" s="5" t="inlineStr">
        <is>
          <t>Independently owned store trading under the Premier fascia.</t>
        </is>
      </c>
      <c r="AP88" s="5" t="inlineStr">
        <is>
          <t>Medium</t>
        </is>
      </c>
      <c r="AQ88" s="5" t="inlineStr">
        <is>
          <t>Independent retailer; Relevant category; Social presence</t>
        </is>
      </c>
      <c r="AR88" s="5" t="inlineStr">
        <is>
          <t>https://www.facebook.com/people/Premier-AV-JI-Stores/61567311514140/</t>
        </is>
      </c>
      <c r="AS88" s="5" t="inlineStr">
        <is>
          <t>https://www.yorkshire.com/sowerby-bridge/shopping/corner-shops/av-ji-stores-premier-sowerby-off-licence-</t>
        </is>
      </c>
      <c r="AT88" s="5" t="inlineStr">
        <is>
          <t>3</t>
        </is>
      </c>
      <c r="AU88" s="5" t="inlineStr">
        <is>
          <t>No</t>
        </is>
      </c>
      <c r="AV88" s="5" t="inlineStr">
        <is>
          <t>No</t>
        </is>
      </c>
      <c r="AW88" s="5" t="inlineStr">
        <is>
          <t>No</t>
        </is>
      </c>
      <c r="AX88" s="5" t="inlineStr">
        <is>
          <t>No</t>
        </is>
      </c>
      <c r="AY88" s="5" t="inlineStr">
        <is>
          <t>Not Found</t>
        </is>
      </c>
      <c r="AZ88" s="5" t="inlineStr">
        <is>
          <t>Not Found</t>
        </is>
      </c>
      <c r="BA88" s="5" t="inlineStr">
        <is>
          <t>2026-09-16</t>
        </is>
      </c>
      <c r="BB88" s="5" t="inlineStr">
        <is>
          <t>Requires Verification</t>
        </is>
      </c>
      <c r="BC88" s="5" t="inlineStr">
        <is>
          <t>Medium</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2026-09-16</t>
        </is>
      </c>
      <c r="BL88" s="5" t="inlineStr"/>
      <c r="BM88" s="5" t="inlineStr"/>
      <c r="BN88" s="5" t="inlineStr"/>
      <c r="BO88" s="5" t="inlineStr"/>
      <c r="BP88" s="5" t="inlineStr"/>
      <c r="BQ88" s="5" t="inlineStr"/>
    </row>
    <row r="89">
      <c r="A89" s="10" t="inlineStr">
        <is>
          <t>UK-000233</t>
        </is>
      </c>
      <c r="B89" s="10" t="inlineStr">
        <is>
          <t>UK-000233-01</t>
        </is>
      </c>
      <c r="C89" s="10" t="inlineStr"/>
      <c r="D89" s="10" t="inlineStr">
        <is>
          <t>Agha Lounge</t>
        </is>
      </c>
      <c r="E89" s="10" t="inlineStr">
        <is>
          <t>Agha Lounge</t>
        </is>
      </c>
      <c r="F89" s="10" t="inlineStr"/>
      <c r="G89" s="10" t="inlineStr">
        <is>
          <t>Smoke / Shisha Shop</t>
        </is>
      </c>
      <c r="H89" s="10" t="inlineStr">
        <is>
          <t>Shisha bar and restaurant</t>
        </is>
      </c>
      <c r="I89" s="10" t="inlineStr">
        <is>
          <t>Independent</t>
        </is>
      </c>
      <c r="J89" s="10" t="inlineStr">
        <is>
          <t>1</t>
        </is>
      </c>
      <c r="K89" s="10" t="inlineStr">
        <is>
          <t>https://aghalounge.com/</t>
        </is>
      </c>
      <c r="L89" s="10" t="inlineStr"/>
      <c r="M89" s="10" t="inlineStr"/>
      <c r="N89" s="10" t="inlineStr"/>
      <c r="O89" s="10" t="inlineStr">
        <is>
          <t>5 North Bank</t>
        </is>
      </c>
      <c r="P89" s="10" t="inlineStr"/>
      <c r="Q89" s="10" t="inlineStr">
        <is>
          <t>Sheffield</t>
        </is>
      </c>
      <c r="R89" s="10" t="inlineStr">
        <is>
          <t>South Yorkshire</t>
        </is>
      </c>
      <c r="S89" s="10" t="inlineStr"/>
      <c r="T89" s="10" t="inlineStr">
        <is>
          <t>Yorkshire &amp; Humber</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shisha; Middle Eastern food; soft drinks</t>
        </is>
      </c>
      <c r="AL89" s="10" t="inlineStr"/>
      <c r="AM89" s="10" t="inlineStr">
        <is>
          <t>Smoke / Shisha Shop</t>
        </is>
      </c>
      <c r="AN89" s="10" t="inlineStr"/>
      <c r="AO89" s="10" t="inlineStr">
        <is>
          <t>Family-run Middle Eastern restaurant and shisha bar near Sheffield city centre (close to Victoria Quays). Postcode not captured from search results.</t>
        </is>
      </c>
      <c r="AP89" s="10" t="inlineStr">
        <is>
          <t>Medium</t>
        </is>
      </c>
      <c r="AQ89" s="10" t="inlineStr">
        <is>
          <t>Independent retailer; Core relevant category; Active website</t>
        </is>
      </c>
      <c r="AR89" s="10" t="inlineStr">
        <is>
          <t>https://aghalounge.com/about-us/</t>
        </is>
      </c>
      <c r="AS89" s="10" t="inlineStr"/>
      <c r="AT89" s="10" t="inlineStr">
        <is>
          <t>1</t>
        </is>
      </c>
      <c r="AU89" s="10" t="inlineStr">
        <is>
          <t>No</t>
        </is>
      </c>
      <c r="AV89" s="10" t="inlineStr">
        <is>
          <t>No</t>
        </is>
      </c>
      <c r="AW89" s="10" t="inlineStr">
        <is>
          <t>No</t>
        </is>
      </c>
      <c r="AX89" s="10" t="inlineStr">
        <is>
          <t>No</t>
        </is>
      </c>
      <c r="AY89" s="10" t="inlineStr">
        <is>
          <t>Not Found</t>
        </is>
      </c>
      <c r="AZ89" s="10" t="inlineStr">
        <is>
          <t>Website Found</t>
        </is>
      </c>
      <c r="BA89" s="10" t="inlineStr">
        <is>
          <t>2026-09-16</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2026-09-16</t>
        </is>
      </c>
      <c r="BJ89" s="10" t="inlineStr">
        <is>
          <t>New</t>
        </is>
      </c>
      <c r="BK89" s="10" t="inlineStr">
        <is>
          <t>2026-09-16</t>
        </is>
      </c>
      <c r="BL89" s="10" t="inlineStr"/>
      <c r="BM89" s="10" t="inlineStr"/>
      <c r="BN89" s="10" t="inlineStr"/>
      <c r="BO89" s="10" t="inlineStr"/>
      <c r="BP89" s="10" t="inlineStr"/>
      <c r="BQ89" s="10" t="inlineStr"/>
    </row>
    <row r="90">
      <c r="A90" s="5" t="inlineStr">
        <is>
          <t>UK-000234</t>
        </is>
      </c>
      <c r="B90" s="5" t="inlineStr">
        <is>
          <t>UK-000234-01</t>
        </is>
      </c>
      <c r="C90" s="5" t="inlineStr"/>
      <c r="D90" s="5" t="inlineStr">
        <is>
          <t>Ainsty Farm Shop</t>
        </is>
      </c>
      <c r="E90" s="5" t="inlineStr">
        <is>
          <t>Ainsty Farm Shop</t>
        </is>
      </c>
      <c r="F90" s="5" t="inlineStr"/>
      <c r="G90" s="5" t="inlineStr">
        <is>
          <t>Independent Supermarket</t>
        </is>
      </c>
      <c r="H90" s="5" t="inlineStr">
        <is>
          <t>Farm shop, butchery, bakery &amp; deli</t>
        </is>
      </c>
      <c r="I90" s="5" t="inlineStr">
        <is>
          <t>Independent</t>
        </is>
      </c>
      <c r="J90" s="5" t="inlineStr">
        <is>
          <t>1</t>
        </is>
      </c>
      <c r="K90" s="5" t="inlineStr">
        <is>
          <t>https://www.ainstyfarmshop.co.uk/home.html</t>
        </is>
      </c>
      <c r="L90" s="5" t="inlineStr"/>
      <c r="M90" s="5" t="inlineStr"/>
      <c r="N90" s="5" t="inlineStr"/>
      <c r="O90" s="5" t="inlineStr">
        <is>
          <t>York Road</t>
        </is>
      </c>
      <c r="P90" s="5" t="inlineStr">
        <is>
          <t>Green Hammerton</t>
        </is>
      </c>
      <c r="Q90" s="5" t="inlineStr">
        <is>
          <t>York</t>
        </is>
      </c>
      <c r="R90" s="5" t="inlineStr">
        <is>
          <t>North Yorkshire</t>
        </is>
      </c>
      <c r="S90" s="5" t="inlineStr">
        <is>
          <t>YO26 8EQ</t>
        </is>
      </c>
      <c r="T90" s="5" t="inlineStr">
        <is>
          <t>Yorkshire &amp; Humber</t>
        </is>
      </c>
      <c r="U90" s="5" t="inlineStr">
        <is>
          <t>England</t>
        </is>
      </c>
      <c r="V90" s="5" t="inlineStr">
        <is>
          <t>01423 331897</t>
        </is>
      </c>
      <c r="W90" s="5" t="inlineStr"/>
      <c r="X90" s="5" t="inlineStr"/>
      <c r="Y90" s="5" t="inlineStr"/>
      <c r="Z90" s="5" t="inlineStr"/>
      <c r="AA90" s="5" t="inlineStr"/>
      <c r="AB90" s="5" t="inlineStr">
        <is>
          <t>Stuart and Lily Beaton</t>
        </is>
      </c>
      <c r="AC90" s="5" t="inlineStr">
        <is>
          <t>Owners</t>
        </is>
      </c>
      <c r="AD90" s="5" t="inlineStr">
        <is>
          <t>https://www.tripadvisor.co.uk/Restaurant_Review-g1807555-d5494230-Reviews-Ainsty_Farm_Shop-Green_Hammerton_North_Yorkshire_England.html</t>
        </is>
      </c>
      <c r="AE90" s="5" t="inlineStr"/>
      <c r="AF90" s="5" t="inlineStr"/>
      <c r="AG90" s="5" t="inlineStr"/>
      <c r="AH90" s="5" t="inlineStr"/>
      <c r="AI90" s="5" t="inlineStr"/>
      <c r="AJ90" s="5" t="inlineStr"/>
      <c r="AK90" s="5" t="inlineStr">
        <is>
          <t>butchery; bakery; deli; groceries; local produce</t>
        </is>
      </c>
      <c r="AL90" s="5" t="inlineStr"/>
      <c r="AM90" s="5" t="inlineStr">
        <is>
          <t>Independent Supermarket</t>
        </is>
      </c>
      <c r="AN90" s="5" t="inlineStr">
        <is>
          <t>Sells quality local produce; began late 1990s as farmer-direct meat sales</t>
        </is>
      </c>
      <c r="AO90"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90" s="5" t="inlineStr">
        <is>
          <t>Medium</t>
        </is>
      </c>
      <c r="AQ90" s="5" t="inlineStr">
        <is>
          <t>Independent retailer; Relevant category; Active website; Phone verified on official website</t>
        </is>
      </c>
      <c r="AR90" s="5" t="inlineStr">
        <is>
          <t>https://www.ainstyfarmshop.co.uk/home.html</t>
        </is>
      </c>
      <c r="AS90" s="5" t="inlineStr">
        <is>
          <t>https://www.farminguk.com/agricultural-directory/ainsty-farm-shop_56319.html</t>
        </is>
      </c>
      <c r="AT90" s="5" t="inlineStr">
        <is>
          <t>3</t>
        </is>
      </c>
      <c r="AU90" s="5" t="inlineStr">
        <is>
          <t>No</t>
        </is>
      </c>
      <c r="AV90" s="5" t="inlineStr">
        <is>
          <t>No</t>
        </is>
      </c>
      <c r="AW90" s="5" t="inlineStr">
        <is>
          <t>No</t>
        </is>
      </c>
      <c r="AX90" s="5" t="inlineStr">
        <is>
          <t>No</t>
        </is>
      </c>
      <c r="AY90" s="5" t="inlineStr">
        <is>
          <t>Verified on official website</t>
        </is>
      </c>
      <c r="AZ90" s="5" t="inlineStr">
        <is>
          <t>Website Found</t>
        </is>
      </c>
      <c r="BA90" s="5" t="inlineStr">
        <is>
          <t>2026-09-16</t>
        </is>
      </c>
      <c r="BB90" s="5" t="inlineStr">
        <is>
          <t>Requires Verification</t>
        </is>
      </c>
      <c r="BC90" s="5" t="inlineStr">
        <is>
          <t>Medium</t>
        </is>
      </c>
      <c r="BD90" s="5" t="inlineStr"/>
      <c r="BE90" s="5" t="inlineStr">
        <is>
          <t>Business (B2B)</t>
        </is>
      </c>
      <c r="BF90" s="5" t="inlineStr">
        <is>
          <t>Legitimate interest (B2B) - assess per campaign; PECR: corporate subscribers</t>
        </is>
      </c>
      <c r="BG90" s="5" t="inlineStr"/>
      <c r="BH90" s="5" t="inlineStr">
        <is>
          <t>No</t>
        </is>
      </c>
      <c r="BI90" s="5" t="inlineStr">
        <is>
          <t>2026-09-16</t>
        </is>
      </c>
      <c r="BJ90" s="5" t="inlineStr">
        <is>
          <t>New</t>
        </is>
      </c>
      <c r="BK90" s="5" t="inlineStr">
        <is>
          <t>2026-09-16</t>
        </is>
      </c>
      <c r="BL90" s="5" t="inlineStr"/>
      <c r="BM90" s="5" t="inlineStr"/>
      <c r="BN90" s="5" t="inlineStr"/>
      <c r="BO90" s="5" t="inlineStr"/>
      <c r="BP90" s="5" t="inlineStr"/>
      <c r="BQ90" s="5" t="inlineStr"/>
    </row>
    <row r="91">
      <c r="A91" s="10" t="inlineStr">
        <is>
          <t>WY-0049</t>
        </is>
      </c>
      <c r="B91" s="10" t="inlineStr">
        <is>
          <t>WY-0049-01</t>
        </is>
      </c>
      <c r="C91" s="10" t="inlineStr"/>
      <c r="D91" s="10" t="inlineStr">
        <is>
          <t>Al-Falah Supermarket</t>
        </is>
      </c>
      <c r="E91" s="10" t="inlineStr">
        <is>
          <t>Al-Falah Supermarket</t>
        </is>
      </c>
      <c r="F91" s="10" t="inlineStr"/>
      <c r="G91" s="10" t="inlineStr">
        <is>
          <t>Independent Supermarket</t>
        </is>
      </c>
      <c r="H91" s="10" t="inlineStr">
        <is>
          <t>Halal / international supermarket</t>
        </is>
      </c>
      <c r="I91" s="10" t="inlineStr">
        <is>
          <t>Independent</t>
        </is>
      </c>
      <c r="J91" s="10" t="inlineStr">
        <is>
          <t>1</t>
        </is>
      </c>
      <c r="K91" s="10" t="inlineStr"/>
      <c r="L91" s="10" t="inlineStr">
        <is>
          <t>https://www.facebook.com/alfalahbradford/</t>
        </is>
      </c>
      <c r="M91" s="10" t="inlineStr"/>
      <c r="N91" s="10" t="inlineStr"/>
      <c r="O91" s="10" t="inlineStr">
        <is>
          <t>150 Manningham Lane</t>
        </is>
      </c>
      <c r="P91" s="10" t="inlineStr">
        <is>
          <t>Manningham</t>
        </is>
      </c>
      <c r="Q91" s="10" t="inlineStr">
        <is>
          <t>Bradford</t>
        </is>
      </c>
      <c r="R91" s="10" t="inlineStr">
        <is>
          <t>West Yorkshire</t>
        </is>
      </c>
      <c r="S91" s="10" t="inlineStr"/>
      <c r="T91" s="10" t="inlineStr">
        <is>
          <t>Yorkshire &amp; Humber</t>
        </is>
      </c>
      <c r="U91" s="10" t="inlineStr">
        <is>
          <t>England</t>
        </is>
      </c>
      <c r="V91" s="10" t="inlineStr"/>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Bangladeshi/Indian/Pakistani groceries; fresh produce; frozen; catering supplies; household</t>
        </is>
      </c>
      <c r="AL91" s="10" t="inlineStr"/>
      <c r="AM91" s="10" t="inlineStr">
        <is>
          <t>Independent Supermarket</t>
        </is>
      </c>
      <c r="AN91" s="10" t="inlineStr"/>
      <c r="AO91" s="10" t="inlineStr">
        <is>
          <t>Serving Bradford's Manningham community for over 20 years per its own Facebook description (via search snippet).</t>
        </is>
      </c>
      <c r="AP91" s="10" t="inlineStr">
        <is>
          <t>Medium</t>
        </is>
      </c>
      <c r="AQ91" s="10" t="inlineStr">
        <is>
          <t>Independent retailer; Relevant category; Social presence</t>
        </is>
      </c>
      <c r="AR91" s="10" t="inlineStr">
        <is>
          <t>https://www.facebook.com/alfalahbradford/</t>
        </is>
      </c>
      <c r="AS91" s="10" t="inlineStr">
        <is>
          <t>https://en.halalguide.me/bradford/produktoviy-magazin/al-falah-supermarket</t>
        </is>
      </c>
      <c r="AT91" s="10" t="inlineStr">
        <is>
          <t>2</t>
        </is>
      </c>
      <c r="AU91" s="10" t="inlineStr">
        <is>
          <t>No</t>
        </is>
      </c>
      <c r="AV91" s="10" t="inlineStr">
        <is>
          <t>No</t>
        </is>
      </c>
      <c r="AW91" s="10" t="inlineStr">
        <is>
          <t>No</t>
        </is>
      </c>
      <c r="AX91" s="10" t="inlineStr">
        <is>
          <t>No</t>
        </is>
      </c>
      <c r="AY91" s="10" t="inlineStr">
        <is>
          <t>Not Found</t>
        </is>
      </c>
      <c r="AZ91" s="10" t="inlineStr">
        <is>
          <t>Not Found</t>
        </is>
      </c>
      <c r="BA91" s="10" t="inlineStr">
        <is>
          <t>2026-09-16</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2026-09-16</t>
        </is>
      </c>
      <c r="BJ91" s="10" t="inlineStr">
        <is>
          <t>New</t>
        </is>
      </c>
      <c r="BK91" s="10" t="inlineStr">
        <is>
          <t>2026-09-16</t>
        </is>
      </c>
      <c r="BL91" s="10" t="inlineStr"/>
      <c r="BM91" s="10" t="inlineStr"/>
      <c r="BN91" s="10" t="inlineStr"/>
      <c r="BO91" s="10" t="inlineStr"/>
      <c r="BP91" s="10" t="inlineStr"/>
      <c r="BQ91" s="10" t="inlineStr"/>
    </row>
    <row r="92">
      <c r="A92" s="5" t="inlineStr">
        <is>
          <t>UK-000235</t>
        </is>
      </c>
      <c r="B92" s="5" t="inlineStr">
        <is>
          <t>UK-000235-01</t>
        </is>
      </c>
      <c r="C92" s="5" t="inlineStr"/>
      <c r="D92" s="5" t="inlineStr">
        <is>
          <t>Alchemist Vape Shop Parkgate</t>
        </is>
      </c>
      <c r="E92" s="5" t="inlineStr">
        <is>
          <t>Alchemist Vape</t>
        </is>
      </c>
      <c r="F92" s="5" t="inlineStr"/>
      <c r="G92" s="5" t="inlineStr">
        <is>
          <t>Vape Shop</t>
        </is>
      </c>
      <c r="H92" s="5" t="inlineStr">
        <is>
          <t>Vape, e-liquid and CBD shop</t>
        </is>
      </c>
      <c r="I92" s="5" t="inlineStr">
        <is>
          <t>Independent</t>
        </is>
      </c>
      <c r="J92" s="5" t="inlineStr">
        <is>
          <t>1</t>
        </is>
      </c>
      <c r="K92" s="5" t="inlineStr"/>
      <c r="L92" s="5" t="inlineStr">
        <is>
          <t>https://www.facebook.com/AlchemistParkgate/</t>
        </is>
      </c>
      <c r="M92" s="5" t="inlineStr"/>
      <c r="N92" s="5" t="inlineStr"/>
      <c r="O92" s="5" t="inlineStr"/>
      <c r="P92" s="5" t="inlineStr">
        <is>
          <t>Parkgate</t>
        </is>
      </c>
      <c r="Q92" s="5" t="inlineStr">
        <is>
          <t>Rotherham</t>
        </is>
      </c>
      <c r="R92" s="5" t="inlineStr">
        <is>
          <t>South Yorkshire</t>
        </is>
      </c>
      <c r="S92" s="5" t="inlineStr"/>
      <c r="T92" s="5" t="inlineStr">
        <is>
          <t>Yorkshire &amp; Humber</t>
        </is>
      </c>
      <c r="U92" s="5" t="inlineStr">
        <is>
          <t>England</t>
        </is>
      </c>
      <c r="V92" s="5" t="inlineStr"/>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vape liquids; coils; CBD products</t>
        </is>
      </c>
      <c r="AL92" s="5" t="inlineStr"/>
      <c r="AM92" s="5" t="inlineStr">
        <is>
          <t>Vape Shop</t>
        </is>
      </c>
      <c r="AN92" s="5" t="inlineStr"/>
      <c r="AO92" s="5" t="inlineStr">
        <is>
          <t>Independent vape shop in Parkgate, Rotherham; supplies vape liquids, coils and CBD. Only a Facebook page found; street address/postcode not captured.</t>
        </is>
      </c>
      <c r="AP92" s="5" t="inlineStr">
        <is>
          <t>Medium</t>
        </is>
      </c>
      <c r="AQ92" s="5" t="inlineStr">
        <is>
          <t>Independent retailer; Core relevant category; Social presence</t>
        </is>
      </c>
      <c r="AR92" s="5" t="inlineStr">
        <is>
          <t>https://www.facebook.com/AlchemistParkgate/</t>
        </is>
      </c>
      <c r="AS92" s="5" t="inlineStr"/>
      <c r="AT92" s="5" t="inlineStr">
        <is>
          <t>1</t>
        </is>
      </c>
      <c r="AU92" s="5" t="inlineStr">
        <is>
          <t>No</t>
        </is>
      </c>
      <c r="AV92" s="5" t="inlineStr">
        <is>
          <t>No</t>
        </is>
      </c>
      <c r="AW92" s="5" t="inlineStr">
        <is>
          <t>No</t>
        </is>
      </c>
      <c r="AX92" s="5" t="inlineStr">
        <is>
          <t>No</t>
        </is>
      </c>
      <c r="AY92" s="5" t="inlineStr">
        <is>
          <t>Not Found</t>
        </is>
      </c>
      <c r="AZ92" s="5" t="inlineStr">
        <is>
          <t>Not Found</t>
        </is>
      </c>
      <c r="BA92" s="5" t="inlineStr">
        <is>
          <t>2026-09-16</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2026-09-16</t>
        </is>
      </c>
      <c r="BJ92" s="5" t="inlineStr">
        <is>
          <t>New</t>
        </is>
      </c>
      <c r="BK92" s="5" t="inlineStr">
        <is>
          <t>2026-09-16</t>
        </is>
      </c>
      <c r="BL92" s="5" t="inlineStr"/>
      <c r="BM92" s="5" t="inlineStr"/>
      <c r="BN92" s="5" t="inlineStr"/>
      <c r="BO92" s="5" t="inlineStr"/>
      <c r="BP92" s="5" t="inlineStr"/>
      <c r="BQ92" s="5" t="inlineStr"/>
    </row>
    <row r="93">
      <c r="A93" s="10" t="inlineStr">
        <is>
          <t>UK-000236</t>
        </is>
      </c>
      <c r="B93" s="10" t="inlineStr">
        <is>
          <t>UK-000236-01</t>
        </is>
      </c>
      <c r="C93" s="10" t="inlineStr"/>
      <c r="D93" s="10" t="inlineStr">
        <is>
          <t>Angel Smoke e-Cigarettes</t>
        </is>
      </c>
      <c r="E93" s="10" t="inlineStr">
        <is>
          <t>Angel Smoke</t>
        </is>
      </c>
      <c r="F93" s="10" t="inlineStr"/>
      <c r="G93" s="10" t="inlineStr">
        <is>
          <t>Vape Shop</t>
        </is>
      </c>
      <c r="H93" s="10" t="inlineStr">
        <is>
          <t>E-cigarette shop (also fireworks)</t>
        </is>
      </c>
      <c r="I93" s="10" t="inlineStr">
        <is>
          <t>Independent</t>
        </is>
      </c>
      <c r="J93" s="10" t="inlineStr">
        <is>
          <t>1</t>
        </is>
      </c>
      <c r="K93" s="10" t="inlineStr">
        <is>
          <t>https://angelsmoke.co.uk</t>
        </is>
      </c>
      <c r="L93" s="10" t="inlineStr">
        <is>
          <t>https://www.facebook.com/angelsmokeshop/</t>
        </is>
      </c>
      <c r="M93" s="10" t="inlineStr"/>
      <c r="N93" s="10" t="inlineStr"/>
      <c r="O93" s="10" t="inlineStr">
        <is>
          <t>62-64 Rawmarsh Hill</t>
        </is>
      </c>
      <c r="P93" s="10" t="inlineStr">
        <is>
          <t>Rawmarsh</t>
        </is>
      </c>
      <c r="Q93" s="10" t="inlineStr">
        <is>
          <t>Rotherham</t>
        </is>
      </c>
      <c r="R93" s="10" t="inlineStr">
        <is>
          <t>South Yorkshire</t>
        </is>
      </c>
      <c r="S93" s="10" t="inlineStr">
        <is>
          <t>S62 6EU</t>
        </is>
      </c>
      <c r="T93" s="10" t="inlineStr">
        <is>
          <t>Yorkshire &amp; Humber</t>
        </is>
      </c>
      <c r="U93" s="10" t="inlineStr">
        <is>
          <t>England</t>
        </is>
      </c>
      <c r="V93" s="10" t="inlineStr">
        <is>
          <t>01709 322634</t>
        </is>
      </c>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e-cigarettes; e-liquids; vape kits; fireworks</t>
        </is>
      </c>
      <c r="AL93" s="10" t="inlineStr"/>
      <c r="AM93" s="10" t="inlineStr">
        <is>
          <t>Vape Shop</t>
        </is>
      </c>
      <c r="AN93" s="10" t="inlineStr"/>
      <c r="AO93" s="10" t="inlineStr">
        <is>
          <t>Independent vape shop (trades as Angel Smoke Vape Shop &amp; Rotherham Fireworks) in Rawmarsh, Rotherham. Address/postcode/phone from Chamber of Commerce and Wheree directory listings.</t>
        </is>
      </c>
      <c r="AP93" s="10" t="inlineStr">
        <is>
          <t>Medium</t>
        </is>
      </c>
      <c r="AQ93" s="10" t="inlineStr">
        <is>
          <t>Independent retailer; Core relevant category; Active website; Social presence</t>
        </is>
      </c>
      <c r="AR93" s="10" t="inlineStr">
        <is>
          <t>https://www.chamberofcommerce.uk/business-directory/england/sheffield/miscellaneous/307306-angel-smoke-vape-shop-rotherham-fireworks</t>
        </is>
      </c>
      <c r="AS93" s="10" t="inlineStr">
        <is>
          <t>https://angel-smoke-vape-shop-rotherham-fireworks.wheree.com/</t>
        </is>
      </c>
      <c r="AT93" s="10" t="inlineStr">
        <is>
          <t>2</t>
        </is>
      </c>
      <c r="AU93" s="10" t="inlineStr">
        <is>
          <t>No</t>
        </is>
      </c>
      <c r="AV93" s="10" t="inlineStr">
        <is>
          <t>No</t>
        </is>
      </c>
      <c r="AW93" s="10" t="inlineStr">
        <is>
          <t>No</t>
        </is>
      </c>
      <c r="AX93" s="10" t="inlineStr">
        <is>
          <t>No</t>
        </is>
      </c>
      <c r="AY93" s="10" t="inlineStr">
        <is>
          <t>Verified directory</t>
        </is>
      </c>
      <c r="AZ93" s="10" t="inlineStr">
        <is>
          <t>Website Found</t>
        </is>
      </c>
      <c r="BA93" s="10" t="inlineStr">
        <is>
          <t>2026-09-16</t>
        </is>
      </c>
      <c r="BB93" s="10" t="inlineStr">
        <is>
          <t>Requires Verification</t>
        </is>
      </c>
      <c r="BC93" s="10" t="inlineStr">
        <is>
          <t>Medium</t>
        </is>
      </c>
      <c r="BD93" s="10" t="inlineStr"/>
      <c r="BE93" s="10" t="inlineStr">
        <is>
          <t>Business (B2B)</t>
        </is>
      </c>
      <c r="BF93" s="10" t="inlineStr">
        <is>
          <t>Legitimate interest (B2B) - assess per campaign; PECR: corporate subscribers</t>
        </is>
      </c>
      <c r="BG93" s="10" t="inlineStr"/>
      <c r="BH93" s="10" t="inlineStr">
        <is>
          <t>No</t>
        </is>
      </c>
      <c r="BI93" s="10" t="inlineStr">
        <is>
          <t>2026-09-16</t>
        </is>
      </c>
      <c r="BJ93" s="10" t="inlineStr">
        <is>
          <t>New</t>
        </is>
      </c>
      <c r="BK93" s="10" t="inlineStr">
        <is>
          <t>2026-09-16</t>
        </is>
      </c>
      <c r="BL93" s="10" t="inlineStr"/>
      <c r="BM93" s="10" t="inlineStr"/>
      <c r="BN93" s="10" t="inlineStr"/>
      <c r="BO93" s="10" t="inlineStr"/>
      <c r="BP93" s="10" t="inlineStr"/>
      <c r="BQ93" s="10" t="inlineStr"/>
    </row>
    <row r="94">
      <c r="A94" s="5" t="inlineStr">
        <is>
          <t>WY-0050</t>
        </is>
      </c>
      <c r="B94" s="5" t="inlineStr">
        <is>
          <t>WY-0050-01</t>
        </is>
      </c>
      <c r="C94" s="5" t="inlineStr"/>
      <c r="D94" s="5" t="inlineStr">
        <is>
          <t>Anwarsons Newsagency</t>
        </is>
      </c>
      <c r="E94" s="5" t="inlineStr">
        <is>
          <t>Anwarsons Quality Tobacconists</t>
        </is>
      </c>
      <c r="F94" s="5" t="inlineStr"/>
      <c r="G94" s="5" t="inlineStr">
        <is>
          <t>Newsagent</t>
        </is>
      </c>
      <c r="H94" s="5" t="inlineStr">
        <is>
          <t>Newsagent and tobacconist</t>
        </is>
      </c>
      <c r="I94" s="5" t="inlineStr">
        <is>
          <t>Independent</t>
        </is>
      </c>
      <c r="J94" s="5" t="inlineStr">
        <is>
          <t>1</t>
        </is>
      </c>
      <c r="K94" s="5" t="inlineStr"/>
      <c r="L94" s="5" t="inlineStr"/>
      <c r="M94" s="5" t="inlineStr"/>
      <c r="N94" s="5" t="inlineStr"/>
      <c r="O94" s="5" t="inlineStr">
        <is>
          <t>41 Bethel Street</t>
        </is>
      </c>
      <c r="P94" s="5" t="inlineStr"/>
      <c r="Q94" s="5" t="inlineStr">
        <is>
          <t>Brighouse</t>
        </is>
      </c>
      <c r="R94" s="5" t="inlineStr">
        <is>
          <t>West Yorkshire</t>
        </is>
      </c>
      <c r="S94" s="5" t="inlineStr">
        <is>
          <t>HD6 1JR</t>
        </is>
      </c>
      <c r="T94" s="5" t="inlineStr">
        <is>
          <t>Yorkshire &amp; Humber</t>
        </is>
      </c>
      <c r="U94" s="5" t="inlineStr">
        <is>
          <t>England</t>
        </is>
      </c>
      <c r="V94" s="5" t="inlineStr">
        <is>
          <t>01484 717622</t>
        </is>
      </c>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news; tobacco; cigars; confectionery</t>
        </is>
      </c>
      <c r="AL94" s="5" t="inlineStr"/>
      <c r="AM94" s="5" t="inlineStr">
        <is>
          <t>Newsagent</t>
        </is>
      </c>
      <c r="AN94" s="5" t="inlineStr"/>
      <c r="AO94" s="5" t="inlineStr">
        <is>
          <t>Also listed as 'Anwarsons Quality Tobacconists' (MisterWhat) - dual newsagent/tobacconist offer.</t>
        </is>
      </c>
      <c r="AP94" s="5" t="inlineStr">
        <is>
          <t>Low</t>
        </is>
      </c>
      <c r="AQ94" s="5" t="inlineStr">
        <is>
          <t>Independent retailer; Relevant category</t>
        </is>
      </c>
      <c r="AR94" s="5" t="inlineStr">
        <is>
          <t>https://thomsonlocal.com/search/Newsagents/Wyke-West-Yorkshire/Anwarsons-Newsagency/2652959/01484717622</t>
        </is>
      </c>
      <c r="AS94" s="5" t="inlineStr">
        <is>
          <t>https://www.misterwhat.co.uk/company/540928-anwarsons-quality-tobacconists-brighouse</t>
        </is>
      </c>
      <c r="AT94" s="5" t="inlineStr">
        <is>
          <t>3</t>
        </is>
      </c>
      <c r="AU94" s="5" t="inlineStr">
        <is>
          <t>No</t>
        </is>
      </c>
      <c r="AV94" s="5" t="inlineStr">
        <is>
          <t>No</t>
        </is>
      </c>
      <c r="AW94" s="5" t="inlineStr">
        <is>
          <t>No</t>
        </is>
      </c>
      <c r="AX94" s="5" t="inlineStr">
        <is>
          <t>No</t>
        </is>
      </c>
      <c r="AY94" s="5" t="inlineStr">
        <is>
          <t>Verified directory</t>
        </is>
      </c>
      <c r="AZ94" s="5" t="inlineStr">
        <is>
          <t>Not Found</t>
        </is>
      </c>
      <c r="BA94" s="5" t="inlineStr">
        <is>
          <t>2026-09-16</t>
        </is>
      </c>
      <c r="BB94" s="5" t="inlineStr">
        <is>
          <t>Requires Verification</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2026-09-16</t>
        </is>
      </c>
      <c r="BJ94" s="5" t="inlineStr">
        <is>
          <t>New</t>
        </is>
      </c>
      <c r="BK94" s="5" t="inlineStr">
        <is>
          <t>2026-09-16</t>
        </is>
      </c>
      <c r="BL94" s="5" t="inlineStr"/>
      <c r="BM94" s="5" t="inlineStr"/>
      <c r="BN94" s="5" t="inlineStr"/>
      <c r="BO94" s="5" t="inlineStr"/>
      <c r="BP94" s="5" t="inlineStr"/>
      <c r="BQ94" s="5" t="inlineStr"/>
    </row>
    <row r="95">
      <c r="A95" s="10" t="inlineStr">
        <is>
          <t>WY-0051</t>
        </is>
      </c>
      <c r="B95" s="10" t="inlineStr">
        <is>
          <t>WY-0051-01</t>
        </is>
      </c>
      <c r="C95" s="10" t="inlineStr"/>
      <c r="D95" s="10" t="inlineStr">
        <is>
          <t>Armley Ridge Road Convenience Store &amp; Off-Licence</t>
        </is>
      </c>
      <c r="E95" s="10" t="inlineStr">
        <is>
          <t>Armley Ridge Road Convenience Store &amp; Off-Licence</t>
        </is>
      </c>
      <c r="F95" s="10" t="inlineStr"/>
      <c r="G95" s="10" t="inlineStr">
        <is>
          <t>Convenience Store</t>
        </is>
      </c>
      <c r="H95" s="10" t="inlineStr">
        <is>
          <t>Convenience store with off-licence</t>
        </is>
      </c>
      <c r="I95" s="10" t="inlineStr">
        <is>
          <t>Independent</t>
        </is>
      </c>
      <c r="J95" s="10" t="inlineStr">
        <is>
          <t>1</t>
        </is>
      </c>
      <c r="K95" s="10" t="inlineStr"/>
      <c r="L95" s="10" t="inlineStr">
        <is>
          <t>https://www.facebook.com/NoProblemArmley/</t>
        </is>
      </c>
      <c r="M95" s="10" t="inlineStr"/>
      <c r="N95" s="10" t="inlineStr"/>
      <c r="O95" s="10" t="inlineStr">
        <is>
          <t>Armley Ridge Road</t>
        </is>
      </c>
      <c r="P95" s="10" t="inlineStr">
        <is>
          <t>Armley</t>
        </is>
      </c>
      <c r="Q95" s="10" t="inlineStr">
        <is>
          <t>Leeds</t>
        </is>
      </c>
      <c r="R95" s="10" t="inlineStr">
        <is>
          <t>West Yorkshire</t>
        </is>
      </c>
      <c r="S95" s="10" t="inlineStr"/>
      <c r="T95" s="10" t="inlineStr">
        <is>
          <t>Yorkshire &amp; Humber</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groceries; alcohol</t>
        </is>
      </c>
      <c r="AL95" s="10" t="inlineStr"/>
      <c r="AM95" s="10" t="inlineStr">
        <is>
          <t>Convenience Store</t>
        </is>
      </c>
      <c r="AN95" s="10" t="inlineStr"/>
      <c r="AO95" s="10" t="inlineStr">
        <is>
          <t>Active Facebook business page for an Armley convenience store and off-licence; street number not published in sources found.</t>
        </is>
      </c>
      <c r="AP95" s="10" t="inlineStr">
        <is>
          <t>Medium</t>
        </is>
      </c>
      <c r="AQ95" s="10" t="inlineStr">
        <is>
          <t>Independent retailer; Relevant category; Social presence</t>
        </is>
      </c>
      <c r="AR95" s="10" t="inlineStr">
        <is>
          <t>https://www.facebook.com/NoProblemArmley/</t>
        </is>
      </c>
      <c r="AS95" s="10" t="inlineStr"/>
      <c r="AT95" s="10" t="inlineStr">
        <is>
          <t>1</t>
        </is>
      </c>
      <c r="AU95" s="10" t="inlineStr">
        <is>
          <t>No</t>
        </is>
      </c>
      <c r="AV95" s="10" t="inlineStr">
        <is>
          <t>No</t>
        </is>
      </c>
      <c r="AW95" s="10" t="inlineStr">
        <is>
          <t>No</t>
        </is>
      </c>
      <c r="AX95" s="10" t="inlineStr">
        <is>
          <t>No</t>
        </is>
      </c>
      <c r="AY95" s="10" t="inlineStr">
        <is>
          <t>Not Found</t>
        </is>
      </c>
      <c r="AZ95" s="10" t="inlineStr">
        <is>
          <t>Not Found</t>
        </is>
      </c>
      <c r="BA95" s="10" t="inlineStr">
        <is>
          <t>2026-09-16</t>
        </is>
      </c>
      <c r="BB95" s="10" t="inlineStr">
        <is>
          <t>Requires Verification</t>
        </is>
      </c>
      <c r="BC95" s="10" t="inlineStr">
        <is>
          <t>Low</t>
        </is>
      </c>
      <c r="BD95" s="10" t="inlineStr"/>
      <c r="BE95" s="10" t="inlineStr">
        <is>
          <t>Business (B2B)</t>
        </is>
      </c>
      <c r="BF95" s="10" t="inlineStr">
        <is>
          <t>Legitimate interest (B2B) - assess per campaign; PECR: corporate subscribers</t>
        </is>
      </c>
      <c r="BG95" s="10" t="inlineStr"/>
      <c r="BH95" s="10" t="inlineStr">
        <is>
          <t>No</t>
        </is>
      </c>
      <c r="BI95" s="10" t="inlineStr">
        <is>
          <t>2026-09-16</t>
        </is>
      </c>
      <c r="BJ95" s="10" t="inlineStr">
        <is>
          <t>New</t>
        </is>
      </c>
      <c r="BK95" s="10" t="inlineStr">
        <is>
          <t>2026-09-16</t>
        </is>
      </c>
      <c r="BL95" s="10" t="inlineStr"/>
      <c r="BM95" s="10" t="inlineStr"/>
      <c r="BN95" s="10" t="inlineStr"/>
      <c r="BO95" s="10" t="inlineStr"/>
      <c r="BP95" s="10" t="inlineStr"/>
      <c r="BQ95" s="10" t="inlineStr"/>
    </row>
    <row r="96">
      <c r="A96" s="5" t="inlineStr">
        <is>
          <t>WY-0052</t>
        </is>
      </c>
      <c r="B96" s="5" t="inlineStr">
        <is>
          <t>WY-0052-01</t>
        </is>
      </c>
      <c r="C96" s="5" t="inlineStr"/>
      <c r="D96" s="5" t="inlineStr">
        <is>
          <t>Asia Foods</t>
        </is>
      </c>
      <c r="E96" s="5" t="inlineStr">
        <is>
          <t>Asia Foods</t>
        </is>
      </c>
      <c r="F96" s="5" t="inlineStr"/>
      <c r="G96" s="5" t="inlineStr">
        <is>
          <t>Independent Supermarket</t>
        </is>
      </c>
      <c r="H96" s="5" t="inlineStr">
        <is>
          <t>Asian grocery and halal meat store</t>
        </is>
      </c>
      <c r="I96" s="5" t="inlineStr">
        <is>
          <t>Independent</t>
        </is>
      </c>
      <c r="J96" s="5" t="inlineStr">
        <is>
          <t>1</t>
        </is>
      </c>
      <c r="K96" s="5" t="inlineStr"/>
      <c r="L96" s="5" t="inlineStr"/>
      <c r="M96" s="5" t="inlineStr"/>
      <c r="N96" s="5" t="inlineStr"/>
      <c r="O96" s="5" t="inlineStr">
        <is>
          <t>97-99 Yews Hill Road</t>
        </is>
      </c>
      <c r="P96" s="5" t="inlineStr">
        <is>
          <t>Lockwood</t>
        </is>
      </c>
      <c r="Q96" s="5" t="inlineStr">
        <is>
          <t>Huddersfield</t>
        </is>
      </c>
      <c r="R96" s="5" t="inlineStr">
        <is>
          <t>West Yorkshire</t>
        </is>
      </c>
      <c r="S96" s="5" t="inlineStr">
        <is>
          <t>HD1 3SG</t>
        </is>
      </c>
      <c r="T96" s="5" t="inlineStr">
        <is>
          <t>Yorkshire &amp; Humber</t>
        </is>
      </c>
      <c r="U96" s="5" t="inlineStr">
        <is>
          <t>England</t>
        </is>
      </c>
      <c r="V96" s="5" t="inlineStr">
        <is>
          <t>01484 514828</t>
        </is>
      </c>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Asian groceries; halal meat; fresh produce</t>
        </is>
      </c>
      <c r="AL96" s="5" t="inlineStr"/>
      <c r="AM96" s="5" t="inlineStr">
        <is>
          <t>Independent Supermarket</t>
        </is>
      </c>
      <c r="AN96" s="5" t="inlineStr"/>
      <c r="AO96" s="5" t="inlineStr"/>
      <c r="AP96" s="5" t="inlineStr">
        <is>
          <t>Low</t>
        </is>
      </c>
      <c r="AQ96" s="5" t="inlineStr">
        <is>
          <t>Independent retailer; Relevant category</t>
        </is>
      </c>
      <c r="AR96" s="5" t="inlineStr">
        <is>
          <t>https://asia-foods-huddersfield.edan.io/</t>
        </is>
      </c>
      <c r="AS96" s="5" t="inlineStr">
        <is>
          <t>https://www.yorkshire.com/huddersfield/shopping/grocers/asia-foods</t>
        </is>
      </c>
      <c r="AT96" s="5" t="inlineStr">
        <is>
          <t>2</t>
        </is>
      </c>
      <c r="AU96" s="5" t="inlineStr">
        <is>
          <t>No</t>
        </is>
      </c>
      <c r="AV96" s="5" t="inlineStr">
        <is>
          <t>No</t>
        </is>
      </c>
      <c r="AW96" s="5" t="inlineStr">
        <is>
          <t>No</t>
        </is>
      </c>
      <c r="AX96" s="5" t="inlineStr">
        <is>
          <t>No</t>
        </is>
      </c>
      <c r="AY96" s="5" t="inlineStr">
        <is>
          <t>Verified directory</t>
        </is>
      </c>
      <c r="AZ96" s="5" t="inlineStr">
        <is>
          <t>Not Found</t>
        </is>
      </c>
      <c r="BA96" s="5" t="inlineStr">
        <is>
          <t>2026-09-16</t>
        </is>
      </c>
      <c r="BB96" s="5" t="inlineStr">
        <is>
          <t>Requires Verification</t>
        </is>
      </c>
      <c r="BC96" s="5" t="inlineStr">
        <is>
          <t>Medium</t>
        </is>
      </c>
      <c r="BD96" s="5" t="inlineStr"/>
      <c r="BE96" s="5" t="inlineStr">
        <is>
          <t>Business (B2B)</t>
        </is>
      </c>
      <c r="BF96" s="5" t="inlineStr">
        <is>
          <t>Legitimate interest (B2B) - assess per campaign; PECR: corporate subscribers</t>
        </is>
      </c>
      <c r="BG96" s="5" t="inlineStr"/>
      <c r="BH96" s="5" t="inlineStr">
        <is>
          <t>No</t>
        </is>
      </c>
      <c r="BI96" s="5" t="inlineStr">
        <is>
          <t>2026-09-16</t>
        </is>
      </c>
      <c r="BJ96" s="5" t="inlineStr">
        <is>
          <t>New</t>
        </is>
      </c>
      <c r="BK96" s="5" t="inlineStr">
        <is>
          <t>2026-09-16</t>
        </is>
      </c>
      <c r="BL96" s="5" t="inlineStr"/>
      <c r="BM96" s="5" t="inlineStr"/>
      <c r="BN96" s="5" t="inlineStr"/>
      <c r="BO96" s="5" t="inlineStr"/>
      <c r="BP96" s="5" t="inlineStr"/>
      <c r="BQ96" s="5" t="inlineStr"/>
    </row>
    <row r="97">
      <c r="A97" s="10" t="inlineStr">
        <is>
          <t>WY-0053</t>
        </is>
      </c>
      <c r="B97" s="10" t="inlineStr">
        <is>
          <t>WY-0053-01</t>
        </is>
      </c>
      <c r="C97" s="10" t="inlineStr"/>
      <c r="D97" s="10" t="inlineStr">
        <is>
          <t>Azeem's Vape Shop</t>
        </is>
      </c>
      <c r="E97" s="10" t="inlineStr">
        <is>
          <t>Azeem's Vape Shop</t>
        </is>
      </c>
      <c r="F97" s="10" t="inlineStr">
        <is>
          <t>Azeems Vape Shop Ltd</t>
        </is>
      </c>
      <c r="G97" s="10" t="inlineStr">
        <is>
          <t>Vape Shop</t>
        </is>
      </c>
      <c r="H97" s="10" t="inlineStr">
        <is>
          <t>Vape shop with CBD, e-liquids, drinks</t>
        </is>
      </c>
      <c r="I97" s="10" t="inlineStr">
        <is>
          <t>Independent</t>
        </is>
      </c>
      <c r="J97" s="10" t="inlineStr">
        <is>
          <t>1</t>
        </is>
      </c>
      <c r="K97" s="10" t="inlineStr">
        <is>
          <t>https://azeemsvapeshop.co.uk/</t>
        </is>
      </c>
      <c r="L97" s="10" t="inlineStr">
        <is>
          <t>https://www.facebook.com/azeemskeighley1/</t>
        </is>
      </c>
      <c r="M97" s="10" t="inlineStr">
        <is>
          <t>https://www.instagram.com/azeems_vape_shop/</t>
        </is>
      </c>
      <c r="N97" s="10" t="inlineStr"/>
      <c r="O97" s="10" t="inlineStr">
        <is>
          <t>130 Lawkholme Lane</t>
        </is>
      </c>
      <c r="P97" s="10" t="inlineStr"/>
      <c r="Q97" s="10" t="inlineStr">
        <is>
          <t>Keighley</t>
        </is>
      </c>
      <c r="R97" s="10" t="inlineStr">
        <is>
          <t>West Yorkshire</t>
        </is>
      </c>
      <c r="S97" s="10" t="inlineStr">
        <is>
          <t>BD21 3LU</t>
        </is>
      </c>
      <c r="T97" s="10" t="inlineStr">
        <is>
          <t>Yorkshire &amp; Humber</t>
        </is>
      </c>
      <c r="U97" s="10" t="inlineStr">
        <is>
          <t>England</t>
        </is>
      </c>
      <c r="V97" s="10" t="inlineStr">
        <is>
          <t>01535 213920</t>
        </is>
      </c>
      <c r="W97" s="10" t="inlineStr"/>
      <c r="X97" s="10" t="inlineStr"/>
      <c r="Y97" s="10" t="inlineStr">
        <is>
          <t>info@azeemsvapeshop.co.uk</t>
        </is>
      </c>
      <c r="Z97" s="10" t="inlineStr"/>
      <c r="AA97" s="10" t="inlineStr"/>
      <c r="AB97" s="10" t="inlineStr"/>
      <c r="AC97" s="10" t="inlineStr"/>
      <c r="AD97" s="10" t="inlineStr"/>
      <c r="AE97" s="10" t="inlineStr">
        <is>
          <t>13574720</t>
        </is>
      </c>
      <c r="AF97" s="10" t="inlineStr">
        <is>
          <t>Dissolved</t>
        </is>
      </c>
      <c r="AG97" s="10" t="inlineStr">
        <is>
          <t>AZEEMS VAPE SHOP LTD</t>
        </is>
      </c>
      <c r="AH97" s="10" t="inlineStr"/>
      <c r="AI97" s="10" t="inlineStr"/>
      <c r="AJ97" s="10" t="inlineStr"/>
      <c r="AK97" s="10" t="inlineStr">
        <is>
          <t>vapes; e-liquids; CBD; drinks; electronics</t>
        </is>
      </c>
      <c r="AL97" s="10" t="inlineStr"/>
      <c r="AM97" s="10" t="inlineStr">
        <is>
          <t>Vape Shop</t>
        </is>
      </c>
      <c r="AN97" s="10" t="inlineStr"/>
      <c r="AO97" s="10" t="inlineStr">
        <is>
          <t>Open 7 days 10am-10pm, 100+ e-liquid flavours. CAUTION: Companies House shows Azeems Vape Shop Ltd (13574720) dissolved 7 July 2026 per search snippet - shop may continue trading under a different entity; verify current trading status before contact.</t>
        </is>
      </c>
      <c r="AP97" s="10" t="inlineStr">
        <is>
          <t>High</t>
        </is>
      </c>
      <c r="AQ97" s="10" t="inlineStr">
        <is>
          <t>Independent retailer; Core relevant category; Public email available; Active website; Social presence</t>
        </is>
      </c>
      <c r="AR97" s="10" t="inlineStr">
        <is>
          <t>https://azeemsvapeshop.co.uk/contact/</t>
        </is>
      </c>
      <c r="AS97" s="10" t="inlineStr">
        <is>
          <t>https://find-and-update.company-information.service.gov.uk/company/13574720</t>
        </is>
      </c>
      <c r="AT97" s="10" t="inlineStr">
        <is>
          <t>3</t>
        </is>
      </c>
      <c r="AU97" s="10" t="inlineStr">
        <is>
          <t>No</t>
        </is>
      </c>
      <c r="AV97" s="10" t="inlineStr">
        <is>
          <t>No</t>
        </is>
      </c>
      <c r="AW97" s="10" t="inlineStr">
        <is>
          <t>Yes</t>
        </is>
      </c>
      <c r="AX97" s="10" t="inlineStr">
        <is>
          <t>Yes</t>
        </is>
      </c>
      <c r="AY97" s="10" t="inlineStr">
        <is>
          <t>Verified directory</t>
        </is>
      </c>
      <c r="AZ97" s="10" t="inlineStr">
        <is>
          <t>Website Found</t>
        </is>
      </c>
      <c r="BA97" s="10" t="inlineStr">
        <is>
          <t>2026-09-16</t>
        </is>
      </c>
      <c r="BB97" s="10" t="inlineStr">
        <is>
          <t>Partially Verified</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2026-09-16</t>
        </is>
      </c>
      <c r="BL97" s="10" t="inlineStr"/>
      <c r="BM97" s="10" t="inlineStr"/>
      <c r="BN97" s="10" t="inlineStr"/>
      <c r="BO97" s="10" t="inlineStr"/>
      <c r="BP97" s="10" t="inlineStr"/>
      <c r="BQ97" s="10" t="inlineStr"/>
    </row>
    <row r="98">
      <c r="A98" s="5" t="inlineStr">
        <is>
          <t>WY-0054</t>
        </is>
      </c>
      <c r="B98" s="5" t="inlineStr">
        <is>
          <t>WY-0054-01</t>
        </is>
      </c>
      <c r="C98" s="5" t="inlineStr"/>
      <c r="D98" s="5" t="inlineStr">
        <is>
          <t>Azeem's Vape Shop</t>
        </is>
      </c>
      <c r="E98" s="5" t="inlineStr">
        <is>
          <t>Azeem's Vape Shop</t>
        </is>
      </c>
      <c r="F98" s="5" t="inlineStr"/>
      <c r="G98" s="5" t="inlineStr">
        <is>
          <t>Vape Shop</t>
        </is>
      </c>
      <c r="H98" s="5" t="inlineStr"/>
      <c r="I98" s="5" t="inlineStr">
        <is>
          <t>Independent</t>
        </is>
      </c>
      <c r="J98" s="5" t="inlineStr">
        <is>
          <t>1</t>
        </is>
      </c>
      <c r="K98" s="5" t="inlineStr"/>
      <c r="L98" s="5" t="inlineStr"/>
      <c r="M98" s="5" t="inlineStr"/>
      <c r="N98" s="5" t="inlineStr"/>
      <c r="O98" s="5" t="inlineStr"/>
      <c r="P98" s="5" t="inlineStr"/>
      <c r="Q98" s="5" t="inlineStr">
        <is>
          <t>Todmorden</t>
        </is>
      </c>
      <c r="R98" s="5" t="inlineStr">
        <is>
          <t>West Yorkshire</t>
        </is>
      </c>
      <c r="S98" s="5" t="inlineStr"/>
      <c r="T98" s="5" t="inlineStr">
        <is>
          <t>Yorkshire &amp; Humber</t>
        </is>
      </c>
      <c r="U98" s="5" t="inlineStr">
        <is>
          <t>England</t>
        </is>
      </c>
      <c r="V98" s="5" t="inlineStr"/>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vapes</t>
        </is>
      </c>
      <c r="AL98" s="5" t="inlineStr"/>
      <c r="AM98" s="5" t="inlineStr">
        <is>
          <t>Vape Shop</t>
        </is>
      </c>
      <c r="AN98" s="5" t="inlineStr"/>
      <c r="AO98" s="5" t="inlineStr">
        <is>
          <t>Listed among Todmorden vape shops on Yelp and on tobaccoshops.co.uk; street address not captured before search budget was exhausted.</t>
        </is>
      </c>
      <c r="AP98" s="5" t="inlineStr">
        <is>
          <t>Medium</t>
        </is>
      </c>
      <c r="AQ98" s="5" t="inlineStr">
        <is>
          <t>Independent retailer; Core relevant category</t>
        </is>
      </c>
      <c r="AR98" s="5" t="inlineStr">
        <is>
          <t>https://tobaccoshops.co.uk/05958051/Azeem%E2%80%99s_vape_shop</t>
        </is>
      </c>
      <c r="AS98" s="5" t="inlineStr">
        <is>
          <t>https://www.yelp.com/search?cflt=vapeshops&amp;find_loc=Todmorden%2C+West+Yorkshire</t>
        </is>
      </c>
      <c r="AT98" s="5" t="inlineStr">
        <is>
          <t>2</t>
        </is>
      </c>
      <c r="AU98" s="5" t="inlineStr">
        <is>
          <t>No</t>
        </is>
      </c>
      <c r="AV98" s="5" t="inlineStr">
        <is>
          <t>No</t>
        </is>
      </c>
      <c r="AW98" s="5" t="inlineStr">
        <is>
          <t>No</t>
        </is>
      </c>
      <c r="AX98" s="5" t="inlineStr">
        <is>
          <t>No</t>
        </is>
      </c>
      <c r="AY98" s="5" t="inlineStr">
        <is>
          <t>Not Found</t>
        </is>
      </c>
      <c r="AZ98" s="5" t="inlineStr">
        <is>
          <t>Not Found</t>
        </is>
      </c>
      <c r="BA98" s="5" t="inlineStr">
        <is>
          <t>2026-09-16</t>
        </is>
      </c>
      <c r="BB98" s="5" t="inlineStr">
        <is>
          <t>Requires Verification</t>
        </is>
      </c>
      <c r="BC98" s="5" t="inlineStr">
        <is>
          <t>Low</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2026-09-16</t>
        </is>
      </c>
      <c r="BL98" s="5" t="inlineStr"/>
      <c r="BM98" s="5" t="inlineStr"/>
      <c r="BN98" s="5" t="inlineStr"/>
      <c r="BO98" s="5" t="inlineStr"/>
      <c r="BP98" s="5" t="inlineStr"/>
      <c r="BQ98" s="5" t="inlineStr"/>
    </row>
    <row r="99">
      <c r="A99" s="10" t="inlineStr">
        <is>
          <t>WY-0055</t>
        </is>
      </c>
      <c r="B99" s="10" t="inlineStr">
        <is>
          <t>WY-0055-01</t>
        </is>
      </c>
      <c r="C99" s="10" t="inlineStr"/>
      <c r="D99" s="10" t="inlineStr">
        <is>
          <t>BGC Wholesale</t>
        </is>
      </c>
      <c r="E99" s="10" t="inlineStr">
        <is>
          <t>BGC Wholesale (rebranding to Tiger Feet)</t>
        </is>
      </c>
      <c r="F99" s="10" t="inlineStr">
        <is>
          <t>BGC Wholesale Ltd</t>
        </is>
      </c>
      <c r="G99" s="10" t="inlineStr">
        <is>
          <t>Cash &amp; Carry</t>
        </is>
      </c>
      <c r="H99" s="10" t="inlineStr">
        <is>
          <t>Greeting cards, gifts &amp; retail sundries wholesaler</t>
        </is>
      </c>
      <c r="I99" s="10" t="inlineStr">
        <is>
          <t>Independent</t>
        </is>
      </c>
      <c r="J99" s="10" t="inlineStr">
        <is>
          <t>1</t>
        </is>
      </c>
      <c r="K99" s="10" t="inlineStr">
        <is>
          <t>https://bgcwholesale.com/locations/bradford</t>
        </is>
      </c>
      <c r="L99" s="10" t="inlineStr"/>
      <c r="M99" s="10" t="inlineStr"/>
      <c r="N99" s="10" t="inlineStr"/>
      <c r="O99" s="10" t="inlineStr">
        <is>
          <t>12 Roydsdale Way</t>
        </is>
      </c>
      <c r="P99" s="10" t="inlineStr">
        <is>
          <t>Euroway Estate</t>
        </is>
      </c>
      <c r="Q99" s="10" t="inlineStr">
        <is>
          <t>Bradford</t>
        </is>
      </c>
      <c r="R99" s="10" t="inlineStr">
        <is>
          <t>West Yorkshire</t>
        </is>
      </c>
      <c r="S99" s="10" t="inlineStr">
        <is>
          <t>BD4 6SE</t>
        </is>
      </c>
      <c r="T99" s="10" t="inlineStr">
        <is>
          <t>Yorkshire &amp; Humber</t>
        </is>
      </c>
      <c r="U99" s="10" t="inlineStr">
        <is>
          <t>England</t>
        </is>
      </c>
      <c r="V99" s="10" t="inlineStr">
        <is>
          <t>01274 651059</t>
        </is>
      </c>
      <c r="W99" s="10" t="inlineStr"/>
      <c r="X99" s="10" t="inlineStr"/>
      <c r="Y99" s="10" t="inlineStr"/>
      <c r="Z99" s="10" t="inlineStr"/>
      <c r="AA99" s="10" t="inlineStr"/>
      <c r="AB99" s="10" t="inlineStr"/>
      <c r="AC99" s="10" t="inlineStr"/>
      <c r="AD99" s="10" t="inlineStr"/>
      <c r="AE99" s="10" t="inlineStr">
        <is>
          <t>12428420</t>
        </is>
      </c>
      <c r="AF99" s="10" t="inlineStr"/>
      <c r="AG99" s="10" t="inlineStr">
        <is>
          <t>BGC WHOLESALE LTD</t>
        </is>
      </c>
      <c r="AH99" s="10" t="inlineStr"/>
      <c r="AI99" s="10" t="inlineStr"/>
      <c r="AJ99" s="10" t="inlineStr"/>
      <c r="AK99" s="10" t="inlineStr">
        <is>
          <t>greeting cards; gifts; retail sundries</t>
        </is>
      </c>
      <c r="AL99" s="10" t="inlineStr"/>
      <c r="AM99" s="10" t="inlineStr">
        <is>
          <t>Cash &amp; Carry</t>
        </is>
      </c>
      <c r="AN99" s="10" t="inlineStr"/>
      <c r="AO99" s="10" t="inlineStr">
        <is>
          <t>Supplies independent retailers with cards/gifts at competitive prices. Recent listings show a rebrand to 'Tiger Feet Limited (previously BGC Wholesale)' - confirm current trading name. Linked historically to Budget Greeting Cards Ltd, Bradford.</t>
        </is>
      </c>
      <c r="AP99" s="10" t="inlineStr">
        <is>
          <t>Medium</t>
        </is>
      </c>
      <c r="AQ99" s="10" t="inlineStr">
        <is>
          <t>Independent retailer; Core relevant category; Active website</t>
        </is>
      </c>
      <c r="AR99" s="10" t="inlineStr">
        <is>
          <t>https://find-and-update.company-information.service.gov.uk/company/12428420/officers</t>
        </is>
      </c>
      <c r="AS99" s="10" t="inlineStr">
        <is>
          <t>https://bradford.cylex-uk.co.uk/company/bgc-wholesale-ltd-27159538.html</t>
        </is>
      </c>
      <c r="AT99" s="10" t="inlineStr">
        <is>
          <t>3</t>
        </is>
      </c>
      <c r="AU99" s="10" t="inlineStr">
        <is>
          <t>No</t>
        </is>
      </c>
      <c r="AV99" s="10" t="inlineStr">
        <is>
          <t>No</t>
        </is>
      </c>
      <c r="AW99" s="10" t="inlineStr">
        <is>
          <t>No</t>
        </is>
      </c>
      <c r="AX99" s="10" t="inlineStr">
        <is>
          <t>Yes</t>
        </is>
      </c>
      <c r="AY99" s="10" t="inlineStr">
        <is>
          <t>Verified directory</t>
        </is>
      </c>
      <c r="AZ99" s="10" t="inlineStr">
        <is>
          <t>Website Found</t>
        </is>
      </c>
      <c r="BA99" s="10" t="inlineStr">
        <is>
          <t>2026-09-16</t>
        </is>
      </c>
      <c r="BB99" s="10" t="inlineStr">
        <is>
          <t>Partially Verified</t>
        </is>
      </c>
      <c r="BC99" s="10" t="inlineStr">
        <is>
          <t>Medium</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2026-09-16</t>
        </is>
      </c>
      <c r="BL99" s="10" t="inlineStr"/>
      <c r="BM99" s="10" t="inlineStr"/>
      <c r="BN99" s="10" t="inlineStr"/>
      <c r="BO99" s="10" t="inlineStr"/>
      <c r="BP99" s="10" t="inlineStr"/>
      <c r="BQ99" s="10" t="inlineStr"/>
    </row>
    <row r="100">
      <c r="A100" s="5" t="inlineStr">
        <is>
          <t>WY-0056</t>
        </is>
      </c>
      <c r="B100" s="5" t="inlineStr">
        <is>
          <t>WY-0056-01</t>
        </is>
      </c>
      <c r="C100" s="5" t="inlineStr"/>
      <c r="D100" s="5" t="inlineStr">
        <is>
          <t>Baildon Green Convenience Store</t>
        </is>
      </c>
      <c r="E100" s="5" t="inlineStr">
        <is>
          <t>Baildon Green Convenience Store</t>
        </is>
      </c>
      <c r="F100" s="5" t="inlineStr"/>
      <c r="G100" s="5" t="inlineStr">
        <is>
          <t>Convenience Store</t>
        </is>
      </c>
      <c r="H100" s="5" t="inlineStr">
        <is>
          <t>Neighbourhood convenience store</t>
        </is>
      </c>
      <c r="I100" s="5" t="inlineStr">
        <is>
          <t>Independent</t>
        </is>
      </c>
      <c r="J100" s="5" t="inlineStr">
        <is>
          <t>1</t>
        </is>
      </c>
      <c r="K100" s="5" t="inlineStr"/>
      <c r="L100" s="5" t="inlineStr"/>
      <c r="M100" s="5" t="inlineStr"/>
      <c r="N100" s="5" t="inlineStr"/>
      <c r="O100" s="5" t="inlineStr">
        <is>
          <t>Cliffe Lane West</t>
        </is>
      </c>
      <c r="P100" s="5" t="inlineStr">
        <is>
          <t>Baildon</t>
        </is>
      </c>
      <c r="Q100" s="5" t="inlineStr">
        <is>
          <t>Shipley</t>
        </is>
      </c>
      <c r="R100" s="5" t="inlineStr">
        <is>
          <t>West Yorkshire</t>
        </is>
      </c>
      <c r="S100" s="5" t="inlineStr"/>
      <c r="T100" s="5" t="inlineStr">
        <is>
          <t>Yorkshire &amp; Humber</t>
        </is>
      </c>
      <c r="U100" s="5" t="inlineStr">
        <is>
          <t>England</t>
        </is>
      </c>
      <c r="V100" s="5" t="inlineStr"/>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convenience lines; groceries</t>
        </is>
      </c>
      <c r="AL100" s="5" t="inlineStr"/>
      <c r="AM100" s="5" t="inlineStr">
        <is>
          <t>Convenience Store</t>
        </is>
      </c>
      <c r="AN100" s="5" t="inlineStr"/>
      <c r="AO100" s="5" t="inlineStr">
        <is>
          <t>Open 7 days, 7am-11pm per listing snippet.</t>
        </is>
      </c>
      <c r="AP100" s="5" t="inlineStr">
        <is>
          <t>Low</t>
        </is>
      </c>
      <c r="AQ100" s="5" t="inlineStr">
        <is>
          <t>Independent retailer; Relevant category</t>
        </is>
      </c>
      <c r="AR100" s="5" t="inlineStr">
        <is>
          <t>https://www.yorkshire.com/shipley/shopping/corner-shops/baildon-green-convenience-store</t>
        </is>
      </c>
      <c r="AS100" s="5" t="inlineStr"/>
      <c r="AT100" s="5" t="inlineStr">
        <is>
          <t>1</t>
        </is>
      </c>
      <c r="AU100" s="5" t="inlineStr">
        <is>
          <t>No</t>
        </is>
      </c>
      <c r="AV100" s="5" t="inlineStr">
        <is>
          <t>No</t>
        </is>
      </c>
      <c r="AW100" s="5" t="inlineStr">
        <is>
          <t>No</t>
        </is>
      </c>
      <c r="AX100" s="5" t="inlineStr">
        <is>
          <t>No</t>
        </is>
      </c>
      <c r="AY100" s="5" t="inlineStr">
        <is>
          <t>Not Found</t>
        </is>
      </c>
      <c r="AZ100" s="5" t="inlineStr">
        <is>
          <t>Not Found</t>
        </is>
      </c>
      <c r="BA100" s="5" t="inlineStr">
        <is>
          <t>2026-09-16</t>
        </is>
      </c>
      <c r="BB100" s="5" t="inlineStr">
        <is>
          <t>Requires Verification</t>
        </is>
      </c>
      <c r="BC100" s="5" t="inlineStr">
        <is>
          <t>Low</t>
        </is>
      </c>
      <c r="BD100" s="5" t="inlineStr"/>
      <c r="BE100" s="5" t="inlineStr">
        <is>
          <t>Business (B2B)</t>
        </is>
      </c>
      <c r="BF100" s="5" t="inlineStr">
        <is>
          <t>Legitimate interest (B2B) - assess per campaign; PECR: corporate subscribers</t>
        </is>
      </c>
      <c r="BG100" s="5" t="inlineStr"/>
      <c r="BH100" s="5" t="inlineStr">
        <is>
          <t>No</t>
        </is>
      </c>
      <c r="BI100" s="5" t="inlineStr">
        <is>
          <t>2026-09-16</t>
        </is>
      </c>
      <c r="BJ100" s="5" t="inlineStr">
        <is>
          <t>New</t>
        </is>
      </c>
      <c r="BK100" s="5" t="inlineStr">
        <is>
          <t>2026-09-16</t>
        </is>
      </c>
      <c r="BL100" s="5" t="inlineStr"/>
      <c r="BM100" s="5" t="inlineStr"/>
      <c r="BN100" s="5" t="inlineStr"/>
      <c r="BO100" s="5" t="inlineStr"/>
      <c r="BP100" s="5" t="inlineStr"/>
      <c r="BQ100" s="5" t="inlineStr"/>
    </row>
    <row r="101">
      <c r="A101" s="10" t="inlineStr">
        <is>
          <t>WY-0057</t>
        </is>
      </c>
      <c r="B101" s="10" t="inlineStr">
        <is>
          <t>WY-0057-01</t>
        </is>
      </c>
      <c r="C101" s="10" t="inlineStr"/>
      <c r="D101" s="10" t="inlineStr">
        <is>
          <t>Baildon Off Licence</t>
        </is>
      </c>
      <c r="E101" s="10" t="inlineStr">
        <is>
          <t>Baildon Off Licence</t>
        </is>
      </c>
      <c r="F101" s="10" t="inlineStr"/>
      <c r="G101" s="10" t="inlineStr">
        <is>
          <t>Off-Licence</t>
        </is>
      </c>
      <c r="H101" s="10" t="inlineStr">
        <is>
          <t>Neighbourhood off-licence</t>
        </is>
      </c>
      <c r="I101" s="10" t="inlineStr">
        <is>
          <t>Independent</t>
        </is>
      </c>
      <c r="J101" s="10" t="inlineStr">
        <is>
          <t>1</t>
        </is>
      </c>
      <c r="K101" s="10" t="inlineStr"/>
      <c r="L101" s="10" t="inlineStr"/>
      <c r="M101" s="10" t="inlineStr"/>
      <c r="N101" s="10" t="inlineStr"/>
      <c r="O101" s="10" t="inlineStr">
        <is>
          <t>Coach Road</t>
        </is>
      </c>
      <c r="P101" s="10" t="inlineStr">
        <is>
          <t>Baildon</t>
        </is>
      </c>
      <c r="Q101" s="10" t="inlineStr">
        <is>
          <t>Shipley</t>
        </is>
      </c>
      <c r="R101" s="10" t="inlineStr">
        <is>
          <t>West Yorkshire</t>
        </is>
      </c>
      <c r="S101" s="10" t="inlineStr"/>
      <c r="T101" s="10" t="inlineStr">
        <is>
          <t>Yorkshire &amp; Humber</t>
        </is>
      </c>
      <c r="U101" s="10" t="inlineStr">
        <is>
          <t>England</t>
        </is>
      </c>
      <c r="V101" s="10" t="inlineStr"/>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beers; wines; spirits; convenience lines</t>
        </is>
      </c>
      <c r="AL101" s="10" t="inlineStr"/>
      <c r="AM101" s="10" t="inlineStr">
        <is>
          <t>Off-Licence</t>
        </is>
      </c>
      <c r="AN101" s="10" t="inlineStr"/>
      <c r="AO101" s="10" t="inlineStr">
        <is>
          <t>Coach Road, Baildon (Saltaire side). Google rating 4.3; open Mon-Sat 9am-8pm, Sun 10am-6pm per listing snippet.</t>
        </is>
      </c>
      <c r="AP101" s="10" t="inlineStr">
        <is>
          <t>Low</t>
        </is>
      </c>
      <c r="AQ101" s="10" t="inlineStr">
        <is>
          <t>Independent retailer; Relevant category</t>
        </is>
      </c>
      <c r="AR101" s="10" t="inlineStr">
        <is>
          <t>https://www.yorkshire.com/saltaire/shopping/off-license/baildon-off-licence</t>
        </is>
      </c>
      <c r="AS101" s="10" t="inlineStr"/>
      <c r="AT101" s="10" t="inlineStr">
        <is>
          <t>1</t>
        </is>
      </c>
      <c r="AU101" s="10" t="inlineStr">
        <is>
          <t>No</t>
        </is>
      </c>
      <c r="AV101" s="10" t="inlineStr">
        <is>
          <t>No</t>
        </is>
      </c>
      <c r="AW101" s="10" t="inlineStr">
        <is>
          <t>No</t>
        </is>
      </c>
      <c r="AX101" s="10" t="inlineStr">
        <is>
          <t>No</t>
        </is>
      </c>
      <c r="AY101" s="10" t="inlineStr">
        <is>
          <t>Not Found</t>
        </is>
      </c>
      <c r="AZ101" s="10" t="inlineStr">
        <is>
          <t>Not Found</t>
        </is>
      </c>
      <c r="BA101" s="10" t="inlineStr">
        <is>
          <t>2026-09-16</t>
        </is>
      </c>
      <c r="BB101" s="10" t="inlineStr">
        <is>
          <t>Requires Verification</t>
        </is>
      </c>
      <c r="BC101" s="10" t="inlineStr">
        <is>
          <t>Low</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2026-09-16</t>
        </is>
      </c>
      <c r="BJ101" s="10" t="inlineStr">
        <is>
          <t>New</t>
        </is>
      </c>
      <c r="BK101" s="10" t="inlineStr">
        <is>
          <t>2026-09-16</t>
        </is>
      </c>
      <c r="BL101" s="10" t="inlineStr"/>
      <c r="BM101" s="10" t="inlineStr"/>
      <c r="BN101" s="10" t="inlineStr"/>
      <c r="BO101" s="10" t="inlineStr"/>
      <c r="BP101" s="10" t="inlineStr"/>
      <c r="BQ101" s="10" t="inlineStr"/>
    </row>
    <row r="102">
      <c r="A102" s="5" t="inlineStr">
        <is>
          <t>WY-0058</t>
        </is>
      </c>
      <c r="B102" s="5" t="inlineStr">
        <is>
          <t>WY-0058-01</t>
        </is>
      </c>
      <c r="C102" s="5" t="inlineStr"/>
      <c r="D102" s="5" t="inlineStr">
        <is>
          <t>Bar Market</t>
        </is>
      </c>
      <c r="E102" s="5" t="inlineStr">
        <is>
          <t>Bar Market Ltd</t>
        </is>
      </c>
      <c r="F102" s="5" t="inlineStr"/>
      <c r="G102" s="5" t="inlineStr">
        <is>
          <t>Off-Licence</t>
        </is>
      </c>
      <c r="H102" s="5" t="inlineStr">
        <is>
          <t>24-hour off-licence</t>
        </is>
      </c>
      <c r="I102" s="5" t="inlineStr">
        <is>
          <t>Independent</t>
        </is>
      </c>
      <c r="J102" s="5" t="inlineStr">
        <is>
          <t>1</t>
        </is>
      </c>
      <c r="K102" s="5" t="inlineStr"/>
      <c r="L102" s="5" t="inlineStr"/>
      <c r="M102" s="5" t="inlineStr"/>
      <c r="N102" s="5" t="inlineStr"/>
      <c r="O102" s="5" t="inlineStr">
        <is>
          <t>Crown Street</t>
        </is>
      </c>
      <c r="P102" s="5" t="inlineStr"/>
      <c r="Q102" s="5" t="inlineStr">
        <is>
          <t>Halifax</t>
        </is>
      </c>
      <c r="R102" s="5" t="inlineStr">
        <is>
          <t>West Yorkshire</t>
        </is>
      </c>
      <c r="S102" s="5" t="inlineStr"/>
      <c r="T102" s="5" t="inlineStr">
        <is>
          <t>Yorkshire &amp; Humber</t>
        </is>
      </c>
      <c r="U102" s="5" t="inlineStr">
        <is>
          <t>England</t>
        </is>
      </c>
      <c r="V102" s="5" t="inlineStr"/>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beers, wines and spirits</t>
        </is>
      </c>
      <c r="AL102" s="5" t="inlineStr"/>
      <c r="AM102" s="5" t="inlineStr">
        <is>
          <t>Off-Licence</t>
        </is>
      </c>
      <c r="AN102" s="5" t="inlineStr"/>
      <c r="AO102" s="5" t="inlineStr">
        <is>
          <t>Described as open 24/7. Directory name suggests a limited company but no Companies House match was verified; street number and postcode not captured.</t>
        </is>
      </c>
      <c r="AP102" s="5" t="inlineStr">
        <is>
          <t>Low</t>
        </is>
      </c>
      <c r="AQ102" s="5" t="inlineStr">
        <is>
          <t>Independent retailer; Relevant category</t>
        </is>
      </c>
      <c r="AR102" s="5" t="inlineStr">
        <is>
          <t>https://www.yorkshire.com/halifax/shopping/off-license/bar-market-ltd</t>
        </is>
      </c>
      <c r="AS102" s="5" t="inlineStr"/>
      <c r="AT102" s="5" t="inlineStr">
        <is>
          <t>1</t>
        </is>
      </c>
      <c r="AU102" s="5" t="inlineStr">
        <is>
          <t>No</t>
        </is>
      </c>
      <c r="AV102" s="5" t="inlineStr">
        <is>
          <t>No</t>
        </is>
      </c>
      <c r="AW102" s="5" t="inlineStr">
        <is>
          <t>No</t>
        </is>
      </c>
      <c r="AX102" s="5" t="inlineStr">
        <is>
          <t>No</t>
        </is>
      </c>
      <c r="AY102" s="5" t="inlineStr">
        <is>
          <t>Not Found</t>
        </is>
      </c>
      <c r="AZ102" s="5" t="inlineStr">
        <is>
          <t>Not Found</t>
        </is>
      </c>
      <c r="BA102" s="5" t="inlineStr">
        <is>
          <t>2026-09-16</t>
        </is>
      </c>
      <c r="BB102" s="5" t="inlineStr">
        <is>
          <t>Requires Verification</t>
        </is>
      </c>
      <c r="BC102" s="5" t="inlineStr">
        <is>
          <t>Low</t>
        </is>
      </c>
      <c r="BD102" s="5" t="inlineStr"/>
      <c r="BE102" s="5" t="inlineStr">
        <is>
          <t>Business (B2B)</t>
        </is>
      </c>
      <c r="BF102" s="5" t="inlineStr">
        <is>
          <t>Legitimate interest (B2B) - assess per campaign; PECR: corporate subscribers</t>
        </is>
      </c>
      <c r="BG102" s="5" t="inlineStr"/>
      <c r="BH102" s="5" t="inlineStr">
        <is>
          <t>No</t>
        </is>
      </c>
      <c r="BI102" s="5" t="inlineStr">
        <is>
          <t>2026-09-16</t>
        </is>
      </c>
      <c r="BJ102" s="5" t="inlineStr">
        <is>
          <t>New</t>
        </is>
      </c>
      <c r="BK102" s="5" t="inlineStr">
        <is>
          <t>2026-09-16</t>
        </is>
      </c>
      <c r="BL102" s="5" t="inlineStr"/>
      <c r="BM102" s="5" t="inlineStr"/>
      <c r="BN102" s="5" t="inlineStr"/>
      <c r="BO102" s="5" t="inlineStr"/>
      <c r="BP102" s="5" t="inlineStr"/>
      <c r="BQ102" s="5" t="inlineStr"/>
    </row>
    <row r="103">
      <c r="A103" s="10" t="inlineStr">
        <is>
          <t>UK-000237</t>
        </is>
      </c>
      <c r="B103" s="10" t="inlineStr">
        <is>
          <t>UK-000237-01</t>
        </is>
      </c>
      <c r="C103" s="10" t="inlineStr"/>
      <c r="D103" s="10" t="inlineStr">
        <is>
          <t>Bargains Cash &amp; Carry Ltd</t>
        </is>
      </c>
      <c r="E103" s="10" t="inlineStr">
        <is>
          <t>Bargains Cash &amp; Carry</t>
        </is>
      </c>
      <c r="F103" s="10" t="inlineStr"/>
      <c r="G103" s="10" t="inlineStr">
        <is>
          <t>Cash &amp; Carry</t>
        </is>
      </c>
      <c r="H103" s="10" t="inlineStr">
        <is>
          <t>Cash &amp; carry wholesaler</t>
        </is>
      </c>
      <c r="I103" s="10" t="inlineStr">
        <is>
          <t>Independent</t>
        </is>
      </c>
      <c r="J103" s="10" t="inlineStr">
        <is>
          <t>1</t>
        </is>
      </c>
      <c r="K103" s="10" t="inlineStr"/>
      <c r="L103" s="10" t="inlineStr"/>
      <c r="M103" s="10" t="inlineStr"/>
      <c r="N103" s="10" t="inlineStr"/>
      <c r="O103" s="10" t="inlineStr"/>
      <c r="P103" s="10" t="inlineStr"/>
      <c r="Q103" s="10" t="inlineStr">
        <is>
          <t>Sheffield</t>
        </is>
      </c>
      <c r="R103" s="10" t="inlineStr">
        <is>
          <t>South Yorkshire</t>
        </is>
      </c>
      <c r="S103" s="10" t="inlineStr"/>
      <c r="T103" s="10" t="inlineStr">
        <is>
          <t>Yorkshire &amp; Humber</t>
        </is>
      </c>
      <c r="U103" s="10" t="inlineStr">
        <is>
          <t>England</t>
        </is>
      </c>
      <c r="V103" s="10" t="inlineStr"/>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grocery wholesale; confectionery; soft drinks; household</t>
        </is>
      </c>
      <c r="AL103" s="10" t="inlineStr"/>
      <c r="AM103" s="10" t="inlineStr">
        <is>
          <t>Cash &amp; Carry</t>
        </is>
      </c>
      <c r="AN103" s="10" t="inlineStr"/>
      <c r="AO103" s="10" t="inlineStr">
        <is>
          <t>Independent cash &amp; carry wholesaler in Sheffield listed on Cylex; street address/postcode not captured from search snippet.</t>
        </is>
      </c>
      <c r="AP103" s="10" t="inlineStr">
        <is>
          <t>Medium</t>
        </is>
      </c>
      <c r="AQ103" s="10" t="inlineStr">
        <is>
          <t>Independent retailer; Core relevant category</t>
        </is>
      </c>
      <c r="AR103" s="10" t="inlineStr">
        <is>
          <t>https://sheffield.cylex-uk.co.uk/company/bargains-cash---carry-ltd-27419816.html</t>
        </is>
      </c>
      <c r="AS103" s="10" t="inlineStr"/>
      <c r="AT103" s="10" t="inlineStr">
        <is>
          <t>1</t>
        </is>
      </c>
      <c r="AU103" s="10" t="inlineStr">
        <is>
          <t>No</t>
        </is>
      </c>
      <c r="AV103" s="10" t="inlineStr">
        <is>
          <t>No</t>
        </is>
      </c>
      <c r="AW103" s="10" t="inlineStr">
        <is>
          <t>No</t>
        </is>
      </c>
      <c r="AX103" s="10" t="inlineStr">
        <is>
          <t>No</t>
        </is>
      </c>
      <c r="AY103" s="10" t="inlineStr">
        <is>
          <t>Not Found</t>
        </is>
      </c>
      <c r="AZ103" s="10" t="inlineStr">
        <is>
          <t>Not Found</t>
        </is>
      </c>
      <c r="BA103" s="10" t="inlineStr">
        <is>
          <t>2026-09-16</t>
        </is>
      </c>
      <c r="BB103" s="10" t="inlineStr">
        <is>
          <t>Requires Verification</t>
        </is>
      </c>
      <c r="BC103" s="10" t="inlineStr">
        <is>
          <t>Low</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2026-09-16</t>
        </is>
      </c>
      <c r="BJ103" s="10" t="inlineStr">
        <is>
          <t>New</t>
        </is>
      </c>
      <c r="BK103" s="10" t="inlineStr">
        <is>
          <t>2026-09-16</t>
        </is>
      </c>
      <c r="BL103" s="10" t="inlineStr"/>
      <c r="BM103" s="10" t="inlineStr"/>
      <c r="BN103" s="10" t="inlineStr"/>
      <c r="BO103" s="10" t="inlineStr"/>
      <c r="BP103" s="10" t="inlineStr"/>
      <c r="BQ103" s="10" t="inlineStr"/>
    </row>
    <row r="104">
      <c r="A104" s="5" t="inlineStr">
        <is>
          <t>WY-0059</t>
        </is>
      </c>
      <c r="B104" s="5" t="inlineStr">
        <is>
          <t>WY-0059-01</t>
        </is>
      </c>
      <c r="C104" s="5" t="inlineStr"/>
      <c r="D104" s="5" t="inlineStr">
        <is>
          <t>Barry's Cash &amp; Carry</t>
        </is>
      </c>
      <c r="E104" s="5" t="inlineStr">
        <is>
          <t>Cut Price Barry's / Barrys Cash and Carry</t>
        </is>
      </c>
      <c r="F104" s="5" t="inlineStr">
        <is>
          <t>BARRY'S CASH &amp; CARRY LTD</t>
        </is>
      </c>
      <c r="G104" s="5" t="inlineStr">
        <is>
          <t>Cash &amp; Carry</t>
        </is>
      </c>
      <c r="H104" s="5" t="inlineStr">
        <is>
          <t>Clearance food and drink cash &amp; carry (open to trade and public)</t>
        </is>
      </c>
      <c r="I104" s="5" t="inlineStr">
        <is>
          <t>Independent</t>
        </is>
      </c>
      <c r="J104" s="5" t="inlineStr">
        <is>
          <t>1</t>
        </is>
      </c>
      <c r="K104" s="5" t="inlineStr">
        <is>
          <t>http://www.cutpricebarrys.co.uk/</t>
        </is>
      </c>
      <c r="L104" s="5" t="inlineStr">
        <is>
          <t>https://www.facebook.com/p/Barrys-Cash-Carry-61550239916577/</t>
        </is>
      </c>
      <c r="M104" s="5" t="inlineStr">
        <is>
          <t>https://www.instagram.com/barryscashandcarry/</t>
        </is>
      </c>
      <c r="N104" s="5" t="inlineStr"/>
      <c r="O104" s="5" t="inlineStr">
        <is>
          <t>163 King Cross Road</t>
        </is>
      </c>
      <c r="P104" s="5" t="inlineStr"/>
      <c r="Q104" s="5" t="inlineStr">
        <is>
          <t>Halifax</t>
        </is>
      </c>
      <c r="R104" s="5" t="inlineStr">
        <is>
          <t>West Yorkshire</t>
        </is>
      </c>
      <c r="S104" s="5" t="inlineStr">
        <is>
          <t>HX1 3LN</t>
        </is>
      </c>
      <c r="T104" s="5" t="inlineStr">
        <is>
          <t>Yorkshire &amp; Humber</t>
        </is>
      </c>
      <c r="U104" s="5" t="inlineStr">
        <is>
          <t>England</t>
        </is>
      </c>
      <c r="V104" s="5" t="inlineStr">
        <is>
          <t>01422 646060</t>
        </is>
      </c>
      <c r="W104" s="5" t="inlineStr"/>
      <c r="X104" s="5" t="inlineStr"/>
      <c r="Y104" s="5" t="inlineStr">
        <is>
          <t>info@cutpricebarrys.co.uk</t>
        </is>
      </c>
      <c r="Z104" s="5" t="inlineStr"/>
      <c r="AA104" s="5" t="inlineStr"/>
      <c r="AB104" s="5" t="inlineStr"/>
      <c r="AC104" s="5" t="inlineStr"/>
      <c r="AD104" s="5" t="inlineStr"/>
      <c r="AE104" s="5" t="inlineStr">
        <is>
          <t>11123434</t>
        </is>
      </c>
      <c r="AF104" s="5" t="inlineStr">
        <is>
          <t>Active - Active proposal to strike off</t>
        </is>
      </c>
      <c r="AG104" s="5" t="inlineStr">
        <is>
          <t>BARRY'S CASH &amp; CARRY LTD</t>
        </is>
      </c>
      <c r="AH104" s="5" t="inlineStr">
        <is>
          <t>163 King Cross Road, Halifax, United Kingdom, HX1 3LN</t>
        </is>
      </c>
      <c r="AI104" s="5" t="inlineStr">
        <is>
          <t>2017-12-22</t>
        </is>
      </c>
      <c r="AJ104" s="5" t="inlineStr"/>
      <c r="AK104" s="5" t="inlineStr">
        <is>
          <t>clearance food; drinks; novelty items; wholesale</t>
        </is>
      </c>
      <c r="AL104" s="5" t="inlineStr"/>
      <c r="AM104" s="5" t="inlineStr">
        <is>
          <t>Cash &amp; Carry</t>
        </is>
      </c>
      <c r="AN104" s="5" t="inlineStr"/>
      <c r="AO104" s="5"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104" s="5" t="inlineStr">
        <is>
          <t>High</t>
        </is>
      </c>
      <c r="AQ104" s="5" t="inlineStr">
        <is>
          <t>Independent retailer; Core relevant category; Public email available; Active website; Social presence</t>
        </is>
      </c>
      <c r="AR104" s="5" t="inlineStr">
        <is>
          <t>https://cutpricebarrys.co.uk/barrys-cash-and-carry/</t>
        </is>
      </c>
      <c r="AS104" s="5" t="inlineStr">
        <is>
          <t>https://find-and-update.company-information.service.gov.uk/company/11123434</t>
        </is>
      </c>
      <c r="AT104" s="5" t="inlineStr">
        <is>
          <t>5</t>
        </is>
      </c>
      <c r="AU104" s="5" t="inlineStr">
        <is>
          <t>No</t>
        </is>
      </c>
      <c r="AV104" s="5" t="inlineStr">
        <is>
          <t>No</t>
        </is>
      </c>
      <c r="AW104" s="5" t="inlineStr">
        <is>
          <t>No</t>
        </is>
      </c>
      <c r="AX104" s="5" t="inlineStr">
        <is>
          <t>Yes</t>
        </is>
      </c>
      <c r="AY104" s="5" t="inlineStr">
        <is>
          <t>Verified directory</t>
        </is>
      </c>
      <c r="AZ104" s="5" t="inlineStr">
        <is>
          <t>Unverified</t>
        </is>
      </c>
      <c r="BA104" s="5" t="inlineStr">
        <is>
          <t>2026-09-16</t>
        </is>
      </c>
      <c r="BB104" s="5" t="inlineStr">
        <is>
          <t>Partially Verified</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2026-09-16</t>
        </is>
      </c>
      <c r="BL104" s="5" t="inlineStr"/>
      <c r="BM104" s="5" t="inlineStr"/>
      <c r="BN104" s="5" t="inlineStr"/>
      <c r="BO104" s="5" t="inlineStr"/>
      <c r="BP104" s="5" t="inlineStr"/>
      <c r="BQ104" s="5" t="inlineStr"/>
    </row>
    <row r="105">
      <c r="A105" s="10" t="inlineStr">
        <is>
          <t>WY-0060</t>
        </is>
      </c>
      <c r="B105" s="10" t="inlineStr">
        <is>
          <t>WY-0060-01</t>
        </is>
      </c>
      <c r="C105" s="10" t="inlineStr"/>
      <c r="D105" s="10" t="inlineStr">
        <is>
          <t>Batley Bargain Centre</t>
        </is>
      </c>
      <c r="E105" s="10" t="inlineStr">
        <is>
          <t>Batley Bargain Centre</t>
        </is>
      </c>
      <c r="F105" s="10" t="inlineStr"/>
      <c r="G105" s="10" t="inlineStr">
        <is>
          <t>Other Relevant Retail</t>
        </is>
      </c>
      <c r="H105" s="10" t="inlineStr">
        <is>
          <t>Mobile phone and gadget store also selling vapes</t>
        </is>
      </c>
      <c r="I105" s="10" t="inlineStr">
        <is>
          <t>Independent</t>
        </is>
      </c>
      <c r="J105" s="10" t="inlineStr">
        <is>
          <t>1</t>
        </is>
      </c>
      <c r="K105" s="10" t="inlineStr">
        <is>
          <t>https://www.batleybargaincentre.com/</t>
        </is>
      </c>
      <c r="L105" s="10" t="inlineStr">
        <is>
          <t>https://www.facebook.com/p/Batley-bargain-centre-100089268260696/</t>
        </is>
      </c>
      <c r="M105" s="10" t="inlineStr">
        <is>
          <t>https://www.instagram.com/batleybargainscentre/</t>
        </is>
      </c>
      <c r="N105" s="10" t="inlineStr"/>
      <c r="O105" s="10" t="inlineStr"/>
      <c r="P105" s="10" t="inlineStr"/>
      <c r="Q105" s="10" t="inlineStr">
        <is>
          <t>Batley</t>
        </is>
      </c>
      <c r="R105" s="10" t="inlineStr">
        <is>
          <t>West Yorkshire</t>
        </is>
      </c>
      <c r="S105" s="10" t="inlineStr">
        <is>
          <t>WF17 5DA</t>
        </is>
      </c>
      <c r="T105" s="10" t="inlineStr">
        <is>
          <t>Yorkshire &amp; Humber</t>
        </is>
      </c>
      <c r="U105" s="10" t="inlineStr">
        <is>
          <t>England</t>
        </is>
      </c>
      <c r="V105" s="10" t="inlineStr">
        <is>
          <t>01924 475600</t>
        </is>
      </c>
      <c r="W105" s="10" t="inlineStr"/>
      <c r="X105" s="10" t="inlineStr"/>
      <c r="Y105" s="10" t="inlineStr">
        <is>
          <t>javorange@yahoo.co.uk</t>
        </is>
      </c>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vape products; mobile phones; gadgets</t>
        </is>
      </c>
      <c r="AL105" s="10" t="inlineStr"/>
      <c r="AM105" s="10" t="inlineStr">
        <is>
          <t>Other Relevant Retail</t>
        </is>
      </c>
      <c r="AN105" s="10" t="inlineStr"/>
      <c r="AO105" s="10" t="inlineStr">
        <is>
          <t>Own website describes it as a phone and gadget store with a vape shop offer; site fetch blocked by proxy so address/phone not captured.</t>
        </is>
      </c>
      <c r="AP105" s="10" t="inlineStr">
        <is>
          <t>Medium</t>
        </is>
      </c>
      <c r="AQ105" s="10" t="inlineStr">
        <is>
          <t>Independent retailer; Public email available; Active website; Social presence</t>
        </is>
      </c>
      <c r="AR105" s="10" t="inlineStr">
        <is>
          <t>https://www.batleybargaincentre.com/</t>
        </is>
      </c>
      <c r="AS105" s="10" t="inlineStr">
        <is>
          <t>https://www.misterwhat.co.uk/company/550608-batley-bargain-centre-batley</t>
        </is>
      </c>
      <c r="AT105" s="10" t="inlineStr">
        <is>
          <t>2</t>
        </is>
      </c>
      <c r="AU105" s="10" t="inlineStr">
        <is>
          <t>No</t>
        </is>
      </c>
      <c r="AV105" s="10" t="inlineStr">
        <is>
          <t>No</t>
        </is>
      </c>
      <c r="AW105" s="10" t="inlineStr">
        <is>
          <t>Yes</t>
        </is>
      </c>
      <c r="AX105" s="10" t="inlineStr">
        <is>
          <t>No</t>
        </is>
      </c>
      <c r="AY105" s="10" t="inlineStr">
        <is>
          <t>Verified directory</t>
        </is>
      </c>
      <c r="AZ105" s="10" t="inlineStr">
        <is>
          <t>Website Found</t>
        </is>
      </c>
      <c r="BA105" s="10" t="inlineStr">
        <is>
          <t>2026-09-16</t>
        </is>
      </c>
      <c r="BB105" s="10" t="inlineStr">
        <is>
          <t>Partially Verified</t>
        </is>
      </c>
      <c r="BC105" s="10" t="inlineStr">
        <is>
          <t>Medium</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2026-09-16</t>
        </is>
      </c>
      <c r="BJ105" s="10" t="inlineStr">
        <is>
          <t>New</t>
        </is>
      </c>
      <c r="BK105" s="10" t="inlineStr">
        <is>
          <t>2026-09-16</t>
        </is>
      </c>
      <c r="BL105" s="10" t="inlineStr"/>
      <c r="BM105" s="10" t="inlineStr"/>
      <c r="BN105" s="10" t="inlineStr"/>
      <c r="BO105" s="10" t="inlineStr"/>
      <c r="BP105" s="10" t="inlineStr"/>
      <c r="BQ105" s="10" t="inlineStr"/>
    </row>
    <row r="106">
      <c r="A106" s="5" t="inlineStr">
        <is>
          <t>WY-0061</t>
        </is>
      </c>
      <c r="B106" s="5" t="inlineStr">
        <is>
          <t>WY-0061-01</t>
        </is>
      </c>
      <c r="C106" s="5" t="inlineStr"/>
      <c r="D106" s="5" t="inlineStr">
        <is>
          <t>Beer Ritz</t>
        </is>
      </c>
      <c r="E106" s="5" t="inlineStr">
        <is>
          <t>Beer Ritz</t>
        </is>
      </c>
      <c r="F106" s="5" t="inlineStr"/>
      <c r="G106" s="5" t="inlineStr">
        <is>
          <t>Off-Licence</t>
        </is>
      </c>
      <c r="H106" s="5" t="inlineStr">
        <is>
          <t>Specialist craft beer off-licence</t>
        </is>
      </c>
      <c r="I106" s="5" t="inlineStr">
        <is>
          <t>Independent</t>
        </is>
      </c>
      <c r="J106" s="5" t="inlineStr">
        <is>
          <t>1</t>
        </is>
      </c>
      <c r="K106" s="5" t="inlineStr">
        <is>
          <t>https://www.beerritz.co.uk/</t>
        </is>
      </c>
      <c r="L106" s="5" t="inlineStr">
        <is>
          <t>https://www.facebook.com/beerritz/</t>
        </is>
      </c>
      <c r="M106" s="5" t="inlineStr">
        <is>
          <t>https://www.instagram.com/beerritzleeds/</t>
        </is>
      </c>
      <c r="N106" s="5" t="inlineStr">
        <is>
          <t>https://x.com/beerritzleeds</t>
        </is>
      </c>
      <c r="O106" s="5" t="inlineStr">
        <is>
          <t>14 Weetwood Lane</t>
        </is>
      </c>
      <c r="P106" s="5" t="inlineStr">
        <is>
          <t>Far Headingley</t>
        </is>
      </c>
      <c r="Q106" s="5" t="inlineStr">
        <is>
          <t>Leeds</t>
        </is>
      </c>
      <c r="R106" s="5" t="inlineStr">
        <is>
          <t>West Yorkshire</t>
        </is>
      </c>
      <c r="S106" s="5" t="inlineStr">
        <is>
          <t>LS16 5LX</t>
        </is>
      </c>
      <c r="T106" s="5" t="inlineStr">
        <is>
          <t>Yorkshire &amp; Humber</t>
        </is>
      </c>
      <c r="U106" s="5" t="inlineStr">
        <is>
          <t>England</t>
        </is>
      </c>
      <c r="V106" s="5" t="inlineStr">
        <is>
          <t>0113 275 3464</t>
        </is>
      </c>
      <c r="W106" s="5" t="inlineStr"/>
      <c r="X106" s="5" t="inlineStr"/>
      <c r="Y106" s="5" t="inlineStr"/>
      <c r="Z106" s="5" t="inlineStr">
        <is>
          <t>sales@beerritz.co.uk</t>
        </is>
      </c>
      <c r="AA106" s="5" t="inlineStr"/>
      <c r="AB106" s="5" t="inlineStr"/>
      <c r="AC106" s="5" t="inlineStr"/>
      <c r="AD106" s="5" t="inlineStr"/>
      <c r="AE106" s="5" t="inlineStr"/>
      <c r="AF106" s="5" t="inlineStr"/>
      <c r="AG106" s="5" t="inlineStr"/>
      <c r="AH106" s="5" t="inlineStr"/>
      <c r="AI106" s="5" t="inlineStr"/>
      <c r="AJ106" s="5" t="inlineStr"/>
      <c r="AK106" s="5" t="inlineStr">
        <is>
          <t>craft beer; bottled beer; wine; spirits</t>
        </is>
      </c>
      <c r="AL106" s="5" t="inlineStr"/>
      <c r="AM106" s="5" t="inlineStr">
        <is>
          <t>Off-Licence</t>
        </is>
      </c>
      <c r="AN106" s="5" t="inlineStr"/>
      <c r="AO106" s="5" t="inlineStr">
        <is>
          <t>Well-known specialist beer shop in Far Headingley with online store; open 12:00-21:00 daily.</t>
        </is>
      </c>
      <c r="AP106" s="5" t="inlineStr">
        <is>
          <t>High</t>
        </is>
      </c>
      <c r="AQ106" s="5" t="inlineStr">
        <is>
          <t>Independent retailer; Relevant category; Public trade/sales contact; Active website; Social presence</t>
        </is>
      </c>
      <c r="AR106" s="5" t="inlineStr">
        <is>
          <t>https://www.beerritz.co.uk/contact-us</t>
        </is>
      </c>
      <c r="AS106" s="5" t="inlineStr">
        <is>
          <t>https://www.yelp.co.uk/biz/beer-ritz-leeds</t>
        </is>
      </c>
      <c r="AT106" s="5" t="inlineStr">
        <is>
          <t>3</t>
        </is>
      </c>
      <c r="AU106" s="5" t="inlineStr">
        <is>
          <t>No</t>
        </is>
      </c>
      <c r="AV106" s="5" t="inlineStr">
        <is>
          <t>No</t>
        </is>
      </c>
      <c r="AW106" s="5" t="inlineStr">
        <is>
          <t>Yes</t>
        </is>
      </c>
      <c r="AX106" s="5" t="inlineStr">
        <is>
          <t>No</t>
        </is>
      </c>
      <c r="AY106" s="5" t="inlineStr">
        <is>
          <t>Verified directory</t>
        </is>
      </c>
      <c r="AZ106" s="5" t="inlineStr">
        <is>
          <t>Website Found</t>
        </is>
      </c>
      <c r="BA106" s="5" t="inlineStr">
        <is>
          <t>2026-09-16</t>
        </is>
      </c>
      <c r="BB106" s="5" t="inlineStr">
        <is>
          <t>Partially Verified</t>
        </is>
      </c>
      <c r="BC106" s="5" t="inlineStr">
        <is>
          <t>Medium</t>
        </is>
      </c>
      <c r="BD106" s="5" t="inlineStr"/>
      <c r="BE106" s="5" t="inlineStr">
        <is>
          <t>Business (B2B)</t>
        </is>
      </c>
      <c r="BF106" s="5" t="inlineStr">
        <is>
          <t>Legitimate interest (B2B) - assess per campaign; PECR: corporate subscribers</t>
        </is>
      </c>
      <c r="BG106" s="5" t="inlineStr"/>
      <c r="BH106" s="5" t="inlineStr">
        <is>
          <t>No</t>
        </is>
      </c>
      <c r="BI106" s="5" t="inlineStr">
        <is>
          <t>2026-09-16</t>
        </is>
      </c>
      <c r="BJ106" s="5" t="inlineStr">
        <is>
          <t>New</t>
        </is>
      </c>
      <c r="BK106" s="5" t="inlineStr">
        <is>
          <t>2026-09-16</t>
        </is>
      </c>
      <c r="BL106" s="5" t="inlineStr"/>
      <c r="BM106" s="5" t="inlineStr"/>
      <c r="BN106" s="5" t="inlineStr"/>
      <c r="BO106" s="5" t="inlineStr"/>
      <c r="BP106" s="5" t="inlineStr"/>
      <c r="BQ106" s="5" t="inlineStr"/>
    </row>
    <row r="107">
      <c r="A107" s="10" t="inlineStr">
        <is>
          <t>WY-0062</t>
        </is>
      </c>
      <c r="B107" s="10" t="inlineStr">
        <is>
          <t>WY-0062-01</t>
        </is>
      </c>
      <c r="C107" s="10" t="inlineStr"/>
      <c r="D107" s="10" t="inlineStr">
        <is>
          <t>Bespoke Shisha</t>
        </is>
      </c>
      <c r="E107" s="10" t="inlineStr">
        <is>
          <t>Bespoke Shisha</t>
        </is>
      </c>
      <c r="F107" s="10" t="inlineStr"/>
      <c r="G107" s="10" t="inlineStr">
        <is>
          <t>Smoke / Shisha Shop</t>
        </is>
      </c>
      <c r="H107" s="10" t="inlineStr">
        <is>
          <t>Shisha supplies</t>
        </is>
      </c>
      <c r="I107" s="10" t="inlineStr">
        <is>
          <t>Independent</t>
        </is>
      </c>
      <c r="J107" s="10" t="inlineStr">
        <is>
          <t>1</t>
        </is>
      </c>
      <c r="K107" s="10" t="inlineStr"/>
      <c r="L107" s="10" t="inlineStr"/>
      <c r="M107" s="10" t="inlineStr"/>
      <c r="N107" s="10" t="inlineStr"/>
      <c r="O107" s="10" t="inlineStr">
        <is>
          <t>40 Low Road</t>
        </is>
      </c>
      <c r="P107" s="10" t="inlineStr"/>
      <c r="Q107" s="10" t="inlineStr">
        <is>
          <t>Dewsbury</t>
        </is>
      </c>
      <c r="R107" s="10" t="inlineStr">
        <is>
          <t>West Yorkshire</t>
        </is>
      </c>
      <c r="S107" s="10" t="inlineStr">
        <is>
          <t>WF13 3PP</t>
        </is>
      </c>
      <c r="T107" s="10" t="inlineStr">
        <is>
          <t>Yorkshire &amp; Humber</t>
        </is>
      </c>
      <c r="U107" s="10" t="inlineStr">
        <is>
          <t>England</t>
        </is>
      </c>
      <c r="V107" s="10" t="inlineStr"/>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shisha pipes; shisha flavours; smoking accessories</t>
        </is>
      </c>
      <c r="AL107" s="10" t="inlineStr"/>
      <c r="AM107" s="10" t="inlineStr">
        <is>
          <t>Smoke / Shisha Shop</t>
        </is>
      </c>
      <c r="AN107" s="10" t="inlineStr"/>
      <c r="AO107" s="10" t="inlineStr">
        <is>
          <t>Single directory listing (Suitable For Vegetarian business directory) giving full address; no phone or website found.</t>
        </is>
      </c>
      <c r="AP107" s="10" t="inlineStr">
        <is>
          <t>Medium</t>
        </is>
      </c>
      <c r="AQ107" s="10" t="inlineStr">
        <is>
          <t>Independent retailer; Core relevant category</t>
        </is>
      </c>
      <c r="AR107" s="10" t="inlineStr">
        <is>
          <t>https://suitableforvegetarian.com/business/detail/bespoke-shisha</t>
        </is>
      </c>
      <c r="AS107" s="10" t="inlineStr"/>
      <c r="AT107" s="10" t="inlineStr">
        <is>
          <t>1</t>
        </is>
      </c>
      <c r="AU107" s="10" t="inlineStr">
        <is>
          <t>No</t>
        </is>
      </c>
      <c r="AV107" s="10" t="inlineStr">
        <is>
          <t>No</t>
        </is>
      </c>
      <c r="AW107" s="10" t="inlineStr">
        <is>
          <t>No</t>
        </is>
      </c>
      <c r="AX107" s="10" t="inlineStr">
        <is>
          <t>No</t>
        </is>
      </c>
      <c r="AY107" s="10" t="inlineStr">
        <is>
          <t>Not Found</t>
        </is>
      </c>
      <c r="AZ107" s="10" t="inlineStr">
        <is>
          <t>Not Found</t>
        </is>
      </c>
      <c r="BA107" s="10" t="inlineStr">
        <is>
          <t>2026-09-16</t>
        </is>
      </c>
      <c r="BB107" s="10" t="inlineStr">
        <is>
          <t>Requires Verification</t>
        </is>
      </c>
      <c r="BC107" s="10" t="inlineStr">
        <is>
          <t>Low</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2026-09-16</t>
        </is>
      </c>
      <c r="BJ107" s="10" t="inlineStr">
        <is>
          <t>New</t>
        </is>
      </c>
      <c r="BK107" s="10" t="inlineStr">
        <is>
          <t>2026-09-16</t>
        </is>
      </c>
      <c r="BL107" s="10" t="inlineStr"/>
      <c r="BM107" s="10" t="inlineStr"/>
      <c r="BN107" s="10" t="inlineStr"/>
      <c r="BO107" s="10" t="inlineStr"/>
      <c r="BP107" s="10" t="inlineStr"/>
      <c r="BQ107" s="10" t="inlineStr"/>
    </row>
    <row r="108">
      <c r="A108" s="5" t="inlineStr">
        <is>
          <t>WY-0063</t>
        </is>
      </c>
      <c r="B108" s="5" t="inlineStr">
        <is>
          <t>WY-0063-01</t>
        </is>
      </c>
      <c r="C108" s="5" t="inlineStr"/>
      <c r="D108" s="5" t="inlineStr">
        <is>
          <t>Best Choice Wholesale</t>
        </is>
      </c>
      <c r="E108" s="5" t="inlineStr">
        <is>
          <t>Best Choice Wholesale</t>
        </is>
      </c>
      <c r="F108" s="5" t="inlineStr"/>
      <c r="G108" s="5" t="inlineStr">
        <is>
          <t>Cash &amp; Carry</t>
        </is>
      </c>
      <c r="H108" s="5" t="inlineStr">
        <is>
          <t>General cash &amp; carry supplying convenience retailers</t>
        </is>
      </c>
      <c r="I108" s="5" t="inlineStr">
        <is>
          <t>Independent</t>
        </is>
      </c>
      <c r="J108" s="5" t="inlineStr">
        <is>
          <t>1</t>
        </is>
      </c>
      <c r="K108" s="5" t="inlineStr">
        <is>
          <t>https://www.bestchoicewholesale.co.uk/</t>
        </is>
      </c>
      <c r="L108" s="5" t="inlineStr"/>
      <c r="M108" s="5" t="inlineStr"/>
      <c r="N108" s="5" t="inlineStr"/>
      <c r="O108" s="5" t="inlineStr">
        <is>
          <t>Unit 5, Sheepscar House, Sheepscar Street South</t>
        </is>
      </c>
      <c r="P108" s="5" t="inlineStr">
        <is>
          <t>Sheepscar</t>
        </is>
      </c>
      <c r="Q108" s="5" t="inlineStr">
        <is>
          <t>Leeds</t>
        </is>
      </c>
      <c r="R108" s="5" t="inlineStr">
        <is>
          <t>West Yorkshire</t>
        </is>
      </c>
      <c r="S108" s="5" t="inlineStr">
        <is>
          <t>LS7 1AD</t>
        </is>
      </c>
      <c r="T108" s="5" t="inlineStr">
        <is>
          <t>Yorkshire &amp; Humber</t>
        </is>
      </c>
      <c r="U108" s="5" t="inlineStr">
        <is>
          <t>England</t>
        </is>
      </c>
      <c r="V108" s="5" t="inlineStr">
        <is>
          <t>0113 531 6345</t>
        </is>
      </c>
      <c r="W108" s="5" t="inlineStr"/>
      <c r="X108" s="5" t="inlineStr"/>
      <c r="Y108" s="5" t="inlineStr">
        <is>
          <t>info@bestchoicewholesale.co.uk</t>
        </is>
      </c>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food and drink; smoking accessories; vapes; household; cleaning; sweets; shop supplies</t>
        </is>
      </c>
      <c r="AL108" s="5" t="inlineStr"/>
      <c r="AM108" s="5" t="inlineStr">
        <is>
          <t>Cash &amp; Carry</t>
        </is>
      </c>
      <c r="AN108" s="5" t="inlineStr"/>
      <c r="AO108"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108" s="5" t="inlineStr">
        <is>
          <t>High</t>
        </is>
      </c>
      <c r="AQ108" s="5" t="inlineStr">
        <is>
          <t>Independent retailer; Core relevant category; Public email available; Active website; Phone verified on official website</t>
        </is>
      </c>
      <c r="AR108" s="5" t="inlineStr">
        <is>
          <t>https://www.bestchoicewholesale.co.uk/contact-us/</t>
        </is>
      </c>
      <c r="AS108" s="5" t="inlineStr">
        <is>
          <t>https://www.yell.com/biz/best-choice-wholesale-leeds-9089835/</t>
        </is>
      </c>
      <c r="AT108" s="5" t="inlineStr">
        <is>
          <t>3</t>
        </is>
      </c>
      <c r="AU108" s="5" t="inlineStr">
        <is>
          <t>No</t>
        </is>
      </c>
      <c r="AV108" s="5" t="inlineStr">
        <is>
          <t>No</t>
        </is>
      </c>
      <c r="AW108" s="5" t="inlineStr">
        <is>
          <t>No</t>
        </is>
      </c>
      <c r="AX108" s="5" t="inlineStr">
        <is>
          <t>No</t>
        </is>
      </c>
      <c r="AY108" s="5" t="inlineStr">
        <is>
          <t>Verified on official website</t>
        </is>
      </c>
      <c r="AZ108" s="5" t="inlineStr">
        <is>
          <t>Publicly Listed</t>
        </is>
      </c>
      <c r="BA108" s="5" t="inlineStr">
        <is>
          <t>2026-09-16</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2026-09-16</t>
        </is>
      </c>
      <c r="BJ108" s="5" t="inlineStr">
        <is>
          <t>New</t>
        </is>
      </c>
      <c r="BK108" s="5" t="inlineStr">
        <is>
          <t>2026-09-16</t>
        </is>
      </c>
      <c r="BL108" s="5" t="inlineStr"/>
      <c r="BM108" s="5" t="inlineStr"/>
      <c r="BN108" s="5" t="inlineStr"/>
      <c r="BO108" s="5" t="inlineStr"/>
      <c r="BP108" s="5" t="inlineStr"/>
      <c r="BQ108" s="5" t="inlineStr"/>
    </row>
    <row r="109">
      <c r="A109" s="10" t="inlineStr">
        <is>
          <t>UK-000238</t>
        </is>
      </c>
      <c r="B109" s="10" t="inlineStr">
        <is>
          <t>UK-000238-01</t>
        </is>
      </c>
      <c r="C109" s="10" t="inlineStr"/>
      <c r="D109" s="10" t="inlineStr">
        <is>
          <t>Beverley International Foods</t>
        </is>
      </c>
      <c r="E109" s="10" t="inlineStr">
        <is>
          <t>Beverley International Foods</t>
        </is>
      </c>
      <c r="F109" s="10" t="inlineStr"/>
      <c r="G109" s="10" t="inlineStr">
        <is>
          <t>Independent Supermarket</t>
        </is>
      </c>
      <c r="H109" s="10" t="inlineStr">
        <is>
          <t>International / Polish foods supermarket</t>
        </is>
      </c>
      <c r="I109" s="10" t="inlineStr">
        <is>
          <t>Independent</t>
        </is>
      </c>
      <c r="J109" s="10" t="inlineStr">
        <is>
          <t>1</t>
        </is>
      </c>
      <c r="K109" s="10" t="inlineStr"/>
      <c r="L109" s="10" t="inlineStr"/>
      <c r="M109" s="10" t="inlineStr"/>
      <c r="N109" s="10" t="inlineStr"/>
      <c r="O109" s="10" t="inlineStr">
        <is>
          <t>Beverley Road</t>
        </is>
      </c>
      <c r="P109" s="10" t="inlineStr"/>
      <c r="Q109" s="10" t="inlineStr">
        <is>
          <t>Kingston upon Hull</t>
        </is>
      </c>
      <c r="R109" s="10" t="inlineStr">
        <is>
          <t>East Riding of Yorkshire</t>
        </is>
      </c>
      <c r="S109" s="10" t="inlineStr"/>
      <c r="T109" s="10" t="inlineStr">
        <is>
          <t>Yorkshire &amp; Humber</t>
        </is>
      </c>
      <c r="U109" s="10" t="inlineStr">
        <is>
          <t>England</t>
        </is>
      </c>
      <c r="V109" s="10" t="inlineStr"/>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Polish foods; world foods; groceries</t>
        </is>
      </c>
      <c r="AL109" s="10" t="inlineStr"/>
      <c r="AM109" s="10" t="inlineStr">
        <is>
          <t>Independent Supermarket</t>
        </is>
      </c>
      <c r="AN109" s="10" t="inlineStr"/>
      <c r="AO109" s="10" t="inlineStr">
        <is>
          <t>Independent international/Polish supermarket on Beverley Road, Hull. No postcode/phone in search results.</t>
        </is>
      </c>
      <c r="AP109" s="10" t="inlineStr">
        <is>
          <t>Low</t>
        </is>
      </c>
      <c r="AQ109" s="10" t="inlineStr">
        <is>
          <t>Independent retailer; Relevant category</t>
        </is>
      </c>
      <c r="AR109" s="10" t="inlineStr">
        <is>
          <t>https://www.yorkshire.com/hull/shopping/supermarkets/beverley-international-foods</t>
        </is>
      </c>
      <c r="AS109" s="10" t="inlineStr"/>
      <c r="AT109" s="10" t="inlineStr">
        <is>
          <t>1</t>
        </is>
      </c>
      <c r="AU109" s="10" t="inlineStr">
        <is>
          <t>No</t>
        </is>
      </c>
      <c r="AV109" s="10" t="inlineStr">
        <is>
          <t>No</t>
        </is>
      </c>
      <c r="AW109" s="10" t="inlineStr">
        <is>
          <t>No</t>
        </is>
      </c>
      <c r="AX109" s="10" t="inlineStr">
        <is>
          <t>No</t>
        </is>
      </c>
      <c r="AY109" s="10" t="inlineStr">
        <is>
          <t>Not Found</t>
        </is>
      </c>
      <c r="AZ109" s="10" t="inlineStr">
        <is>
          <t>Not Found</t>
        </is>
      </c>
      <c r="BA109" s="10" t="inlineStr">
        <is>
          <t>2026-09-16</t>
        </is>
      </c>
      <c r="BB109" s="10" t="inlineStr">
        <is>
          <t>Requires Verification</t>
        </is>
      </c>
      <c r="BC109" s="10" t="inlineStr">
        <is>
          <t>Low</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2026-09-16</t>
        </is>
      </c>
      <c r="BJ109" s="10" t="inlineStr">
        <is>
          <t>New</t>
        </is>
      </c>
      <c r="BK109" s="10" t="inlineStr">
        <is>
          <t>2026-09-16</t>
        </is>
      </c>
      <c r="BL109" s="10" t="inlineStr"/>
      <c r="BM109" s="10" t="inlineStr"/>
      <c r="BN109" s="10" t="inlineStr"/>
      <c r="BO109" s="10" t="inlineStr"/>
      <c r="BP109" s="10" t="inlineStr"/>
      <c r="BQ109" s="10" t="inlineStr"/>
    </row>
    <row r="110">
      <c r="A110" s="5" t="inlineStr">
        <is>
          <t>WY-0064</t>
        </is>
      </c>
      <c r="B110" s="5" t="inlineStr">
        <is>
          <t>WY-0064-01</t>
        </is>
      </c>
      <c r="C110" s="5" t="inlineStr"/>
      <c r="D110" s="5" t="inlineStr">
        <is>
          <t>Big D Vapes</t>
        </is>
      </c>
      <c r="E110" s="5" t="inlineStr">
        <is>
          <t>Big D Vapes &amp; Dry Herb Vape Lounge</t>
        </is>
      </c>
      <c r="F110" s="5" t="inlineStr">
        <is>
          <t>Big D Vapes Ltd</t>
        </is>
      </c>
      <c r="G110" s="5" t="inlineStr">
        <is>
          <t>Vape Shop</t>
        </is>
      </c>
      <c r="H110" s="5" t="inlineStr">
        <is>
          <t>Vape shop and dry herb vape lounge</t>
        </is>
      </c>
      <c r="I110" s="5" t="inlineStr">
        <is>
          <t>Independent</t>
        </is>
      </c>
      <c r="J110" s="5" t="inlineStr">
        <is>
          <t>1</t>
        </is>
      </c>
      <c r="K110" s="5" t="inlineStr"/>
      <c r="L110" s="5" t="inlineStr">
        <is>
          <t>https://www.facebook.com/BigDVapesSlaithwaite</t>
        </is>
      </c>
      <c r="M110" s="5" t="inlineStr"/>
      <c r="N110" s="5" t="inlineStr"/>
      <c r="O110" s="5" t="inlineStr">
        <is>
          <t>1139 Manchester Road</t>
        </is>
      </c>
      <c r="P110" s="5" t="inlineStr"/>
      <c r="Q110" s="5" t="inlineStr">
        <is>
          <t>Slaithwaite</t>
        </is>
      </c>
      <c r="R110" s="5" t="inlineStr">
        <is>
          <t>West Yorkshire</t>
        </is>
      </c>
      <c r="S110" s="5" t="inlineStr">
        <is>
          <t>HD7 5LU</t>
        </is>
      </c>
      <c r="T110" s="5" t="inlineStr">
        <is>
          <t>Yorkshire &amp; Humber</t>
        </is>
      </c>
      <c r="U110" s="5" t="inlineStr">
        <is>
          <t>England</t>
        </is>
      </c>
      <c r="V110" s="5" t="inlineStr">
        <is>
          <t>01484 843253</t>
        </is>
      </c>
      <c r="W110" s="5" t="inlineStr"/>
      <c r="X110" s="5" t="inlineStr"/>
      <c r="Y110" s="5" t="inlineStr"/>
      <c r="Z110" s="5" t="inlineStr"/>
      <c r="AA110" s="5" t="inlineStr"/>
      <c r="AB110" s="5" t="inlineStr"/>
      <c r="AC110" s="5" t="inlineStr"/>
      <c r="AD110" s="5" t="inlineStr"/>
      <c r="AE110" s="5" t="inlineStr">
        <is>
          <t>12029439</t>
        </is>
      </c>
      <c r="AF110" s="5" t="inlineStr"/>
      <c r="AG110" s="5" t="inlineStr">
        <is>
          <t>BIG D VAPES LTD</t>
        </is>
      </c>
      <c r="AH110" s="5" t="inlineStr"/>
      <c r="AI110" s="5" t="inlineStr"/>
      <c r="AJ110" s="5" t="inlineStr"/>
      <c r="AK110" s="5" t="inlineStr">
        <is>
          <t>vape hardware; e-liquids; dry herb vaporisers</t>
        </is>
      </c>
      <c r="AL110" s="5" t="inlineStr"/>
      <c r="AM110" s="5" t="inlineStr">
        <is>
          <t>Vape Shop</t>
        </is>
      </c>
      <c r="AN110" s="5" t="inlineStr"/>
      <c r="AO110" s="5"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110" s="5" t="inlineStr">
        <is>
          <t>Medium</t>
        </is>
      </c>
      <c r="AQ110" s="5" t="inlineStr">
        <is>
          <t>Independent retailer; Core relevant category; Social presence</t>
        </is>
      </c>
      <c r="AR110" s="5" t="inlineStr">
        <is>
          <t>https://find-and-update.company-information.service.gov.uk/company/12029439</t>
        </is>
      </c>
      <c r="AS110" s="5" t="inlineStr">
        <is>
          <t>https://www.facebook.com/BigDVapesSlaithwaite</t>
        </is>
      </c>
      <c r="AT110" s="5" t="inlineStr">
        <is>
          <t>4</t>
        </is>
      </c>
      <c r="AU110" s="5" t="inlineStr">
        <is>
          <t>No</t>
        </is>
      </c>
      <c r="AV110" s="5" t="inlineStr">
        <is>
          <t>No</t>
        </is>
      </c>
      <c r="AW110" s="5" t="inlineStr">
        <is>
          <t>No</t>
        </is>
      </c>
      <c r="AX110" s="5" t="inlineStr">
        <is>
          <t>No</t>
        </is>
      </c>
      <c r="AY110" s="5" t="inlineStr">
        <is>
          <t>Verified directory</t>
        </is>
      </c>
      <c r="AZ110" s="5" t="inlineStr">
        <is>
          <t>Not Found</t>
        </is>
      </c>
      <c r="BA110" s="5" t="inlineStr">
        <is>
          <t>2026-09-16</t>
        </is>
      </c>
      <c r="BB110" s="5" t="inlineStr">
        <is>
          <t>Requires Verification</t>
        </is>
      </c>
      <c r="BC110" s="5" t="inlineStr">
        <is>
          <t>Medium</t>
        </is>
      </c>
      <c r="BD110" s="5" t="inlineStr"/>
      <c r="BE110" s="5" t="inlineStr">
        <is>
          <t>Business (B2B)</t>
        </is>
      </c>
      <c r="BF110" s="5" t="inlineStr">
        <is>
          <t>Legitimate interest (B2B) - assess per campaign; PECR: corporate subscribers</t>
        </is>
      </c>
      <c r="BG110" s="5" t="inlineStr"/>
      <c r="BH110" s="5" t="inlineStr">
        <is>
          <t>No</t>
        </is>
      </c>
      <c r="BI110" s="5" t="inlineStr">
        <is>
          <t>2026-09-16</t>
        </is>
      </c>
      <c r="BJ110" s="5" t="inlineStr">
        <is>
          <t>New</t>
        </is>
      </c>
      <c r="BK110" s="5" t="inlineStr">
        <is>
          <t>2026-09-16</t>
        </is>
      </c>
      <c r="BL110" s="5" t="inlineStr"/>
      <c r="BM110" s="5" t="inlineStr"/>
      <c r="BN110" s="5" t="inlineStr"/>
      <c r="BO110" s="5" t="inlineStr"/>
      <c r="BP110" s="5" t="inlineStr"/>
      <c r="BQ110" s="5" t="inlineStr"/>
    </row>
    <row r="111">
      <c r="A111" s="10" t="inlineStr">
        <is>
          <t>WY-0065</t>
        </is>
      </c>
      <c r="B111" s="10" t="inlineStr">
        <is>
          <t>WY-0065-01</t>
        </is>
      </c>
      <c r="C111" s="10" t="inlineStr"/>
      <c r="D111" s="10" t="inlineStr">
        <is>
          <t>Bingley Vape Shop</t>
        </is>
      </c>
      <c r="E111" s="10" t="inlineStr">
        <is>
          <t>Bingley Vape Shop</t>
        </is>
      </c>
      <c r="F111" s="10" t="inlineStr">
        <is>
          <t>Bingley Vape Shop Ltd</t>
        </is>
      </c>
      <c r="G111" s="10" t="inlineStr">
        <is>
          <t>Vape Shop</t>
        </is>
      </c>
      <c r="H111" s="10" t="inlineStr">
        <is>
          <t>Vape shop, e-cigs, smoking accessories, phone cases</t>
        </is>
      </c>
      <c r="I111" s="10" t="inlineStr">
        <is>
          <t>Independent</t>
        </is>
      </c>
      <c r="J111" s="10" t="inlineStr">
        <is>
          <t>1</t>
        </is>
      </c>
      <c r="K111" s="10" t="inlineStr"/>
      <c r="L111" s="10" t="inlineStr">
        <is>
          <t>https://www.facebook.com/BingleyVapeShop/</t>
        </is>
      </c>
      <c r="M111" s="10" t="inlineStr"/>
      <c r="N111" s="10" t="inlineStr"/>
      <c r="O111" s="10" t="inlineStr">
        <is>
          <t>67-69 Main Street</t>
        </is>
      </c>
      <c r="P111" s="10" t="inlineStr"/>
      <c r="Q111" s="10" t="inlineStr">
        <is>
          <t>Bingley</t>
        </is>
      </c>
      <c r="R111" s="10" t="inlineStr">
        <is>
          <t>West Yorkshire</t>
        </is>
      </c>
      <c r="S111" s="10" t="inlineStr">
        <is>
          <t>BD16 2JA</t>
        </is>
      </c>
      <c r="T111" s="10" t="inlineStr">
        <is>
          <t>Yorkshire &amp; Humber</t>
        </is>
      </c>
      <c r="U111" s="10" t="inlineStr">
        <is>
          <t>England</t>
        </is>
      </c>
      <c r="V111" s="10" t="inlineStr">
        <is>
          <t>01535 213290</t>
        </is>
      </c>
      <c r="W111" s="10" t="inlineStr"/>
      <c r="X111" s="10" t="inlineStr"/>
      <c r="Y111" s="10" t="inlineStr"/>
      <c r="Z111" s="10" t="inlineStr"/>
      <c r="AA111" s="10" t="inlineStr"/>
      <c r="AB111" s="10" t="inlineStr"/>
      <c r="AC111" s="10" t="inlineStr"/>
      <c r="AD111" s="10" t="inlineStr"/>
      <c r="AE111" s="10" t="inlineStr">
        <is>
          <t>11788618</t>
        </is>
      </c>
      <c r="AF111" s="10" t="inlineStr"/>
      <c r="AG111" s="10" t="inlineStr">
        <is>
          <t>BINGLEY VAPE SHOP LTD</t>
        </is>
      </c>
      <c r="AH111" s="10" t="inlineStr">
        <is>
          <t>67-69 Main Street, Bingley, West Yorkshire, BD16 2JA</t>
        </is>
      </c>
      <c r="AI111" s="10" t="inlineStr"/>
      <c r="AJ111" s="10" t="inlineStr"/>
      <c r="AK111" s="10" t="inlineStr">
        <is>
          <t>vape hardware; e-liquids; smoking accessories</t>
        </is>
      </c>
      <c r="AL111" s="10" t="inlineStr"/>
      <c r="AM111" s="10" t="inlineStr">
        <is>
          <t>Vape Shop</t>
        </is>
      </c>
      <c r="AN111" s="10" t="inlineStr"/>
      <c r="AO111" s="10" t="inlineStr">
        <is>
          <t>Registered office matches the shop address (per Companies House search snippet). Phone taken from search-result summary of its Facebook/directory listing - confirm before use.</t>
        </is>
      </c>
      <c r="AP111" s="10" t="inlineStr">
        <is>
          <t>Medium</t>
        </is>
      </c>
      <c r="AQ111" s="10" t="inlineStr">
        <is>
          <t>Independent retailer; Core relevant category; Social presence</t>
        </is>
      </c>
      <c r="AR111" s="10" t="inlineStr">
        <is>
          <t>https://find-and-update.company-information.service.gov.uk/company/11788618</t>
        </is>
      </c>
      <c r="AS111" s="10" t="inlineStr">
        <is>
          <t>https://www.facebook.com/BingleyVapeShop/</t>
        </is>
      </c>
      <c r="AT111" s="10" t="inlineStr">
        <is>
          <t>2</t>
        </is>
      </c>
      <c r="AU111" s="10" t="inlineStr">
        <is>
          <t>No</t>
        </is>
      </c>
      <c r="AV111" s="10" t="inlineStr">
        <is>
          <t>No</t>
        </is>
      </c>
      <c r="AW111" s="10" t="inlineStr">
        <is>
          <t>No</t>
        </is>
      </c>
      <c r="AX111" s="10" t="inlineStr">
        <is>
          <t>Yes</t>
        </is>
      </c>
      <c r="AY111" s="10" t="inlineStr">
        <is>
          <t>Unverified</t>
        </is>
      </c>
      <c r="AZ111" s="10" t="inlineStr">
        <is>
          <t>Not Found</t>
        </is>
      </c>
      <c r="BA111" s="10" t="inlineStr">
        <is>
          <t>2026-09-16</t>
        </is>
      </c>
      <c r="BB111" s="10" t="inlineStr">
        <is>
          <t>Partially Verified</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2026-09-16</t>
        </is>
      </c>
      <c r="BL111" s="10" t="inlineStr"/>
      <c r="BM111" s="10" t="inlineStr"/>
      <c r="BN111" s="10" t="inlineStr"/>
      <c r="BO111" s="10" t="inlineStr"/>
      <c r="BP111" s="10" t="inlineStr"/>
      <c r="BQ111" s="10" t="inlineStr"/>
    </row>
    <row r="112">
      <c r="A112" s="5" t="inlineStr">
        <is>
          <t>WY-0066</t>
        </is>
      </c>
      <c r="B112" s="5" t="inlineStr">
        <is>
          <t>WY-0066-01</t>
        </is>
      </c>
      <c r="C112" s="5" t="inlineStr"/>
      <c r="D112" s="5" t="inlineStr">
        <is>
          <t>Boothtown Post Office &amp; Off-Licence</t>
        </is>
      </c>
      <c r="E112" s="5" t="inlineStr">
        <is>
          <t>Boothtown Post Office &amp; Off-Licence</t>
        </is>
      </c>
      <c r="F112" s="5" t="inlineStr"/>
      <c r="G112" s="5" t="inlineStr">
        <is>
          <t>Off-Licence</t>
        </is>
      </c>
      <c r="H112" s="5" t="inlineStr">
        <is>
          <t>Off-licence with post office counter</t>
        </is>
      </c>
      <c r="I112" s="5" t="inlineStr">
        <is>
          <t>Independent</t>
        </is>
      </c>
      <c r="J112" s="5" t="inlineStr">
        <is>
          <t>1</t>
        </is>
      </c>
      <c r="K112" s="5" t="inlineStr"/>
      <c r="L112" s="5" t="inlineStr"/>
      <c r="M112" s="5" t="inlineStr"/>
      <c r="N112" s="5" t="inlineStr"/>
      <c r="O112" s="5" t="inlineStr"/>
      <c r="P112" s="5" t="inlineStr">
        <is>
          <t>Boothtown</t>
        </is>
      </c>
      <c r="Q112" s="5" t="inlineStr">
        <is>
          <t>Halifax</t>
        </is>
      </c>
      <c r="R112" s="5" t="inlineStr">
        <is>
          <t>West Yorkshire</t>
        </is>
      </c>
      <c r="S112" s="5" t="inlineStr"/>
      <c r="T112" s="5" t="inlineStr">
        <is>
          <t>Yorkshire &amp; Humber</t>
        </is>
      </c>
      <c r="U112" s="5" t="inlineStr">
        <is>
          <t>England</t>
        </is>
      </c>
      <c r="V112" s="5" t="inlineStr"/>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beers, wines and spirits; post office services; convenience</t>
        </is>
      </c>
      <c r="AL112" s="5" t="inlineStr"/>
      <c r="AM112" s="5" t="inlineStr">
        <is>
          <t>Off-Licence</t>
        </is>
      </c>
      <c r="AN112" s="5" t="inlineStr"/>
      <c r="AO112" s="5" t="inlineStr">
        <is>
          <t>Found via Halifax Courier local directory search listing; street address and phone not captured before search budget was exhausted.</t>
        </is>
      </c>
      <c r="AP112" s="5" t="inlineStr">
        <is>
          <t>Low</t>
        </is>
      </c>
      <c r="AQ112" s="5" t="inlineStr">
        <is>
          <t>Independent retailer; Relevant category</t>
        </is>
      </c>
      <c r="AR112" s="5" t="inlineStr">
        <is>
          <t>https://findit.halifaxcourier.co.uk/search/halifax/off-licence</t>
        </is>
      </c>
      <c r="AS112" s="5" t="inlineStr"/>
      <c r="AT112" s="5" t="inlineStr">
        <is>
          <t>1</t>
        </is>
      </c>
      <c r="AU112" s="5" t="inlineStr">
        <is>
          <t>No</t>
        </is>
      </c>
      <c r="AV112" s="5" t="inlineStr">
        <is>
          <t>No</t>
        </is>
      </c>
      <c r="AW112" s="5" t="inlineStr">
        <is>
          <t>No</t>
        </is>
      </c>
      <c r="AX112" s="5" t="inlineStr">
        <is>
          <t>No</t>
        </is>
      </c>
      <c r="AY112" s="5" t="inlineStr">
        <is>
          <t>Not Found</t>
        </is>
      </c>
      <c r="AZ112" s="5" t="inlineStr">
        <is>
          <t>Not Found</t>
        </is>
      </c>
      <c r="BA112" s="5" t="inlineStr">
        <is>
          <t>2026-09-16</t>
        </is>
      </c>
      <c r="BB112" s="5" t="inlineStr">
        <is>
          <t>Requires Verification</t>
        </is>
      </c>
      <c r="BC112" s="5" t="inlineStr">
        <is>
          <t>Low</t>
        </is>
      </c>
      <c r="BD112" s="5" t="inlineStr"/>
      <c r="BE112" s="5" t="inlineStr">
        <is>
          <t>Business (B2B)</t>
        </is>
      </c>
      <c r="BF112" s="5" t="inlineStr">
        <is>
          <t>Legitimate interest (B2B) - assess per campaign; PECR: corporate subscribers</t>
        </is>
      </c>
      <c r="BG112" s="5" t="inlineStr"/>
      <c r="BH112" s="5" t="inlineStr">
        <is>
          <t>No</t>
        </is>
      </c>
      <c r="BI112" s="5" t="inlineStr">
        <is>
          <t>2026-09-16</t>
        </is>
      </c>
      <c r="BJ112" s="5" t="inlineStr">
        <is>
          <t>New</t>
        </is>
      </c>
      <c r="BK112" s="5" t="inlineStr">
        <is>
          <t>2026-09-16</t>
        </is>
      </c>
      <c r="BL112" s="5" t="inlineStr"/>
      <c r="BM112" s="5" t="inlineStr"/>
      <c r="BN112" s="5" t="inlineStr"/>
      <c r="BO112" s="5" t="inlineStr"/>
      <c r="BP112" s="5" t="inlineStr"/>
      <c r="BQ112" s="5" t="inlineStr"/>
    </row>
    <row r="113">
      <c r="A113" s="10" t="inlineStr">
        <is>
          <t>WY-0067</t>
        </is>
      </c>
      <c r="B113" s="10" t="inlineStr">
        <is>
          <t>WY-0067-01</t>
        </is>
      </c>
      <c r="C113" s="10" t="inlineStr"/>
      <c r="D113" s="10" t="inlineStr">
        <is>
          <t>Booze Express</t>
        </is>
      </c>
      <c r="E113" s="10" t="inlineStr">
        <is>
          <t>Booze Express Halifax</t>
        </is>
      </c>
      <c r="F113" s="10" t="inlineStr"/>
      <c r="G113" s="10" t="inlineStr">
        <is>
          <t>Off-Licence</t>
        </is>
      </c>
      <c r="H113" s="10" t="inlineStr"/>
      <c r="I113" s="10" t="inlineStr">
        <is>
          <t>Independent</t>
        </is>
      </c>
      <c r="J113" s="10" t="inlineStr">
        <is>
          <t>1</t>
        </is>
      </c>
      <c r="K113" s="10" t="inlineStr"/>
      <c r="L113" s="10" t="inlineStr"/>
      <c r="M113" s="10" t="inlineStr"/>
      <c r="N113" s="10" t="inlineStr">
        <is>
          <t>https://nextdoor.co.uk/pages/booze-express-halifax/</t>
        </is>
      </c>
      <c r="O113" s="10" t="inlineStr">
        <is>
          <t>520 Gibbet Street</t>
        </is>
      </c>
      <c r="P113" s="10" t="inlineStr"/>
      <c r="Q113" s="10" t="inlineStr">
        <is>
          <t>Halifax</t>
        </is>
      </c>
      <c r="R113" s="10" t="inlineStr">
        <is>
          <t>West Yorkshire</t>
        </is>
      </c>
      <c r="S113" s="10" t="inlineStr">
        <is>
          <t>HX2 0AH</t>
        </is>
      </c>
      <c r="T113" s="10" t="inlineStr">
        <is>
          <t>Yorkshire &amp; Humber</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beers, wines and spirits; snacks</t>
        </is>
      </c>
      <c r="AL113" s="10" t="inlineStr"/>
      <c r="AM113" s="10" t="inlineStr">
        <is>
          <t>Off-Licence</t>
        </is>
      </c>
      <c r="AN113" s="10" t="inlineStr"/>
      <c r="AO113" s="10" t="inlineStr">
        <is>
          <t>A company named BOOZE EXPRESS HALIFAX LTD (10264056) was dissolved 19 Nov 2019; the shop is still listed as trading on local directories, so it may now operate under a different legal entity - verify before outreach.</t>
        </is>
      </c>
      <c r="AP113" s="10" t="inlineStr">
        <is>
          <t>Medium</t>
        </is>
      </c>
      <c r="AQ113" s="10" t="inlineStr">
        <is>
          <t>Independent retailer; Relevant category; Social presence</t>
        </is>
      </c>
      <c r="AR113" s="10" t="inlineStr">
        <is>
          <t>https://find-and-update.company-information.service.gov.uk/company/10264056</t>
        </is>
      </c>
      <c r="AS113" s="10" t="inlineStr">
        <is>
          <t>https://findit.halifaxcourier.co.uk/company/1155715525128193</t>
        </is>
      </c>
      <c r="AT113" s="10" t="inlineStr">
        <is>
          <t>3</t>
        </is>
      </c>
      <c r="AU113" s="10" t="inlineStr">
        <is>
          <t>No</t>
        </is>
      </c>
      <c r="AV113" s="10" t="inlineStr">
        <is>
          <t>No</t>
        </is>
      </c>
      <c r="AW113" s="10" t="inlineStr">
        <is>
          <t>No</t>
        </is>
      </c>
      <c r="AX113" s="10" t="inlineStr">
        <is>
          <t>Yes</t>
        </is>
      </c>
      <c r="AY113" s="10" t="inlineStr">
        <is>
          <t>Not Found</t>
        </is>
      </c>
      <c r="AZ113" s="10" t="inlineStr">
        <is>
          <t>Not Found</t>
        </is>
      </c>
      <c r="BA113" s="10" t="inlineStr">
        <is>
          <t>2026-09-16</t>
        </is>
      </c>
      <c r="BB113" s="10" t="inlineStr">
        <is>
          <t>Partially Verified</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2026-09-16</t>
        </is>
      </c>
      <c r="BL113" s="10" t="inlineStr"/>
      <c r="BM113" s="10" t="inlineStr"/>
      <c r="BN113" s="10" t="inlineStr"/>
      <c r="BO113" s="10" t="inlineStr"/>
      <c r="BP113" s="10" t="inlineStr"/>
      <c r="BQ113" s="10" t="inlineStr"/>
    </row>
    <row r="114">
      <c r="A114" s="5" t="inlineStr">
        <is>
          <t>WY-0068</t>
        </is>
      </c>
      <c r="B114" s="5" t="inlineStr">
        <is>
          <t>WY-0068-01</t>
        </is>
      </c>
      <c r="C114" s="5" t="inlineStr"/>
      <c r="D114" s="5" t="inlineStr">
        <is>
          <t>Bottle and Bean</t>
        </is>
      </c>
      <c r="E114" s="5" t="inlineStr">
        <is>
          <t>Bottle and Bean</t>
        </is>
      </c>
      <c r="F114" s="5" t="inlineStr"/>
      <c r="G114" s="5" t="inlineStr">
        <is>
          <t>Off-Licence</t>
        </is>
      </c>
      <c r="H114" s="5" t="inlineStr">
        <is>
          <t>Wine, craft beer and coffee shop</t>
        </is>
      </c>
      <c r="I114" s="5" t="inlineStr">
        <is>
          <t>Independent</t>
        </is>
      </c>
      <c r="J114" s="5" t="inlineStr">
        <is>
          <t>1</t>
        </is>
      </c>
      <c r="K114" s="5" t="inlineStr"/>
      <c r="L114" s="5" t="inlineStr"/>
      <c r="M114" s="5" t="inlineStr"/>
      <c r="N114" s="5" t="inlineStr"/>
      <c r="O114" s="5" t="inlineStr"/>
      <c r="P114" s="5" t="inlineStr"/>
      <c r="Q114" s="5" t="inlineStr">
        <is>
          <t>Wetherby</t>
        </is>
      </c>
      <c r="R114" s="5" t="inlineStr">
        <is>
          <t>West Yorkshire</t>
        </is>
      </c>
      <c r="S114" s="5" t="inlineStr"/>
      <c r="T114" s="5" t="inlineStr">
        <is>
          <t>Yorkshire &amp; Humber</t>
        </is>
      </c>
      <c r="U114" s="5" t="inlineStr">
        <is>
          <t>England</t>
        </is>
      </c>
      <c r="V114" s="5" t="inlineStr"/>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wine; craft beer; coffee</t>
        </is>
      </c>
      <c r="AL114" s="5" t="inlineStr"/>
      <c r="AM114" s="5" t="inlineStr">
        <is>
          <t>Off-Licence</t>
        </is>
      </c>
      <c r="AN114" s="5" t="inlineStr"/>
      <c r="AO114" s="5" t="inlineStr">
        <is>
          <t>Independent off-licence in Wetherby offering quality wines, craft beers and coffee; street address not captured - follow up.</t>
        </is>
      </c>
      <c r="AP114" s="5" t="inlineStr">
        <is>
          <t>Low</t>
        </is>
      </c>
      <c r="AQ114" s="5" t="inlineStr">
        <is>
          <t>Independent retailer; Relevant category</t>
        </is>
      </c>
      <c r="AR114" s="5" t="inlineStr">
        <is>
          <t>https://www.yorkshire.com/wetherby/shopping/off-license/bottle-and-bean</t>
        </is>
      </c>
      <c r="AS114" s="5" t="inlineStr"/>
      <c r="AT114" s="5" t="inlineStr">
        <is>
          <t>1</t>
        </is>
      </c>
      <c r="AU114" s="5" t="inlineStr">
        <is>
          <t>No</t>
        </is>
      </c>
      <c r="AV114" s="5" t="inlineStr">
        <is>
          <t>No</t>
        </is>
      </c>
      <c r="AW114" s="5" t="inlineStr">
        <is>
          <t>No</t>
        </is>
      </c>
      <c r="AX114" s="5" t="inlineStr">
        <is>
          <t>No</t>
        </is>
      </c>
      <c r="AY114" s="5" t="inlineStr">
        <is>
          <t>Not Found</t>
        </is>
      </c>
      <c r="AZ114" s="5" t="inlineStr">
        <is>
          <t>Not Found</t>
        </is>
      </c>
      <c r="BA114" s="5" t="inlineStr">
        <is>
          <t>2026-09-16</t>
        </is>
      </c>
      <c r="BB114" s="5" t="inlineStr">
        <is>
          <t>Requires Verification</t>
        </is>
      </c>
      <c r="BC114" s="5" t="inlineStr">
        <is>
          <t>Low</t>
        </is>
      </c>
      <c r="BD114" s="5" t="inlineStr"/>
      <c r="BE114" s="5" t="inlineStr">
        <is>
          <t>Business (B2B)</t>
        </is>
      </c>
      <c r="BF114" s="5" t="inlineStr">
        <is>
          <t>Legitimate interest (B2B) - assess per campaign; PECR: corporate subscribers</t>
        </is>
      </c>
      <c r="BG114" s="5" t="inlineStr"/>
      <c r="BH114" s="5" t="inlineStr">
        <is>
          <t>No</t>
        </is>
      </c>
      <c r="BI114" s="5" t="inlineStr">
        <is>
          <t>2026-09-16</t>
        </is>
      </c>
      <c r="BJ114" s="5" t="inlineStr">
        <is>
          <t>New</t>
        </is>
      </c>
      <c r="BK114" s="5" t="inlineStr">
        <is>
          <t>2026-09-16</t>
        </is>
      </c>
      <c r="BL114" s="5" t="inlineStr"/>
      <c r="BM114" s="5" t="inlineStr"/>
      <c r="BN114" s="5" t="inlineStr"/>
      <c r="BO114" s="5" t="inlineStr"/>
      <c r="BP114" s="5" t="inlineStr"/>
      <c r="BQ114" s="5" t="inlineStr"/>
    </row>
    <row r="115">
      <c r="A115" s="10" t="inlineStr">
        <is>
          <t>WY-0069</t>
        </is>
      </c>
      <c r="B115" s="10" t="inlineStr">
        <is>
          <t>WY-0069-01</t>
        </is>
      </c>
      <c r="C115" s="10" t="inlineStr"/>
      <c r="D115" s="10" t="inlineStr">
        <is>
          <t>Bridge Off Licence Convenience Store</t>
        </is>
      </c>
      <c r="E115" s="10" t="inlineStr">
        <is>
          <t>Bridge Off Licence Convenience Store</t>
        </is>
      </c>
      <c r="F115" s="10" t="inlineStr"/>
      <c r="G115" s="10" t="inlineStr">
        <is>
          <t>Off-Licence</t>
        </is>
      </c>
      <c r="H115" s="10" t="inlineStr">
        <is>
          <t>Off-licence and convenience store</t>
        </is>
      </c>
      <c r="I115" s="10" t="inlineStr">
        <is>
          <t>Independent</t>
        </is>
      </c>
      <c r="J115" s="10" t="inlineStr">
        <is>
          <t>1</t>
        </is>
      </c>
      <c r="K115" s="10" t="inlineStr"/>
      <c r="L115" s="10" t="inlineStr"/>
      <c r="M115" s="10" t="inlineStr"/>
      <c r="N115" s="10" t="inlineStr"/>
      <c r="O115" s="10" t="inlineStr"/>
      <c r="P115" s="10" t="inlineStr"/>
      <c r="Q115" s="10" t="inlineStr">
        <is>
          <t>Sowerby Bridge</t>
        </is>
      </c>
      <c r="R115" s="10" t="inlineStr">
        <is>
          <t>West Yorkshire</t>
        </is>
      </c>
      <c r="S115" s="10" t="inlineStr"/>
      <c r="T115" s="10" t="inlineStr">
        <is>
          <t>Yorkshire &amp; Humber</t>
        </is>
      </c>
      <c r="U115" s="10" t="inlineStr">
        <is>
          <t>England</t>
        </is>
      </c>
      <c r="V115" s="10" t="inlineStr"/>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beers, wines and spirits; convenience</t>
        </is>
      </c>
      <c r="AL115" s="10" t="inlineStr"/>
      <c r="AM115" s="10" t="inlineStr">
        <is>
          <t>Off-Licence</t>
        </is>
      </c>
      <c r="AN115" s="10" t="inlineStr"/>
      <c r="AO115" s="10" t="inlineStr">
        <is>
          <t>Street address not published in the directory listing found.</t>
        </is>
      </c>
      <c r="AP115" s="10" t="inlineStr">
        <is>
          <t>Low</t>
        </is>
      </c>
      <c r="AQ115" s="10" t="inlineStr">
        <is>
          <t>Independent retailer; Relevant category</t>
        </is>
      </c>
      <c r="AR115" s="10" t="inlineStr">
        <is>
          <t>https://www.yorkshire.com/sowerby-bridge/shopping/off-license/bridge-off-licence-convenience-store</t>
        </is>
      </c>
      <c r="AS115" s="10" t="inlineStr"/>
      <c r="AT115" s="10" t="inlineStr">
        <is>
          <t>1</t>
        </is>
      </c>
      <c r="AU115" s="10" t="inlineStr">
        <is>
          <t>No</t>
        </is>
      </c>
      <c r="AV115" s="10" t="inlineStr">
        <is>
          <t>No</t>
        </is>
      </c>
      <c r="AW115" s="10" t="inlineStr">
        <is>
          <t>No</t>
        </is>
      </c>
      <c r="AX115" s="10" t="inlineStr">
        <is>
          <t>No</t>
        </is>
      </c>
      <c r="AY115" s="10" t="inlineStr">
        <is>
          <t>Not Found</t>
        </is>
      </c>
      <c r="AZ115" s="10" t="inlineStr">
        <is>
          <t>Not Found</t>
        </is>
      </c>
      <c r="BA115" s="10" t="inlineStr">
        <is>
          <t>2026-09-16</t>
        </is>
      </c>
      <c r="BB115" s="10" t="inlineStr">
        <is>
          <t>Requires Verification</t>
        </is>
      </c>
      <c r="BC115" s="10" t="inlineStr">
        <is>
          <t>Low</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2026-09-16</t>
        </is>
      </c>
      <c r="BJ115" s="10" t="inlineStr">
        <is>
          <t>New</t>
        </is>
      </c>
      <c r="BK115" s="10" t="inlineStr">
        <is>
          <t>2026-09-16</t>
        </is>
      </c>
      <c r="BL115" s="10" t="inlineStr"/>
      <c r="BM115" s="10" t="inlineStr"/>
      <c r="BN115" s="10" t="inlineStr"/>
      <c r="BO115" s="10" t="inlineStr"/>
      <c r="BP115" s="10" t="inlineStr"/>
      <c r="BQ115" s="10" t="inlineStr"/>
    </row>
    <row r="116">
      <c r="A116" s="5" t="inlineStr">
        <is>
          <t>WY-0070</t>
        </is>
      </c>
      <c r="B116" s="5" t="inlineStr">
        <is>
          <t>WY-0070-01</t>
        </is>
      </c>
      <c r="C116" s="5" t="inlineStr"/>
      <c r="D116" s="5" t="inlineStr">
        <is>
          <t>Brooks News</t>
        </is>
      </c>
      <c r="E116" s="5" t="inlineStr">
        <is>
          <t>Brooks News</t>
        </is>
      </c>
      <c r="F116" s="5" t="inlineStr"/>
      <c r="G116" s="5" t="inlineStr">
        <is>
          <t>Newsagent</t>
        </is>
      </c>
      <c r="H116" s="5" t="inlineStr"/>
      <c r="I116" s="5" t="inlineStr">
        <is>
          <t>Independent</t>
        </is>
      </c>
      <c r="J116" s="5" t="inlineStr">
        <is>
          <t>1</t>
        </is>
      </c>
      <c r="K116" s="5" t="inlineStr"/>
      <c r="L116" s="5" t="inlineStr"/>
      <c r="M116" s="5" t="inlineStr"/>
      <c r="N116" s="5" t="inlineStr"/>
      <c r="O116" s="5" t="inlineStr">
        <is>
          <t>19 Church Lane</t>
        </is>
      </c>
      <c r="P116" s="5" t="inlineStr"/>
      <c r="Q116" s="5" t="inlineStr">
        <is>
          <t>Pudsey</t>
        </is>
      </c>
      <c r="R116" s="5" t="inlineStr">
        <is>
          <t>West Yorkshire</t>
        </is>
      </c>
      <c r="S116" s="5" t="inlineStr">
        <is>
          <t>LS28 7LD</t>
        </is>
      </c>
      <c r="T116" s="5" t="inlineStr">
        <is>
          <t>Yorkshire &amp; Humber</t>
        </is>
      </c>
      <c r="U116" s="5" t="inlineStr">
        <is>
          <t>England</t>
        </is>
      </c>
      <c r="V116" s="5" t="inlineStr">
        <is>
          <t>0113 257 3382</t>
        </is>
      </c>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newspapers; magazines; confectionery; tobacco</t>
        </is>
      </c>
      <c r="AL116" s="5" t="inlineStr"/>
      <c r="AM116" s="5" t="inlineStr">
        <is>
          <t>Newsagent</t>
        </is>
      </c>
      <c r="AN116" s="5" t="inlineStr"/>
      <c r="AO116" s="5" t="inlineStr"/>
      <c r="AP116" s="5" t="inlineStr">
        <is>
          <t>Low</t>
        </is>
      </c>
      <c r="AQ116" s="5" t="inlineStr">
        <is>
          <t>Independent retailer; Relevant category</t>
        </is>
      </c>
      <c r="AR116" s="5" t="inlineStr">
        <is>
          <t>https://www.thomsonlocal.com/search/newsagents/morley-west-yorkshire</t>
        </is>
      </c>
      <c r="AS116" s="5" t="inlineStr">
        <is>
          <t>https://findit.yorkshireeveningpost.co.uk/search/leeds/newsagent</t>
        </is>
      </c>
      <c r="AT116" s="5" t="inlineStr">
        <is>
          <t>2</t>
        </is>
      </c>
      <c r="AU116" s="5" t="inlineStr">
        <is>
          <t>No</t>
        </is>
      </c>
      <c r="AV116" s="5" t="inlineStr">
        <is>
          <t>No</t>
        </is>
      </c>
      <c r="AW116" s="5" t="inlineStr">
        <is>
          <t>No</t>
        </is>
      </c>
      <c r="AX116" s="5" t="inlineStr">
        <is>
          <t>No</t>
        </is>
      </c>
      <c r="AY116" s="5" t="inlineStr">
        <is>
          <t>Verified directory</t>
        </is>
      </c>
      <c r="AZ116" s="5" t="inlineStr">
        <is>
          <t>Not Found</t>
        </is>
      </c>
      <c r="BA116" s="5" t="inlineStr">
        <is>
          <t>2026-09-16</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2026-09-16</t>
        </is>
      </c>
      <c r="BJ116" s="5" t="inlineStr">
        <is>
          <t>New</t>
        </is>
      </c>
      <c r="BK116" s="5" t="inlineStr">
        <is>
          <t>2026-09-16</t>
        </is>
      </c>
      <c r="BL116" s="5" t="inlineStr"/>
      <c r="BM116" s="5" t="inlineStr"/>
      <c r="BN116" s="5" t="inlineStr"/>
      <c r="BO116" s="5" t="inlineStr"/>
      <c r="BP116" s="5" t="inlineStr"/>
      <c r="BQ116" s="5" t="inlineStr"/>
    </row>
    <row r="117">
      <c r="A117" s="10" t="inlineStr">
        <is>
          <t>WY-0071</t>
        </is>
      </c>
      <c r="B117" s="10" t="inlineStr">
        <is>
          <t>WY-0071-01</t>
        </is>
      </c>
      <c r="C117" s="10" t="inlineStr"/>
      <c r="D117" s="10" t="inlineStr">
        <is>
          <t>C Booth and Son</t>
        </is>
      </c>
      <c r="E117" s="10" t="inlineStr">
        <is>
          <t>C Booth and Son</t>
        </is>
      </c>
      <c r="F117" s="10" t="inlineStr"/>
      <c r="G117" s="10" t="inlineStr">
        <is>
          <t>Tobacco Specialist</t>
        </is>
      </c>
      <c r="H117" s="10" t="inlineStr">
        <is>
          <t>Hardware store and specialist tobacconist</t>
        </is>
      </c>
      <c r="I117" s="10" t="inlineStr">
        <is>
          <t>Independent</t>
        </is>
      </c>
      <c r="J117" s="10" t="inlineStr">
        <is>
          <t>1</t>
        </is>
      </c>
      <c r="K117" s="10" t="inlineStr"/>
      <c r="L117" s="10" t="inlineStr"/>
      <c r="M117" s="10" t="inlineStr"/>
      <c r="N117" s="10" t="inlineStr"/>
      <c r="O117" s="10" t="inlineStr">
        <is>
          <t>Cross Church Street</t>
        </is>
      </c>
      <c r="P117" s="10" t="inlineStr">
        <is>
          <t>Town Centre</t>
        </is>
      </c>
      <c r="Q117" s="10" t="inlineStr">
        <is>
          <t>Huddersfield</t>
        </is>
      </c>
      <c r="R117" s="10" t="inlineStr">
        <is>
          <t>West Yorkshire</t>
        </is>
      </c>
      <c r="S117" s="10" t="inlineStr"/>
      <c r="T117" s="10" t="inlineStr">
        <is>
          <t>Yorkshire &amp; Humber</t>
        </is>
      </c>
      <c r="U117" s="10" t="inlineStr">
        <is>
          <t>England</t>
        </is>
      </c>
      <c r="V117" s="10" t="inlineStr"/>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pipe tobacco; hand-rolling tobacco; cigars; hardware and household goods</t>
        </is>
      </c>
      <c r="AL117" s="10" t="inlineStr"/>
      <c r="AM117" s="10" t="inlineStr">
        <is>
          <t>Tobacco Specialist</t>
        </is>
      </c>
      <c r="AN117" s="10" t="inlineStr"/>
      <c r="AO117" s="10" t="inlineStr">
        <is>
          <t>150+ year old family shop, described in press coverage as the only specialist tobacconist in Huddersfield; sells pipe and hand-rolling tobacco and cigars alongside hardware.</t>
        </is>
      </c>
      <c r="AP117" s="10" t="inlineStr">
        <is>
          <t>Medium</t>
        </is>
      </c>
      <c r="AQ117" s="10" t="inlineStr">
        <is>
          <t>Independent retailer; Core relevant category</t>
        </is>
      </c>
      <c r="AR117" s="10" t="inlineStr">
        <is>
          <t>https://www.examinerlive.co.uk/news/west-yorkshire-news/the-shop-sells-everything-c-9967957</t>
        </is>
      </c>
      <c r="AS117" s="10" t="inlineStr"/>
      <c r="AT117" s="10" t="inlineStr">
        <is>
          <t>1</t>
        </is>
      </c>
      <c r="AU117" s="10" t="inlineStr">
        <is>
          <t>No</t>
        </is>
      </c>
      <c r="AV117" s="10" t="inlineStr">
        <is>
          <t>No</t>
        </is>
      </c>
      <c r="AW117" s="10" t="inlineStr">
        <is>
          <t>No</t>
        </is>
      </c>
      <c r="AX117" s="10" t="inlineStr">
        <is>
          <t>No</t>
        </is>
      </c>
      <c r="AY117" s="10" t="inlineStr">
        <is>
          <t>Not Found</t>
        </is>
      </c>
      <c r="AZ117" s="10" t="inlineStr">
        <is>
          <t>Not Found</t>
        </is>
      </c>
      <c r="BA117" s="10" t="inlineStr">
        <is>
          <t>2026-09-16</t>
        </is>
      </c>
      <c r="BB117" s="10" t="inlineStr">
        <is>
          <t>Requires Verification</t>
        </is>
      </c>
      <c r="BC117" s="10" t="inlineStr">
        <is>
          <t>Low</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2026-09-16</t>
        </is>
      </c>
      <c r="BJ117" s="10" t="inlineStr">
        <is>
          <t>New</t>
        </is>
      </c>
      <c r="BK117" s="10" t="inlineStr">
        <is>
          <t>2026-09-16</t>
        </is>
      </c>
      <c r="BL117" s="10" t="inlineStr"/>
      <c r="BM117" s="10" t="inlineStr"/>
      <c r="BN117" s="10" t="inlineStr"/>
      <c r="BO117" s="10" t="inlineStr"/>
      <c r="BP117" s="10" t="inlineStr"/>
      <c r="BQ117" s="10" t="inlineStr"/>
    </row>
    <row r="118">
      <c r="A118" s="5" t="inlineStr">
        <is>
          <t>UK-000239</t>
        </is>
      </c>
      <c r="B118" s="5" t="inlineStr">
        <is>
          <t>UK-000239-01</t>
        </is>
      </c>
      <c r="C118" s="5" t="inlineStr"/>
      <c r="D118" s="5" t="inlineStr">
        <is>
          <t>CK Fast Food Suppliers</t>
        </is>
      </c>
      <c r="E118" s="5" t="inlineStr">
        <is>
          <t>CK Fast Food Suppliers</t>
        </is>
      </c>
      <c r="F118" s="5" t="inlineStr"/>
      <c r="G118" s="5" t="inlineStr">
        <is>
          <t>Cash &amp; Carry</t>
        </is>
      </c>
      <c r="H118" s="5" t="inlineStr">
        <is>
          <t>Foodservice wholesale</t>
        </is>
      </c>
      <c r="I118" s="5" t="inlineStr">
        <is>
          <t>Independent</t>
        </is>
      </c>
      <c r="J118" s="5" t="inlineStr">
        <is>
          <t>1</t>
        </is>
      </c>
      <c r="K118" s="5" t="inlineStr">
        <is>
          <t>https://www.ckfastfoods.com</t>
        </is>
      </c>
      <c r="L118" s="5" t="inlineStr"/>
      <c r="M118" s="5" t="inlineStr"/>
      <c r="N118" s="5" t="inlineStr"/>
      <c r="O118" s="5" t="inlineStr">
        <is>
          <t>70 Northumberland Avenue</t>
        </is>
      </c>
      <c r="P118" s="5" t="inlineStr"/>
      <c r="Q118" s="5" t="inlineStr">
        <is>
          <t>Kingston upon Hull</t>
        </is>
      </c>
      <c r="R118" s="5" t="inlineStr">
        <is>
          <t>East Riding of Yorkshire</t>
        </is>
      </c>
      <c r="S118" s="5" t="inlineStr"/>
      <c r="T118" s="5" t="inlineStr">
        <is>
          <t>Yorkshire &amp; Humber</t>
        </is>
      </c>
      <c r="U118" s="5" t="inlineStr">
        <is>
          <t>England</t>
        </is>
      </c>
      <c r="V118" s="5" t="inlineStr"/>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fast food supplies; wholesale catering goods</t>
        </is>
      </c>
      <c r="AL118" s="5" t="inlineStr"/>
      <c r="AM118" s="5" t="inlineStr">
        <is>
          <t>Cash &amp; Carry</t>
        </is>
      </c>
      <c r="AN118" s="5" t="inlineStr"/>
      <c r="AO118" s="5" t="inlineStr">
        <is>
          <t>Cash &amp; carry wholesaler / fast food supplier, 70 Northumberland Avenue, Hull. Own website ckfastfoods.com. No postcode/phone in search results.</t>
        </is>
      </c>
      <c r="AP118" s="5" t="inlineStr">
        <is>
          <t>Medium</t>
        </is>
      </c>
      <c r="AQ118" s="5" t="inlineStr">
        <is>
          <t>Independent retailer; Core relevant category; Active website</t>
        </is>
      </c>
      <c r="AR118" s="5" t="inlineStr">
        <is>
          <t>https://www.ckfastfoods.com/categories</t>
        </is>
      </c>
      <c r="AS118" s="5" t="inlineStr"/>
      <c r="AT118" s="5" t="inlineStr">
        <is>
          <t>1</t>
        </is>
      </c>
      <c r="AU118" s="5" t="inlineStr">
        <is>
          <t>Yes</t>
        </is>
      </c>
      <c r="AV118" s="5" t="inlineStr">
        <is>
          <t>No</t>
        </is>
      </c>
      <c r="AW118" s="5" t="inlineStr">
        <is>
          <t>No</t>
        </is>
      </c>
      <c r="AX118" s="5" t="inlineStr">
        <is>
          <t>No</t>
        </is>
      </c>
      <c r="AY118" s="5" t="inlineStr">
        <is>
          <t>Not Found</t>
        </is>
      </c>
      <c r="AZ118" s="5" t="inlineStr">
        <is>
          <t>Not Found</t>
        </is>
      </c>
      <c r="BA118" s="5" t="inlineStr">
        <is>
          <t>2026-09-16</t>
        </is>
      </c>
      <c r="BB118" s="5" t="inlineStr">
        <is>
          <t>Partially Verified</t>
        </is>
      </c>
      <c r="BC118" s="5" t="inlineStr">
        <is>
          <t>Low</t>
        </is>
      </c>
      <c r="BD118" s="5" t="inlineStr"/>
      <c r="BE118" s="5" t="inlineStr">
        <is>
          <t>Business (B2B)</t>
        </is>
      </c>
      <c r="BF118" s="5" t="inlineStr">
        <is>
          <t>Legitimate interest (B2B) - assess per campaign; PECR: corporate subscribers</t>
        </is>
      </c>
      <c r="BG118" s="5" t="inlineStr"/>
      <c r="BH118" s="5" t="inlineStr">
        <is>
          <t>No</t>
        </is>
      </c>
      <c r="BI118" s="5" t="inlineStr">
        <is>
          <t>2026-09-16</t>
        </is>
      </c>
      <c r="BJ118" s="5" t="inlineStr">
        <is>
          <t>New</t>
        </is>
      </c>
      <c r="BK118" s="5" t="inlineStr">
        <is>
          <t>2026-09-16</t>
        </is>
      </c>
      <c r="BL118" s="5" t="inlineStr"/>
      <c r="BM118" s="5" t="inlineStr"/>
      <c r="BN118" s="5" t="inlineStr"/>
      <c r="BO118" s="5" t="inlineStr"/>
      <c r="BP118" s="5" t="inlineStr"/>
      <c r="BQ118" s="5" t="inlineStr"/>
    </row>
    <row r="119">
      <c r="A119" s="10" t="inlineStr">
        <is>
          <t>WY-0072</t>
        </is>
      </c>
      <c r="B119" s="10" t="inlineStr">
        <is>
          <t>WY-0072-01</t>
        </is>
      </c>
      <c r="C119" s="10" t="inlineStr"/>
      <c r="D119" s="10" t="inlineStr">
        <is>
          <t>Carlton Self Service</t>
        </is>
      </c>
      <c r="E119" s="10" t="inlineStr">
        <is>
          <t>Carlton Self Service</t>
        </is>
      </c>
      <c r="F119" s="10" t="inlineStr"/>
      <c r="G119" s="10" t="inlineStr">
        <is>
          <t>Newsagent</t>
        </is>
      </c>
      <c r="H119" s="10" t="inlineStr">
        <is>
          <t>Newsagent and self-service store</t>
        </is>
      </c>
      <c r="I119" s="10" t="inlineStr">
        <is>
          <t>Independent</t>
        </is>
      </c>
      <c r="J119" s="10" t="inlineStr">
        <is>
          <t>1</t>
        </is>
      </c>
      <c r="K119" s="10" t="inlineStr"/>
      <c r="L119" s="10" t="inlineStr"/>
      <c r="M119" s="10" t="inlineStr"/>
      <c r="N119" s="10" t="inlineStr"/>
      <c r="O119" s="10" t="inlineStr">
        <is>
          <t>6-8 Swanhill Lane</t>
        </is>
      </c>
      <c r="P119" s="10" t="inlineStr"/>
      <c r="Q119" s="10" t="inlineStr">
        <is>
          <t>Pontefract</t>
        </is>
      </c>
      <c r="R119" s="10" t="inlineStr">
        <is>
          <t>West Yorkshire</t>
        </is>
      </c>
      <c r="S119" s="10" t="inlineStr">
        <is>
          <t>WF8 2SE</t>
        </is>
      </c>
      <c r="T119" s="10" t="inlineStr">
        <is>
          <t>Yorkshire &amp; Humber</t>
        </is>
      </c>
      <c r="U119" s="10" t="inlineStr">
        <is>
          <t>England</t>
        </is>
      </c>
      <c r="V119" s="10" t="inlineStr">
        <is>
          <t>01977 780317</t>
        </is>
      </c>
      <c r="W119" s="10" t="inlineStr"/>
      <c r="X119" s="10" t="inlineStr"/>
      <c r="Y119" s="10" t="inlineStr"/>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news and magazines; tobacco; confectionery; convenience</t>
        </is>
      </c>
      <c r="AL119" s="10" t="inlineStr"/>
      <c r="AM119" s="10" t="inlineStr">
        <is>
          <t>Newsagent</t>
        </is>
      </c>
      <c r="AN119" s="10" t="inlineStr"/>
      <c r="AO119" s="10" t="inlineStr"/>
      <c r="AP119" s="10" t="inlineStr">
        <is>
          <t>Low</t>
        </is>
      </c>
      <c r="AQ119" s="10" t="inlineStr">
        <is>
          <t>Independent retailer; Relevant category</t>
        </is>
      </c>
      <c r="AR119" s="10" t="inlineStr">
        <is>
          <t>https://www.thomsonlocal.com/search/newsagents/wakefield-pontefract-castleford/carlton-self-service/1650013/01977780317</t>
        </is>
      </c>
      <c r="AS119" s="10" t="inlineStr"/>
      <c r="AT119" s="10" t="inlineStr">
        <is>
          <t>1</t>
        </is>
      </c>
      <c r="AU119" s="10" t="inlineStr">
        <is>
          <t>No</t>
        </is>
      </c>
      <c r="AV119" s="10" t="inlineStr">
        <is>
          <t>No</t>
        </is>
      </c>
      <c r="AW119" s="10" t="inlineStr">
        <is>
          <t>No</t>
        </is>
      </c>
      <c r="AX119" s="10" t="inlineStr">
        <is>
          <t>No</t>
        </is>
      </c>
      <c r="AY119" s="10" t="inlineStr">
        <is>
          <t>Verified directory</t>
        </is>
      </c>
      <c r="AZ119" s="10" t="inlineStr">
        <is>
          <t>Not Found</t>
        </is>
      </c>
      <c r="BA119" s="10" t="inlineStr">
        <is>
          <t>2026-09-16</t>
        </is>
      </c>
      <c r="BB119" s="10" t="inlineStr">
        <is>
          <t>Requires Verification</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2026-09-16</t>
        </is>
      </c>
      <c r="BL119" s="10" t="inlineStr"/>
      <c r="BM119" s="10" t="inlineStr"/>
      <c r="BN119" s="10" t="inlineStr"/>
      <c r="BO119" s="10" t="inlineStr"/>
      <c r="BP119" s="10" t="inlineStr"/>
      <c r="BQ119" s="10" t="inlineStr"/>
    </row>
    <row r="120">
      <c r="A120" s="5" t="inlineStr">
        <is>
          <t>WY-0073</t>
        </is>
      </c>
      <c r="B120" s="5" t="inlineStr">
        <is>
          <t>WY-0073-01</t>
        </is>
      </c>
      <c r="C120" s="5" t="inlineStr"/>
      <c r="D120" s="5" t="inlineStr">
        <is>
          <t>Caspar's Bottle Shop</t>
        </is>
      </c>
      <c r="E120" s="5" t="inlineStr">
        <is>
          <t>Caspar's Bottle Shop</t>
        </is>
      </c>
      <c r="F120" s="5" t="inlineStr"/>
      <c r="G120" s="5" t="inlineStr">
        <is>
          <t>Off-Licence</t>
        </is>
      </c>
      <c r="H120" s="5" t="inlineStr">
        <is>
          <t>Craft beer bottle shop</t>
        </is>
      </c>
      <c r="I120" s="5" t="inlineStr">
        <is>
          <t>Independent</t>
        </is>
      </c>
      <c r="J120" s="5" t="inlineStr">
        <is>
          <t>1</t>
        </is>
      </c>
      <c r="K120" s="5" t="inlineStr">
        <is>
          <t>https://www.casparsbottleshop.com/</t>
        </is>
      </c>
      <c r="L120" s="5" t="inlineStr">
        <is>
          <t>https://www.facebook.com/casparsbottleshop/</t>
        </is>
      </c>
      <c r="M120" s="5" t="inlineStr"/>
      <c r="N120" s="5" t="inlineStr"/>
      <c r="O120" s="5" t="inlineStr">
        <is>
          <t>65 Potternewton Lane</t>
        </is>
      </c>
      <c r="P120" s="5" t="inlineStr">
        <is>
          <t>Chapel Allerton</t>
        </is>
      </c>
      <c r="Q120" s="5" t="inlineStr">
        <is>
          <t>Leeds</t>
        </is>
      </c>
      <c r="R120" s="5" t="inlineStr">
        <is>
          <t>West Yorkshire</t>
        </is>
      </c>
      <c r="S120" s="5" t="inlineStr">
        <is>
          <t>LS7 3LW</t>
        </is>
      </c>
      <c r="T120" s="5" t="inlineStr">
        <is>
          <t>Yorkshire &amp; Humber</t>
        </is>
      </c>
      <c r="U120" s="5" t="inlineStr">
        <is>
          <t>England</t>
        </is>
      </c>
      <c r="V120" s="5" t="inlineStr">
        <is>
          <t>0113 237 4554</t>
        </is>
      </c>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craft beer; cider; wine</t>
        </is>
      </c>
      <c r="AL120" s="5" t="inlineStr"/>
      <c r="AM120" s="5" t="inlineStr">
        <is>
          <t>Off-Licence</t>
        </is>
      </c>
      <c r="AN120" s="5" t="inlineStr"/>
      <c r="AO120" s="5" t="inlineStr">
        <is>
          <t>Chapel Allerton's independent craft beer shop; open Tue-Sat 12:30-20:00, Sun 12:30-16:00.</t>
        </is>
      </c>
      <c r="AP120" s="5" t="inlineStr">
        <is>
          <t>Medium</t>
        </is>
      </c>
      <c r="AQ120" s="5" t="inlineStr">
        <is>
          <t>Independent retailer; Relevant category; Active website; Social presence</t>
        </is>
      </c>
      <c r="AR120" s="5" t="inlineStr">
        <is>
          <t>https://www.casparsbottleshop.com/</t>
        </is>
      </c>
      <c r="AS120" s="5" t="inlineStr">
        <is>
          <t>https://leeds.cylex-uk.co.uk/company/caspar's-bottle-shop-26660090.html</t>
        </is>
      </c>
      <c r="AT120" s="5" t="inlineStr">
        <is>
          <t>3</t>
        </is>
      </c>
      <c r="AU120" s="5" t="inlineStr">
        <is>
          <t>No</t>
        </is>
      </c>
      <c r="AV120" s="5" t="inlineStr">
        <is>
          <t>No</t>
        </is>
      </c>
      <c r="AW120" s="5" t="inlineStr">
        <is>
          <t>No</t>
        </is>
      </c>
      <c r="AX120" s="5" t="inlineStr">
        <is>
          <t>No</t>
        </is>
      </c>
      <c r="AY120" s="5" t="inlineStr">
        <is>
          <t>Verified directory</t>
        </is>
      </c>
      <c r="AZ120" s="5" t="inlineStr">
        <is>
          <t>Website Found</t>
        </is>
      </c>
      <c r="BA120" s="5" t="inlineStr">
        <is>
          <t>2026-09-16</t>
        </is>
      </c>
      <c r="BB120" s="5" t="inlineStr">
        <is>
          <t>Requires Verification</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2026-09-16</t>
        </is>
      </c>
      <c r="BJ120" s="5" t="inlineStr">
        <is>
          <t>New</t>
        </is>
      </c>
      <c r="BK120" s="5" t="inlineStr">
        <is>
          <t>2026-09-16</t>
        </is>
      </c>
      <c r="BL120" s="5" t="inlineStr"/>
      <c r="BM120" s="5" t="inlineStr"/>
      <c r="BN120" s="5" t="inlineStr"/>
      <c r="BO120" s="5" t="inlineStr"/>
      <c r="BP120" s="5" t="inlineStr"/>
      <c r="BQ120" s="5" t="inlineStr"/>
    </row>
    <row r="121">
      <c r="A121" s="10" t="inlineStr">
        <is>
          <t>WY-0074</t>
        </is>
      </c>
      <c r="B121" s="10" t="inlineStr">
        <is>
          <t>WY-0074-01</t>
        </is>
      </c>
      <c r="C121" s="10" t="inlineStr"/>
      <c r="D121" s="10" t="inlineStr">
        <is>
          <t>Castleford Road Off Licence</t>
        </is>
      </c>
      <c r="E121" s="10" t="inlineStr">
        <is>
          <t>Castleford Road Off Licence</t>
        </is>
      </c>
      <c r="F121" s="10" t="inlineStr">
        <is>
          <t>Castleford Road Off Licence Limited</t>
        </is>
      </c>
      <c r="G121" s="10" t="inlineStr">
        <is>
          <t>Off-Licence</t>
        </is>
      </c>
      <c r="H121" s="10" t="inlineStr">
        <is>
          <t>Off-licence and convenience store</t>
        </is>
      </c>
      <c r="I121" s="10" t="inlineStr">
        <is>
          <t>Independent</t>
        </is>
      </c>
      <c r="J121" s="10" t="inlineStr">
        <is>
          <t>1</t>
        </is>
      </c>
      <c r="K121" s="10" t="inlineStr"/>
      <c r="L121" s="10" t="inlineStr"/>
      <c r="M121" s="10" t="inlineStr"/>
      <c r="N121" s="10" t="inlineStr"/>
      <c r="O121" s="10" t="inlineStr">
        <is>
          <t>154 Castleford Road</t>
        </is>
      </c>
      <c r="P121" s="10" t="inlineStr"/>
      <c r="Q121" s="10" t="inlineStr">
        <is>
          <t>Normanton</t>
        </is>
      </c>
      <c r="R121" s="10" t="inlineStr">
        <is>
          <t>West Yorkshire</t>
        </is>
      </c>
      <c r="S121" s="10" t="inlineStr">
        <is>
          <t>WF6 2EU</t>
        </is>
      </c>
      <c r="T121" s="10" t="inlineStr">
        <is>
          <t>Yorkshire &amp; Humber</t>
        </is>
      </c>
      <c r="U121" s="10" t="inlineStr">
        <is>
          <t>England</t>
        </is>
      </c>
      <c r="V121" s="10" t="inlineStr">
        <is>
          <t>01924 223984</t>
        </is>
      </c>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alcohol; tobacco; convenience grocery</t>
        </is>
      </c>
      <c r="AL121" s="10" t="inlineStr"/>
      <c r="AM121" s="10" t="inlineStr">
        <is>
          <t>Off-Licence</t>
        </is>
      </c>
      <c r="AN121" s="10" t="inlineStr"/>
      <c r="AO121" s="10" t="inlineStr">
        <is>
          <t>Trades as a limited company per 192.com listing ('Castleford Road Off Licence Limited'); Companies House record not yet verified.</t>
        </is>
      </c>
      <c r="AP121" s="10" t="inlineStr">
        <is>
          <t>Low</t>
        </is>
      </c>
      <c r="AQ121" s="10" t="inlineStr">
        <is>
          <t>Independent retailer; Relevant category</t>
        </is>
      </c>
      <c r="AR121" s="10" t="inlineStr">
        <is>
          <t>https://www.192.com/atoz/business/normanton-wf6/convenience-stores/castleford-road-off-licence-limited/bb1e65f2f01c9a4208fc92bb1c8fdf5da42be2ec/comp/</t>
        </is>
      </c>
      <c r="AS121" s="10" t="inlineStr">
        <is>
          <t>https://ratings.food.gov.uk/business/283424</t>
        </is>
      </c>
      <c r="AT121" s="10" t="inlineStr">
        <is>
          <t>2</t>
        </is>
      </c>
      <c r="AU121" s="10" t="inlineStr">
        <is>
          <t>No</t>
        </is>
      </c>
      <c r="AV121" s="10" t="inlineStr">
        <is>
          <t>No</t>
        </is>
      </c>
      <c r="AW121" s="10" t="inlineStr">
        <is>
          <t>No</t>
        </is>
      </c>
      <c r="AX121" s="10" t="inlineStr">
        <is>
          <t>No</t>
        </is>
      </c>
      <c r="AY121" s="10" t="inlineStr">
        <is>
          <t>Verified directory</t>
        </is>
      </c>
      <c r="AZ121" s="10" t="inlineStr">
        <is>
          <t>Not Found</t>
        </is>
      </c>
      <c r="BA121" s="10" t="inlineStr">
        <is>
          <t>2026-09-16</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2026-09-16</t>
        </is>
      </c>
      <c r="BJ121" s="10" t="inlineStr">
        <is>
          <t>New</t>
        </is>
      </c>
      <c r="BK121" s="10" t="inlineStr">
        <is>
          <t>2026-09-16</t>
        </is>
      </c>
      <c r="BL121" s="10" t="inlineStr"/>
      <c r="BM121" s="10" t="inlineStr"/>
      <c r="BN121" s="10" t="inlineStr"/>
      <c r="BO121" s="10" t="inlineStr"/>
      <c r="BP121" s="10" t="inlineStr"/>
      <c r="BQ121" s="10" t="inlineStr"/>
    </row>
    <row r="122">
      <c r="A122" s="5" t="inlineStr">
        <is>
          <t>WY-0075</t>
        </is>
      </c>
      <c r="B122" s="5" t="inlineStr">
        <is>
          <t>WY-0075-01</t>
        </is>
      </c>
      <c r="C122" s="5" t="inlineStr"/>
      <c r="D122" s="5" t="inlineStr">
        <is>
          <t>Charlesworths</t>
        </is>
      </c>
      <c r="E122" s="5" t="inlineStr">
        <is>
          <t>Charlesworths</t>
        </is>
      </c>
      <c r="F122" s="5" t="inlineStr"/>
      <c r="G122" s="5" t="inlineStr">
        <is>
          <t>Newsagent</t>
        </is>
      </c>
      <c r="H122" s="5" t="inlineStr">
        <is>
          <t>Newsagent, stationer, toys and confectionery</t>
        </is>
      </c>
      <c r="I122" s="5" t="inlineStr">
        <is>
          <t>Independent</t>
        </is>
      </c>
      <c r="J122" s="5" t="inlineStr">
        <is>
          <t>1</t>
        </is>
      </c>
      <c r="K122" s="5" t="inlineStr"/>
      <c r="L122" s="5" t="inlineStr"/>
      <c r="M122" s="5" t="inlineStr"/>
      <c r="N122" s="5" t="inlineStr"/>
      <c r="O122" s="5" t="inlineStr">
        <is>
          <t>27 Victoria Street</t>
        </is>
      </c>
      <c r="P122" s="5" t="inlineStr"/>
      <c r="Q122" s="5" t="inlineStr">
        <is>
          <t>Holmfirth</t>
        </is>
      </c>
      <c r="R122" s="5" t="inlineStr">
        <is>
          <t>West Yorkshire</t>
        </is>
      </c>
      <c r="S122" s="5" t="inlineStr">
        <is>
          <t>HD9 7DF</t>
        </is>
      </c>
      <c r="T122" s="5" t="inlineStr">
        <is>
          <t>Yorkshire &amp; Humber</t>
        </is>
      </c>
      <c r="U122" s="5" t="inlineStr">
        <is>
          <t>England</t>
        </is>
      </c>
      <c r="V122" s="5" t="inlineStr">
        <is>
          <t>01484 681111</t>
        </is>
      </c>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newspapers; magazines; confectionery; toys; stationery</t>
        </is>
      </c>
      <c r="AL122" s="5" t="inlineStr"/>
      <c r="AM122" s="5" t="inlineStr">
        <is>
          <t>Newsagent</t>
        </is>
      </c>
      <c r="AN122" s="5" t="inlineStr"/>
      <c r="AO122" s="5" t="inlineStr">
        <is>
          <t>Newsagent trading on this site since 1891 per Holmfirth Local History Group. A 'CHARLESWORTHS (YORKSHIRE) LIMITED' exists at Companies House but was not confirmed as the same business, so not recorded.</t>
        </is>
      </c>
      <c r="AP122" s="5" t="inlineStr">
        <is>
          <t>Low</t>
        </is>
      </c>
      <c r="AQ122" s="5" t="inlineStr">
        <is>
          <t>Independent retailer; Relevant category</t>
        </is>
      </c>
      <c r="AR122" s="5" t="inlineStr">
        <is>
          <t>https://myindex.co.uk/charlesworths.htm</t>
        </is>
      </c>
      <c r="AS122" s="5" t="inlineStr">
        <is>
          <t>https://citikey.uk/display/charlesworths-B1CQZ</t>
        </is>
      </c>
      <c r="AT122" s="5" t="inlineStr">
        <is>
          <t>3</t>
        </is>
      </c>
      <c r="AU122" s="5" t="inlineStr">
        <is>
          <t>No</t>
        </is>
      </c>
      <c r="AV122" s="5" t="inlineStr">
        <is>
          <t>No</t>
        </is>
      </c>
      <c r="AW122" s="5" t="inlineStr">
        <is>
          <t>No</t>
        </is>
      </c>
      <c r="AX122" s="5" t="inlineStr">
        <is>
          <t>No</t>
        </is>
      </c>
      <c r="AY122" s="5" t="inlineStr">
        <is>
          <t>Verified directory</t>
        </is>
      </c>
      <c r="AZ122" s="5" t="inlineStr">
        <is>
          <t>Not Found</t>
        </is>
      </c>
      <c r="BA122" s="5" t="inlineStr">
        <is>
          <t>2026-09-16</t>
        </is>
      </c>
      <c r="BB122" s="5" t="inlineStr">
        <is>
          <t>Requires Verification</t>
        </is>
      </c>
      <c r="BC122" s="5" t="inlineStr">
        <is>
          <t>Medium</t>
        </is>
      </c>
      <c r="BD122" s="5" t="inlineStr"/>
      <c r="BE122" s="5" t="inlineStr">
        <is>
          <t>Business (B2B)</t>
        </is>
      </c>
      <c r="BF122" s="5" t="inlineStr">
        <is>
          <t>Legitimate interest (B2B) - assess per campaign; PECR: corporate subscribers</t>
        </is>
      </c>
      <c r="BG122" s="5" t="inlineStr"/>
      <c r="BH122" s="5" t="inlineStr">
        <is>
          <t>No</t>
        </is>
      </c>
      <c r="BI122" s="5" t="inlineStr">
        <is>
          <t>2026-09-16</t>
        </is>
      </c>
      <c r="BJ122" s="5" t="inlineStr">
        <is>
          <t>New</t>
        </is>
      </c>
      <c r="BK122" s="5" t="inlineStr">
        <is>
          <t>2026-09-16</t>
        </is>
      </c>
      <c r="BL122" s="5" t="inlineStr"/>
      <c r="BM122" s="5" t="inlineStr"/>
      <c r="BN122" s="5" t="inlineStr"/>
      <c r="BO122" s="5" t="inlineStr"/>
      <c r="BP122" s="5" t="inlineStr"/>
      <c r="BQ122" s="5" t="inlineStr"/>
    </row>
    <row r="123">
      <c r="A123" s="10" t="inlineStr">
        <is>
          <t>UK-000240</t>
        </is>
      </c>
      <c r="B123" s="10" t="inlineStr">
        <is>
          <t>UK-000240-01</t>
        </is>
      </c>
      <c r="C123" s="10" t="inlineStr"/>
      <c r="D123" s="10" t="inlineStr">
        <is>
          <t>Chong Wah Oriental Supermarket</t>
        </is>
      </c>
      <c r="E123" s="10" t="inlineStr">
        <is>
          <t>Chong Wah Oriental Supermarket</t>
        </is>
      </c>
      <c r="F123" s="10" t="inlineStr"/>
      <c r="G123" s="10" t="inlineStr">
        <is>
          <t>Independent Supermarket</t>
        </is>
      </c>
      <c r="H123" s="10" t="inlineStr">
        <is>
          <t>Asian / oriental supermarket</t>
        </is>
      </c>
      <c r="I123" s="10" t="inlineStr">
        <is>
          <t>Independent</t>
        </is>
      </c>
      <c r="J123" s="10" t="inlineStr">
        <is>
          <t>1</t>
        </is>
      </c>
      <c r="K123" s="10" t="inlineStr"/>
      <c r="L123" s="10" t="inlineStr"/>
      <c r="M123" s="10" t="inlineStr"/>
      <c r="N123" s="10" t="inlineStr"/>
      <c r="O123" s="10" t="inlineStr">
        <is>
          <t>Union Street</t>
        </is>
      </c>
      <c r="P123" s="10" t="inlineStr"/>
      <c r="Q123" s="10" t="inlineStr">
        <is>
          <t>Kingston upon Hull</t>
        </is>
      </c>
      <c r="R123" s="10" t="inlineStr">
        <is>
          <t>East Riding of Yorkshire</t>
        </is>
      </c>
      <c r="S123" s="10" t="inlineStr"/>
      <c r="T123" s="10" t="inlineStr">
        <is>
          <t>Yorkshire &amp; Humber</t>
        </is>
      </c>
      <c r="U123" s="10" t="inlineStr">
        <is>
          <t>England</t>
        </is>
      </c>
      <c r="V123" s="10" t="inlineStr"/>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Asian groceries; oriental foods; fresh produce</t>
        </is>
      </c>
      <c r="AL123" s="10" t="inlineStr"/>
      <c r="AM123" s="10" t="inlineStr">
        <is>
          <t>Independent Supermarket</t>
        </is>
      </c>
      <c r="AN123" s="10" t="inlineStr"/>
      <c r="AO123" s="10" t="inlineStr">
        <is>
          <t>Independent oriental/Asian supermarket on Union Street, Hull. No postcode/phone in search results.</t>
        </is>
      </c>
      <c r="AP123" s="10" t="inlineStr">
        <is>
          <t>Low</t>
        </is>
      </c>
      <c r="AQ123" s="10" t="inlineStr">
        <is>
          <t>Independent retailer; Relevant category</t>
        </is>
      </c>
      <c r="AR123" s="10" t="inlineStr">
        <is>
          <t>https://www.yorkshire.com/hull/shopping/supermarkets/chong-wah-oriental-supermarket</t>
        </is>
      </c>
      <c r="AS123" s="10" t="inlineStr"/>
      <c r="AT123" s="10" t="inlineStr">
        <is>
          <t>1</t>
        </is>
      </c>
      <c r="AU123" s="10" t="inlineStr">
        <is>
          <t>No</t>
        </is>
      </c>
      <c r="AV123" s="10" t="inlineStr">
        <is>
          <t>No</t>
        </is>
      </c>
      <c r="AW123" s="10" t="inlineStr">
        <is>
          <t>No</t>
        </is>
      </c>
      <c r="AX123" s="10" t="inlineStr">
        <is>
          <t>No</t>
        </is>
      </c>
      <c r="AY123" s="10" t="inlineStr">
        <is>
          <t>Not Found</t>
        </is>
      </c>
      <c r="AZ123" s="10" t="inlineStr">
        <is>
          <t>Not Found</t>
        </is>
      </c>
      <c r="BA123" s="10" t="inlineStr">
        <is>
          <t>2026-09-16</t>
        </is>
      </c>
      <c r="BB123" s="10" t="inlineStr">
        <is>
          <t>Requires Verification</t>
        </is>
      </c>
      <c r="BC123" s="10" t="inlineStr">
        <is>
          <t>Low</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2026-09-16</t>
        </is>
      </c>
      <c r="BJ123" s="10" t="inlineStr">
        <is>
          <t>New</t>
        </is>
      </c>
      <c r="BK123" s="10" t="inlineStr">
        <is>
          <t>2026-09-16</t>
        </is>
      </c>
      <c r="BL123" s="10" t="inlineStr"/>
      <c r="BM123" s="10" t="inlineStr"/>
      <c r="BN123" s="10" t="inlineStr"/>
      <c r="BO123" s="10" t="inlineStr"/>
      <c r="BP123" s="10" t="inlineStr"/>
      <c r="BQ123" s="10" t="inlineStr"/>
    </row>
    <row r="124">
      <c r="A124" s="5" t="inlineStr">
        <is>
          <t>UK-000241</t>
        </is>
      </c>
      <c r="B124" s="5" t="inlineStr">
        <is>
          <t>UK-000241-01</t>
        </is>
      </c>
      <c r="C124" s="5" t="inlineStr"/>
      <c r="D124" s="5" t="inlineStr">
        <is>
          <t>Cirrus Vape Hull</t>
        </is>
      </c>
      <c r="E124" s="5" t="inlineStr">
        <is>
          <t>Cirrus Vape</t>
        </is>
      </c>
      <c r="F124" s="5" t="inlineStr"/>
      <c r="G124" s="5" t="inlineStr">
        <is>
          <t>Vape Shop</t>
        </is>
      </c>
      <c r="H124" s="5" t="inlineStr">
        <is>
          <t>E-cigarette shop</t>
        </is>
      </c>
      <c r="I124" s="5" t="inlineStr">
        <is>
          <t>Independent</t>
        </is>
      </c>
      <c r="J124" s="5" t="inlineStr">
        <is>
          <t>1</t>
        </is>
      </c>
      <c r="K124" s="5" t="inlineStr"/>
      <c r="L124" s="5" t="inlineStr">
        <is>
          <t>https://www.facebook.com/cirrusvapecirrusvape/</t>
        </is>
      </c>
      <c r="M124" s="5" t="inlineStr"/>
      <c r="N124" s="5" t="inlineStr"/>
      <c r="O124" s="5" t="inlineStr"/>
      <c r="P124" s="5" t="inlineStr"/>
      <c r="Q124" s="5" t="inlineStr">
        <is>
          <t>Kingston upon Hull</t>
        </is>
      </c>
      <c r="R124" s="5" t="inlineStr">
        <is>
          <t>East Riding of Yorkshire</t>
        </is>
      </c>
      <c r="S124" s="5" t="inlineStr"/>
      <c r="T124" s="5" t="inlineStr">
        <is>
          <t>Yorkshire &amp; Humber</t>
        </is>
      </c>
      <c r="U124" s="5" t="inlineStr">
        <is>
          <t>England</t>
        </is>
      </c>
      <c r="V124" s="5" t="inlineStr"/>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e-cigarettes; e-liquids</t>
        </is>
      </c>
      <c r="AL124" s="5" t="inlineStr"/>
      <c r="AM124" s="5" t="inlineStr">
        <is>
          <t>Vape Shop</t>
        </is>
      </c>
      <c r="AN124" s="5" t="inlineStr"/>
      <c r="AO124" s="5" t="inlineStr">
        <is>
          <t>Independent vape shop listed on Facebook. No address/phone published in search results.</t>
        </is>
      </c>
      <c r="AP124" s="5" t="inlineStr">
        <is>
          <t>Medium</t>
        </is>
      </c>
      <c r="AQ124" s="5" t="inlineStr">
        <is>
          <t>Independent retailer; Core relevant category; Social presence</t>
        </is>
      </c>
      <c r="AR124" s="5" t="inlineStr">
        <is>
          <t>https://www.facebook.com/cirrusvapecirrusvape/</t>
        </is>
      </c>
      <c r="AS124" s="5" t="inlineStr"/>
      <c r="AT124" s="5" t="inlineStr">
        <is>
          <t>1</t>
        </is>
      </c>
      <c r="AU124" s="5" t="inlineStr">
        <is>
          <t>No</t>
        </is>
      </c>
      <c r="AV124" s="5" t="inlineStr">
        <is>
          <t>No</t>
        </is>
      </c>
      <c r="AW124" s="5" t="inlineStr">
        <is>
          <t>No</t>
        </is>
      </c>
      <c r="AX124" s="5" t="inlineStr">
        <is>
          <t>No</t>
        </is>
      </c>
      <c r="AY124" s="5" t="inlineStr">
        <is>
          <t>Not Found</t>
        </is>
      </c>
      <c r="AZ124" s="5" t="inlineStr">
        <is>
          <t>Not Found</t>
        </is>
      </c>
      <c r="BA124" s="5" t="inlineStr">
        <is>
          <t>2026-09-16</t>
        </is>
      </c>
      <c r="BB124" s="5" t="inlineStr">
        <is>
          <t>Requires Verification</t>
        </is>
      </c>
      <c r="BC124" s="5" t="inlineStr">
        <is>
          <t>Low</t>
        </is>
      </c>
      <c r="BD124" s="5" t="inlineStr"/>
      <c r="BE124" s="5" t="inlineStr">
        <is>
          <t>Business (B2B)</t>
        </is>
      </c>
      <c r="BF124" s="5" t="inlineStr">
        <is>
          <t>Legitimate interest (B2B) - assess per campaign; PECR: corporate subscribers</t>
        </is>
      </c>
      <c r="BG124" s="5" t="inlineStr"/>
      <c r="BH124" s="5" t="inlineStr">
        <is>
          <t>No</t>
        </is>
      </c>
      <c r="BI124" s="5" t="inlineStr">
        <is>
          <t>2026-09-16</t>
        </is>
      </c>
      <c r="BJ124" s="5" t="inlineStr">
        <is>
          <t>New</t>
        </is>
      </c>
      <c r="BK124" s="5" t="inlineStr">
        <is>
          <t>2026-09-16</t>
        </is>
      </c>
      <c r="BL124" s="5" t="inlineStr"/>
      <c r="BM124" s="5" t="inlineStr"/>
      <c r="BN124" s="5" t="inlineStr"/>
      <c r="BO124" s="5" t="inlineStr"/>
      <c r="BP124" s="5" t="inlineStr"/>
      <c r="BQ124" s="5" t="inlineStr"/>
    </row>
    <row r="125">
      <c r="A125" s="10" t="inlineStr">
        <is>
          <t>WY-0076</t>
        </is>
      </c>
      <c r="B125" s="10" t="inlineStr">
        <is>
          <t>WY-0076-01</t>
        </is>
      </c>
      <c r="C125" s="10" t="inlineStr"/>
      <c r="D125" s="10" t="inlineStr">
        <is>
          <t>Costcutter Wibsey</t>
        </is>
      </c>
      <c r="E125" s="10" t="inlineStr">
        <is>
          <t>Costcutter</t>
        </is>
      </c>
      <c r="F125" s="10" t="inlineStr"/>
      <c r="G125" s="10" t="inlineStr">
        <is>
          <t>Convenience Store</t>
        </is>
      </c>
      <c r="H125" s="10" t="inlineStr">
        <is>
          <t>Symbol-group convenience store</t>
        </is>
      </c>
      <c r="I125" s="10" t="inlineStr">
        <is>
          <t>Franchise / Symbol Group</t>
        </is>
      </c>
      <c r="J125" s="10" t="inlineStr">
        <is>
          <t>1</t>
        </is>
      </c>
      <c r="K125" s="10" t="inlineStr">
        <is>
          <t>https://store-locator.costcutter.co.uk/costcutter-b8ba71542351</t>
        </is>
      </c>
      <c r="L125" s="10" t="inlineStr"/>
      <c r="M125" s="10" t="inlineStr"/>
      <c r="N125" s="10" t="inlineStr"/>
      <c r="O125" s="10" t="inlineStr">
        <is>
          <t>48 Holroyd Hill</t>
        </is>
      </c>
      <c r="P125" s="10" t="inlineStr">
        <is>
          <t>Wibsey</t>
        </is>
      </c>
      <c r="Q125" s="10" t="inlineStr">
        <is>
          <t>Bradford</t>
        </is>
      </c>
      <c r="R125" s="10" t="inlineStr">
        <is>
          <t>West Yorkshire</t>
        </is>
      </c>
      <c r="S125" s="10" t="inlineStr">
        <is>
          <t>BD6 1PQ</t>
        </is>
      </c>
      <c r="T125" s="10" t="inlineStr">
        <is>
          <t>Yorkshire &amp; Humber</t>
        </is>
      </c>
      <c r="U125" s="10" t="inlineStr">
        <is>
          <t>England</t>
        </is>
      </c>
      <c r="V125" s="10" t="inlineStr">
        <is>
          <t>01274 723454</t>
        </is>
      </c>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convenience lines; groceries; alcohol; news</t>
        </is>
      </c>
      <c r="AL125" s="10" t="inlineStr"/>
      <c r="AM125" s="10" t="inlineStr">
        <is>
          <t>Convenience Store</t>
        </is>
      </c>
      <c r="AN125" s="10" t="inlineStr"/>
      <c r="AO125" s="10" t="inlineStr">
        <is>
          <t>Independently owned Costcutter symbol store in Wibsey; address confirmed via Costcutter store locator and local directory listings.</t>
        </is>
      </c>
      <c r="AP125" s="10" t="inlineStr">
        <is>
          <t>Medium</t>
        </is>
      </c>
      <c r="AQ125" s="10" t="inlineStr">
        <is>
          <t>Independent retailer; Relevant category; Active website</t>
        </is>
      </c>
      <c r="AR125" s="10" t="inlineStr">
        <is>
          <t>https://www.yorkshire.com/wibsey/shopping/corner-shops/costcutter-15</t>
        </is>
      </c>
      <c r="AS125" s="10" t="inlineStr">
        <is>
          <t>https://www.locaji.co.uk/west-yorkshire/bradford/costcutter/1616/</t>
        </is>
      </c>
      <c r="AT125" s="10" t="inlineStr">
        <is>
          <t>3</t>
        </is>
      </c>
      <c r="AU125" s="10" t="inlineStr">
        <is>
          <t>No</t>
        </is>
      </c>
      <c r="AV125" s="10" t="inlineStr">
        <is>
          <t>No</t>
        </is>
      </c>
      <c r="AW125" s="10" t="inlineStr">
        <is>
          <t>No</t>
        </is>
      </c>
      <c r="AX125" s="10" t="inlineStr">
        <is>
          <t>No</t>
        </is>
      </c>
      <c r="AY125" s="10" t="inlineStr">
        <is>
          <t>Verified directory</t>
        </is>
      </c>
      <c r="AZ125" s="10" t="inlineStr">
        <is>
          <t>Not Found</t>
        </is>
      </c>
      <c r="BA125" s="10" t="inlineStr">
        <is>
          <t>2026-09-16</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2026-09-16</t>
        </is>
      </c>
      <c r="BJ125" s="10" t="inlineStr">
        <is>
          <t>New</t>
        </is>
      </c>
      <c r="BK125" s="10" t="inlineStr">
        <is>
          <t>2026-09-16</t>
        </is>
      </c>
      <c r="BL125" s="10" t="inlineStr"/>
      <c r="BM125" s="10" t="inlineStr"/>
      <c r="BN125" s="10" t="inlineStr"/>
      <c r="BO125" s="10" t="inlineStr"/>
      <c r="BP125" s="10" t="inlineStr"/>
      <c r="BQ125" s="10" t="inlineStr"/>
    </row>
    <row r="126">
      <c r="A126" s="5" t="inlineStr">
        <is>
          <t>WY-0077</t>
        </is>
      </c>
      <c r="B126" s="5" t="inlineStr">
        <is>
          <t>WY-0077-01</t>
        </is>
      </c>
      <c r="C126" s="5" t="inlineStr"/>
      <c r="D126" s="5" t="inlineStr">
        <is>
          <t>Cote Hill Filling Station</t>
        </is>
      </c>
      <c r="E126" s="5" t="inlineStr">
        <is>
          <t>Cote Hill Filling Station</t>
        </is>
      </c>
      <c r="F126" s="5" t="inlineStr"/>
      <c r="G126" s="5" t="inlineStr">
        <is>
          <t>Petrol Station / Forecourt</t>
        </is>
      </c>
      <c r="H126" s="5" t="inlineStr">
        <is>
          <t>Esso-branded independent forecourt with shop</t>
        </is>
      </c>
      <c r="I126" s="5" t="inlineStr">
        <is>
          <t>Independent</t>
        </is>
      </c>
      <c r="J126" s="5" t="inlineStr">
        <is>
          <t>1</t>
        </is>
      </c>
      <c r="K126" s="5" t="inlineStr">
        <is>
          <t>https://www.cotehillhalifax.co.uk/</t>
        </is>
      </c>
      <c r="L126" s="5" t="inlineStr">
        <is>
          <t>https://www.facebook.com/cotehillhalifax/</t>
        </is>
      </c>
      <c r="M126" s="5" t="inlineStr"/>
      <c r="N126" s="5" t="inlineStr"/>
      <c r="O126" s="5" t="inlineStr">
        <is>
          <t>Burnley Road</t>
        </is>
      </c>
      <c r="P126" s="5" t="inlineStr">
        <is>
          <t>Cote Hill / King Cross (between Halifax and Sowerby Bridge)</t>
        </is>
      </c>
      <c r="Q126" s="5" t="inlineStr">
        <is>
          <t>Halifax</t>
        </is>
      </c>
      <c r="R126" s="5" t="inlineStr">
        <is>
          <t>West Yorkshire</t>
        </is>
      </c>
      <c r="S126" s="5" t="inlineStr">
        <is>
          <t>HX2 7NB</t>
        </is>
      </c>
      <c r="T126" s="5" t="inlineStr">
        <is>
          <t>Yorkshire &amp; Humber</t>
        </is>
      </c>
      <c r="U126" s="5" t="inlineStr">
        <is>
          <t>England</t>
        </is>
      </c>
      <c r="V126" s="5" t="inlineStr">
        <is>
          <t>01422 835350</t>
        </is>
      </c>
      <c r="W126" s="5" t="inlineStr"/>
      <c r="X126" s="5" t="inlineStr"/>
      <c r="Y126" s="5" t="inlineStr">
        <is>
          <t>cotehillhalifax@gmail.com</t>
        </is>
      </c>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fuel (unleaded, diesel, Synergy 99+, gas oil); forecourt shop; car wash</t>
        </is>
      </c>
      <c r="AL126" s="5" t="inlineStr"/>
      <c r="AM126" s="5" t="inlineStr">
        <is>
          <t>Petrol Station / Forecourt</t>
        </is>
      </c>
      <c r="AN126" s="5" t="inlineStr">
        <is>
          <t>Esso fuel supply</t>
        </is>
      </c>
      <c r="AO126" s="5" t="inlineStr">
        <is>
          <t>Independent family forecourt with its own website and Facebook page; open Mon-Sat 06:00-21:00, Sun 07:00-21:00. Website fetch blocked so phone/email not captured.</t>
        </is>
      </c>
      <c r="AP126" s="5" t="inlineStr">
        <is>
          <t>Medium</t>
        </is>
      </c>
      <c r="AQ126" s="5" t="inlineStr">
        <is>
          <t>Independent retailer; Relevant category; Public email available; Active website; Social presence</t>
        </is>
      </c>
      <c r="AR126" s="5" t="inlineStr">
        <is>
          <t>https://www.cotehillhalifax.co.uk/</t>
        </is>
      </c>
      <c r="AS126" s="5" t="inlineStr">
        <is>
          <t>https://www.yell.com/biz/cote-hill-filling-station-halifax-994009/</t>
        </is>
      </c>
      <c r="AT126" s="5" t="inlineStr">
        <is>
          <t>3</t>
        </is>
      </c>
      <c r="AU126" s="5" t="inlineStr">
        <is>
          <t>No</t>
        </is>
      </c>
      <c r="AV126" s="5" t="inlineStr">
        <is>
          <t>No</t>
        </is>
      </c>
      <c r="AW126" s="5" t="inlineStr">
        <is>
          <t>Yes</t>
        </is>
      </c>
      <c r="AX126" s="5" t="inlineStr">
        <is>
          <t>No</t>
        </is>
      </c>
      <c r="AY126" s="5" t="inlineStr">
        <is>
          <t>Verified directory</t>
        </is>
      </c>
      <c r="AZ126" s="5" t="inlineStr">
        <is>
          <t>Website Found</t>
        </is>
      </c>
      <c r="BA126" s="5" t="inlineStr">
        <is>
          <t>2026-09-16</t>
        </is>
      </c>
      <c r="BB126" s="5" t="inlineStr">
        <is>
          <t>Partially Verified</t>
        </is>
      </c>
      <c r="BC126" s="5" t="inlineStr">
        <is>
          <t>Medium</t>
        </is>
      </c>
      <c r="BD126" s="5" t="inlineStr"/>
      <c r="BE126" s="5" t="inlineStr">
        <is>
          <t>Business (B2B)</t>
        </is>
      </c>
      <c r="BF126" s="5" t="inlineStr">
        <is>
          <t>Legitimate interest (B2B) - assess per campaign; PECR: corporate subscribers</t>
        </is>
      </c>
      <c r="BG126" s="5" t="inlineStr"/>
      <c r="BH126" s="5" t="inlineStr">
        <is>
          <t>No</t>
        </is>
      </c>
      <c r="BI126" s="5" t="inlineStr">
        <is>
          <t>2026-09-16</t>
        </is>
      </c>
      <c r="BJ126" s="5" t="inlineStr">
        <is>
          <t>New</t>
        </is>
      </c>
      <c r="BK126" s="5" t="inlineStr">
        <is>
          <t>2026-09-16</t>
        </is>
      </c>
      <c r="BL126" s="5" t="inlineStr"/>
      <c r="BM126" s="5" t="inlineStr"/>
      <c r="BN126" s="5" t="inlineStr"/>
      <c r="BO126" s="5" t="inlineStr"/>
      <c r="BP126" s="5" t="inlineStr"/>
      <c r="BQ126" s="5" t="inlineStr"/>
    </row>
    <row r="127">
      <c r="A127" s="10" t="inlineStr">
        <is>
          <t>UK-000242</t>
        </is>
      </c>
      <c r="B127" s="10" t="inlineStr">
        <is>
          <t>UK-000242-01</t>
        </is>
      </c>
      <c r="C127" s="10" t="inlineStr"/>
      <c r="D127" s="10" t="inlineStr">
        <is>
          <t>Cram Vape Doncaster</t>
        </is>
      </c>
      <c r="E127" s="10" t="inlineStr">
        <is>
          <t>Cram Vape</t>
        </is>
      </c>
      <c r="F127" s="10" t="inlineStr"/>
      <c r="G127" s="10" t="inlineStr">
        <is>
          <t>Vape Shop</t>
        </is>
      </c>
      <c r="H127" s="10" t="inlineStr">
        <is>
          <t>Vape shop</t>
        </is>
      </c>
      <c r="I127" s="10" t="inlineStr">
        <is>
          <t>Independent</t>
        </is>
      </c>
      <c r="J127" s="10" t="inlineStr">
        <is>
          <t>1</t>
        </is>
      </c>
      <c r="K127" s="10" t="inlineStr">
        <is>
          <t>https://cram-vape.ueniweb.com/</t>
        </is>
      </c>
      <c r="L127" s="10" t="inlineStr"/>
      <c r="M127" s="10" t="inlineStr"/>
      <c r="N127" s="10" t="inlineStr"/>
      <c r="O127" s="10" t="inlineStr"/>
      <c r="P127" s="10" t="inlineStr"/>
      <c r="Q127" s="10" t="inlineStr">
        <is>
          <t>Doncaster</t>
        </is>
      </c>
      <c r="R127" s="10" t="inlineStr">
        <is>
          <t>South Yorkshire</t>
        </is>
      </c>
      <c r="S127" s="10" t="inlineStr"/>
      <c r="T127" s="10" t="inlineStr">
        <is>
          <t>Yorkshire &amp; Humber</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vape hardware; kits; mods; accessories; e-liquids</t>
        </is>
      </c>
      <c r="AL127" s="10" t="inlineStr"/>
      <c r="AM127" s="10" t="inlineStr">
        <is>
          <t>Vape Shop</t>
        </is>
      </c>
      <c r="AN127" s="10" t="inlineStr"/>
      <c r="AO127" s="10" t="inlineStr">
        <is>
          <t>Independent Doncaster vape shop with a UENI web listing; street address/postcode not captured from search results.</t>
        </is>
      </c>
      <c r="AP127" s="10" t="inlineStr">
        <is>
          <t>Medium</t>
        </is>
      </c>
      <c r="AQ127" s="10" t="inlineStr">
        <is>
          <t>Independent retailer; Core relevant category; Active website</t>
        </is>
      </c>
      <c r="AR127" s="10" t="inlineStr">
        <is>
          <t>https://cram-vape.ueniweb.com/</t>
        </is>
      </c>
      <c r="AS127" s="10" t="inlineStr"/>
      <c r="AT127" s="10" t="inlineStr">
        <is>
          <t>1</t>
        </is>
      </c>
      <c r="AU127" s="10" t="inlineStr">
        <is>
          <t>No</t>
        </is>
      </c>
      <c r="AV127" s="10" t="inlineStr">
        <is>
          <t>No</t>
        </is>
      </c>
      <c r="AW127" s="10" t="inlineStr">
        <is>
          <t>No</t>
        </is>
      </c>
      <c r="AX127" s="10" t="inlineStr">
        <is>
          <t>No</t>
        </is>
      </c>
      <c r="AY127" s="10" t="inlineStr">
        <is>
          <t>Not Found</t>
        </is>
      </c>
      <c r="AZ127" s="10" t="inlineStr">
        <is>
          <t>Website Found</t>
        </is>
      </c>
      <c r="BA127" s="10" t="inlineStr">
        <is>
          <t>2026-09-16</t>
        </is>
      </c>
      <c r="BB127" s="10" t="inlineStr">
        <is>
          <t>Requires Verification</t>
        </is>
      </c>
      <c r="BC127" s="10" t="inlineStr">
        <is>
          <t>Low</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2026-09-16</t>
        </is>
      </c>
      <c r="BL127" s="10" t="inlineStr"/>
      <c r="BM127" s="10" t="inlineStr"/>
      <c r="BN127" s="10" t="inlineStr"/>
      <c r="BO127" s="10" t="inlineStr"/>
      <c r="BP127" s="10" t="inlineStr"/>
      <c r="BQ127" s="10" t="inlineStr"/>
    </row>
    <row r="128">
      <c r="A128" s="5" t="inlineStr">
        <is>
          <t>WY-0078</t>
        </is>
      </c>
      <c r="B128" s="5" t="inlineStr">
        <is>
          <t>WY-0078-01</t>
        </is>
      </c>
      <c r="C128" s="5" t="inlineStr"/>
      <c r="D128" s="5" t="inlineStr">
        <is>
          <t>Crazycloudzzz</t>
        </is>
      </c>
      <c r="E128" s="5" t="inlineStr">
        <is>
          <t>Crazycloudzzz</t>
        </is>
      </c>
      <c r="F128" s="5" t="inlineStr"/>
      <c r="G128" s="5" t="inlineStr">
        <is>
          <t>Vape Shop</t>
        </is>
      </c>
      <c r="H128" s="5" t="inlineStr"/>
      <c r="I128" s="5" t="inlineStr">
        <is>
          <t>Independent</t>
        </is>
      </c>
      <c r="J128" s="5" t="inlineStr">
        <is>
          <t>1</t>
        </is>
      </c>
      <c r="K128" s="5" t="inlineStr"/>
      <c r="L128" s="5" t="inlineStr"/>
      <c r="M128" s="5" t="inlineStr"/>
      <c r="N128" s="5" t="inlineStr"/>
      <c r="O128" s="5" t="inlineStr">
        <is>
          <t>20 Bull Green</t>
        </is>
      </c>
      <c r="P128" s="5" t="inlineStr"/>
      <c r="Q128" s="5" t="inlineStr">
        <is>
          <t>Halifax</t>
        </is>
      </c>
      <c r="R128" s="5" t="inlineStr">
        <is>
          <t>West Yorkshire</t>
        </is>
      </c>
      <c r="S128" s="5" t="inlineStr">
        <is>
          <t>HX1 5AB</t>
        </is>
      </c>
      <c r="T128" s="5" t="inlineStr">
        <is>
          <t>Yorkshire &amp; Humber</t>
        </is>
      </c>
      <c r="U128" s="5" t="inlineStr">
        <is>
          <t>England</t>
        </is>
      </c>
      <c r="V128" s="5" t="inlineStr"/>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vapes; e-liquids</t>
        </is>
      </c>
      <c r="AL128" s="5" t="inlineStr"/>
      <c r="AM128" s="5" t="inlineStr">
        <is>
          <t>Vape Shop</t>
        </is>
      </c>
      <c r="AN128" s="5" t="inlineStr"/>
      <c r="AO128" s="5" t="inlineStr"/>
      <c r="AP128" s="5" t="inlineStr">
        <is>
          <t>Medium</t>
        </is>
      </c>
      <c r="AQ128" s="5" t="inlineStr">
        <is>
          <t>Independent retailer; Core relevant category</t>
        </is>
      </c>
      <c r="AR128" s="5" t="inlineStr">
        <is>
          <t>https://www.yell.com/s/tobacconists-halifax.html</t>
        </is>
      </c>
      <c r="AS128" s="5" t="inlineStr"/>
      <c r="AT128" s="5" t="inlineStr">
        <is>
          <t>1</t>
        </is>
      </c>
      <c r="AU128" s="5" t="inlineStr">
        <is>
          <t>No</t>
        </is>
      </c>
      <c r="AV128" s="5" t="inlineStr">
        <is>
          <t>No</t>
        </is>
      </c>
      <c r="AW128" s="5" t="inlineStr">
        <is>
          <t>No</t>
        </is>
      </c>
      <c r="AX128" s="5" t="inlineStr">
        <is>
          <t>No</t>
        </is>
      </c>
      <c r="AY128" s="5" t="inlineStr">
        <is>
          <t>Not Found</t>
        </is>
      </c>
      <c r="AZ128" s="5" t="inlineStr">
        <is>
          <t>Not Found</t>
        </is>
      </c>
      <c r="BA128" s="5" t="inlineStr">
        <is>
          <t>2026-09-16</t>
        </is>
      </c>
      <c r="BB128" s="5" t="inlineStr">
        <is>
          <t>Requires Verification</t>
        </is>
      </c>
      <c r="BC128" s="5" t="inlineStr">
        <is>
          <t>Low</t>
        </is>
      </c>
      <c r="BD128" s="5" t="inlineStr"/>
      <c r="BE128" s="5" t="inlineStr">
        <is>
          <t>Business (B2B)</t>
        </is>
      </c>
      <c r="BF128" s="5" t="inlineStr">
        <is>
          <t>Legitimate interest (B2B) - assess per campaign; PECR: corporate subscribers</t>
        </is>
      </c>
      <c r="BG128" s="5" t="inlineStr"/>
      <c r="BH128" s="5" t="inlineStr">
        <is>
          <t>No</t>
        </is>
      </c>
      <c r="BI128" s="5" t="inlineStr">
        <is>
          <t>2026-09-16</t>
        </is>
      </c>
      <c r="BJ128" s="5" t="inlineStr">
        <is>
          <t>New</t>
        </is>
      </c>
      <c r="BK128" s="5" t="inlineStr">
        <is>
          <t>2026-09-16</t>
        </is>
      </c>
      <c r="BL128" s="5" t="inlineStr"/>
      <c r="BM128" s="5" t="inlineStr"/>
      <c r="BN128" s="5" t="inlineStr"/>
      <c r="BO128" s="5" t="inlineStr"/>
      <c r="BP128" s="5" t="inlineStr"/>
      <c r="BQ128" s="5" t="inlineStr"/>
    </row>
    <row r="129">
      <c r="A129" s="10" t="inlineStr">
        <is>
          <t>WY-0079</t>
        </is>
      </c>
      <c r="B129" s="10" t="inlineStr">
        <is>
          <t>WY-0079-01</t>
        </is>
      </c>
      <c r="C129" s="10" t="inlineStr"/>
      <c r="D129" s="10" t="inlineStr">
        <is>
          <t>Crossroads Off Licence &amp; Newsagent</t>
        </is>
      </c>
      <c r="E129" s="10" t="inlineStr">
        <is>
          <t>Crossroads Off Licence &amp; Newsagent</t>
        </is>
      </c>
      <c r="F129" s="10" t="inlineStr"/>
      <c r="G129" s="10" t="inlineStr">
        <is>
          <t>Off-Licence</t>
        </is>
      </c>
      <c r="H129" s="10" t="inlineStr">
        <is>
          <t>Off-licence and newsagent</t>
        </is>
      </c>
      <c r="I129" s="10" t="inlineStr">
        <is>
          <t>Independent</t>
        </is>
      </c>
      <c r="J129" s="10" t="inlineStr">
        <is>
          <t>1</t>
        </is>
      </c>
      <c r="K129" s="10" t="inlineStr"/>
      <c r="L129" s="10" t="inlineStr"/>
      <c r="M129" s="10" t="inlineStr"/>
      <c r="N129" s="10" t="inlineStr"/>
      <c r="O129" s="10" t="inlineStr">
        <is>
          <t>19 Cross Road</t>
        </is>
      </c>
      <c r="P129" s="10" t="inlineStr"/>
      <c r="Q129" s="10" t="inlineStr">
        <is>
          <t>Wakefield</t>
        </is>
      </c>
      <c r="R129" s="10" t="inlineStr">
        <is>
          <t>West Yorkshire</t>
        </is>
      </c>
      <c r="S129" s="10" t="inlineStr"/>
      <c r="T129" s="10" t="inlineStr">
        <is>
          <t>Yorkshire &amp; Humber</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alcohol; news and magazines; tobacco; convenience</t>
        </is>
      </c>
      <c r="AL129" s="10" t="inlineStr"/>
      <c r="AM129" s="10" t="inlineStr">
        <is>
          <t>Off-Licence</t>
        </is>
      </c>
      <c r="AN129" s="10" t="inlineStr"/>
      <c r="AO129" s="10" t="inlineStr"/>
      <c r="AP129" s="10" t="inlineStr">
        <is>
          <t>Low</t>
        </is>
      </c>
      <c r="AQ129" s="10" t="inlineStr">
        <is>
          <t>Independent retailer; Relevant category</t>
        </is>
      </c>
      <c r="AR129" s="10" t="inlineStr">
        <is>
          <t>https://m.yelp.com/biz/crossroads-off-licence-and-newsagent-wakefield</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2026-09-16</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2026-09-16</t>
        </is>
      </c>
      <c r="BJ129" s="10" t="inlineStr">
        <is>
          <t>New</t>
        </is>
      </c>
      <c r="BK129" s="10" t="inlineStr">
        <is>
          <t>2026-09-16</t>
        </is>
      </c>
      <c r="BL129" s="10" t="inlineStr"/>
      <c r="BM129" s="10" t="inlineStr"/>
      <c r="BN129" s="10" t="inlineStr"/>
      <c r="BO129" s="10" t="inlineStr"/>
      <c r="BP129" s="10" t="inlineStr"/>
      <c r="BQ129" s="10" t="inlineStr"/>
    </row>
    <row r="130">
      <c r="A130" s="5" t="inlineStr">
        <is>
          <t>WY-0080</t>
        </is>
      </c>
      <c r="B130" s="5" t="inlineStr">
        <is>
          <t>WY-0080-01</t>
        </is>
      </c>
      <c r="C130" s="5" t="inlineStr"/>
      <c r="D130" s="5" t="inlineStr">
        <is>
          <t>Dhillon's Newsagents</t>
        </is>
      </c>
      <c r="E130" s="5" t="inlineStr">
        <is>
          <t>Dhillon's Newsagents</t>
        </is>
      </c>
      <c r="F130" s="5" t="inlineStr"/>
      <c r="G130" s="5" t="inlineStr">
        <is>
          <t>Newsagent</t>
        </is>
      </c>
      <c r="H130" s="5" t="inlineStr"/>
      <c r="I130" s="5" t="inlineStr">
        <is>
          <t>Independent</t>
        </is>
      </c>
      <c r="J130" s="5" t="inlineStr">
        <is>
          <t>1</t>
        </is>
      </c>
      <c r="K130" s="5" t="inlineStr"/>
      <c r="L130" s="5" t="inlineStr"/>
      <c r="M130" s="5" t="inlineStr"/>
      <c r="N130" s="5" t="inlineStr"/>
      <c r="O130" s="5" t="inlineStr">
        <is>
          <t>151 Broad Lane</t>
        </is>
      </c>
      <c r="P130" s="5" t="inlineStr">
        <is>
          <t>Bramley</t>
        </is>
      </c>
      <c r="Q130" s="5" t="inlineStr">
        <is>
          <t>Leeds</t>
        </is>
      </c>
      <c r="R130" s="5" t="inlineStr">
        <is>
          <t>West Yorkshire</t>
        </is>
      </c>
      <c r="S130" s="5" t="inlineStr">
        <is>
          <t>LS13 2JJ</t>
        </is>
      </c>
      <c r="T130" s="5" t="inlineStr">
        <is>
          <t>Yorkshire &amp; Humber</t>
        </is>
      </c>
      <c r="U130" s="5" t="inlineStr">
        <is>
          <t>England</t>
        </is>
      </c>
      <c r="V130" s="5" t="inlineStr">
        <is>
          <t>0113 257 8085</t>
        </is>
      </c>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newspapers; magazines; confectionery; tobacco</t>
        </is>
      </c>
      <c r="AL130" s="5" t="inlineStr"/>
      <c r="AM130" s="5" t="inlineStr">
        <is>
          <t>Newsagent</t>
        </is>
      </c>
      <c r="AN130" s="5" t="inlineStr"/>
      <c r="AO130" s="5" t="inlineStr"/>
      <c r="AP130" s="5" t="inlineStr">
        <is>
          <t>Low</t>
        </is>
      </c>
      <c r="AQ130" s="5" t="inlineStr">
        <is>
          <t>Independent retailer; Relevant category</t>
        </is>
      </c>
      <c r="AR130" s="5" t="inlineStr">
        <is>
          <t>https://findit.yorkshireeveningpost.co.uk/search/leeds/newsagent</t>
        </is>
      </c>
      <c r="AS130" s="5" t="inlineStr">
        <is>
          <t>https://www.192.com/atoz/business/leeds/newsagents/</t>
        </is>
      </c>
      <c r="AT130" s="5" t="inlineStr">
        <is>
          <t>2</t>
        </is>
      </c>
      <c r="AU130" s="5" t="inlineStr">
        <is>
          <t>No</t>
        </is>
      </c>
      <c r="AV130" s="5" t="inlineStr">
        <is>
          <t>No</t>
        </is>
      </c>
      <c r="AW130" s="5" t="inlineStr">
        <is>
          <t>No</t>
        </is>
      </c>
      <c r="AX130" s="5" t="inlineStr">
        <is>
          <t>No</t>
        </is>
      </c>
      <c r="AY130" s="5" t="inlineStr">
        <is>
          <t>Verified directory</t>
        </is>
      </c>
      <c r="AZ130" s="5" t="inlineStr">
        <is>
          <t>Not Found</t>
        </is>
      </c>
      <c r="BA130" s="5" t="inlineStr">
        <is>
          <t>2026-09-16</t>
        </is>
      </c>
      <c r="BB130" s="5" t="inlineStr">
        <is>
          <t>Requires Verification</t>
        </is>
      </c>
      <c r="BC130" s="5" t="inlineStr">
        <is>
          <t>Medium</t>
        </is>
      </c>
      <c r="BD130" s="5" t="inlineStr"/>
      <c r="BE130" s="5" t="inlineStr">
        <is>
          <t>Business (B2B)</t>
        </is>
      </c>
      <c r="BF130" s="5" t="inlineStr">
        <is>
          <t>Legitimate interest (B2B) - assess per campaign; PECR: corporate subscribers</t>
        </is>
      </c>
      <c r="BG130" s="5" t="inlineStr"/>
      <c r="BH130" s="5" t="inlineStr">
        <is>
          <t>No</t>
        </is>
      </c>
      <c r="BI130" s="5" t="inlineStr">
        <is>
          <t>2026-09-16</t>
        </is>
      </c>
      <c r="BJ130" s="5" t="inlineStr">
        <is>
          <t>New</t>
        </is>
      </c>
      <c r="BK130" s="5" t="inlineStr">
        <is>
          <t>2026-09-16</t>
        </is>
      </c>
      <c r="BL130" s="5" t="inlineStr"/>
      <c r="BM130" s="5" t="inlineStr"/>
      <c r="BN130" s="5" t="inlineStr"/>
      <c r="BO130" s="5" t="inlineStr"/>
      <c r="BP130" s="5" t="inlineStr"/>
      <c r="BQ130" s="5" t="inlineStr"/>
    </row>
    <row r="131">
      <c r="A131" s="10" t="inlineStr">
        <is>
          <t>WY-0081</t>
        </is>
      </c>
      <c r="B131" s="10" t="inlineStr">
        <is>
          <t>WY-0081-01</t>
        </is>
      </c>
      <c r="C131" s="10" t="inlineStr"/>
      <c r="D131" s="10" t="inlineStr">
        <is>
          <t>ECigarette Outlet</t>
        </is>
      </c>
      <c r="E131" s="10" t="inlineStr">
        <is>
          <t>ECigarette Outlet</t>
        </is>
      </c>
      <c r="F131" s="10" t="inlineStr"/>
      <c r="G131" s="10" t="inlineStr">
        <is>
          <t>Vape Shop</t>
        </is>
      </c>
      <c r="H131" s="10" t="inlineStr">
        <is>
          <t>E-cigarette retailer</t>
        </is>
      </c>
      <c r="I131" s="10" t="inlineStr">
        <is>
          <t>Independent</t>
        </is>
      </c>
      <c r="J131" s="10" t="inlineStr">
        <is>
          <t>1</t>
        </is>
      </c>
      <c r="K131" s="10" t="inlineStr"/>
      <c r="L131" s="10" t="inlineStr"/>
      <c r="M131" s="10" t="inlineStr"/>
      <c r="N131" s="10" t="inlineStr"/>
      <c r="O131" s="10" t="inlineStr">
        <is>
          <t>27 Kirkgate</t>
        </is>
      </c>
      <c r="P131" s="10" t="inlineStr"/>
      <c r="Q131" s="10" t="inlineStr">
        <is>
          <t>Shipley</t>
        </is>
      </c>
      <c r="R131" s="10" t="inlineStr">
        <is>
          <t>West Yorkshire</t>
        </is>
      </c>
      <c r="S131" s="10" t="inlineStr">
        <is>
          <t>BD18 3QW</t>
        </is>
      </c>
      <c r="T131" s="10" t="inlineStr">
        <is>
          <t>Yorkshire &amp; Humber</t>
        </is>
      </c>
      <c r="U131" s="10" t="inlineStr">
        <is>
          <t>England</t>
        </is>
      </c>
      <c r="V131" s="10" t="inlineStr"/>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vape hardware; e-liquids</t>
        </is>
      </c>
      <c r="AL131" s="10" t="inlineStr"/>
      <c r="AM131" s="10" t="inlineStr">
        <is>
          <t>Vape Shop</t>
        </is>
      </c>
      <c r="AN131" s="10" t="inlineStr"/>
      <c r="AO131" s="10" t="inlineStr">
        <is>
          <t>Listed in the UK eCig Directory with full Shipley town-centre address.</t>
        </is>
      </c>
      <c r="AP131" s="10" t="inlineStr">
        <is>
          <t>Medium</t>
        </is>
      </c>
      <c r="AQ131" s="10" t="inlineStr">
        <is>
          <t>Independent retailer; Core relevant category</t>
        </is>
      </c>
      <c r="AR131" s="10" t="inlineStr">
        <is>
          <t>https://ecigdirectory.co.uk/vape-shop/listing/ecigarette-outlet-shipley</t>
        </is>
      </c>
      <c r="AS131" s="10" t="inlineStr"/>
      <c r="AT131" s="10" t="inlineStr">
        <is>
          <t>1</t>
        </is>
      </c>
      <c r="AU131" s="10" t="inlineStr">
        <is>
          <t>No</t>
        </is>
      </c>
      <c r="AV131" s="10" t="inlineStr">
        <is>
          <t>No</t>
        </is>
      </c>
      <c r="AW131" s="10" t="inlineStr">
        <is>
          <t>No</t>
        </is>
      </c>
      <c r="AX131" s="10" t="inlineStr">
        <is>
          <t>No</t>
        </is>
      </c>
      <c r="AY131" s="10" t="inlineStr">
        <is>
          <t>Not Found</t>
        </is>
      </c>
      <c r="AZ131" s="10" t="inlineStr">
        <is>
          <t>Not Found</t>
        </is>
      </c>
      <c r="BA131" s="10" t="inlineStr">
        <is>
          <t>2026-09-16</t>
        </is>
      </c>
      <c r="BB131" s="10" t="inlineStr">
        <is>
          <t>Requires Verification</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2026-09-16</t>
        </is>
      </c>
      <c r="BL131" s="10" t="inlineStr"/>
      <c r="BM131" s="10" t="inlineStr"/>
      <c r="BN131" s="10" t="inlineStr"/>
      <c r="BO131" s="10" t="inlineStr"/>
      <c r="BP131" s="10" t="inlineStr"/>
      <c r="BQ131" s="10" t="inlineStr"/>
    </row>
    <row r="132">
      <c r="A132" s="5" t="inlineStr">
        <is>
          <t>WY-0082</t>
        </is>
      </c>
      <c r="B132" s="5" t="inlineStr">
        <is>
          <t>WY-0082-01</t>
        </is>
      </c>
      <c r="C132" s="5" t="inlineStr"/>
      <c r="D132" s="5" t="inlineStr">
        <is>
          <t>Ecig N Vape</t>
        </is>
      </c>
      <c r="E132" s="5" t="inlineStr">
        <is>
          <t>Ecig N Vape</t>
        </is>
      </c>
      <c r="F132" s="5" t="inlineStr"/>
      <c r="G132" s="5" t="inlineStr">
        <is>
          <t>Vape Shop</t>
        </is>
      </c>
      <c r="H132" s="5" t="inlineStr">
        <is>
          <t>Vape retailer</t>
        </is>
      </c>
      <c r="I132" s="5" t="inlineStr">
        <is>
          <t>Independent</t>
        </is>
      </c>
      <c r="J132" s="5" t="inlineStr">
        <is>
          <t>1</t>
        </is>
      </c>
      <c r="K132" s="5" t="inlineStr"/>
      <c r="L132" s="5" t="inlineStr"/>
      <c r="M132" s="5" t="inlineStr"/>
      <c r="N132" s="5" t="inlineStr"/>
      <c r="O132" s="5" t="inlineStr">
        <is>
          <t>49 Market Street</t>
        </is>
      </c>
      <c r="P132" s="5" t="inlineStr"/>
      <c r="Q132" s="5" t="inlineStr">
        <is>
          <t>Heckmondwike</t>
        </is>
      </c>
      <c r="R132" s="5" t="inlineStr">
        <is>
          <t>West Yorkshire</t>
        </is>
      </c>
      <c r="S132" s="5" t="inlineStr">
        <is>
          <t>WF16 0EU</t>
        </is>
      </c>
      <c r="T132" s="5" t="inlineStr">
        <is>
          <t>Yorkshire &amp; Humber</t>
        </is>
      </c>
      <c r="U132" s="5" t="inlineStr">
        <is>
          <t>England</t>
        </is>
      </c>
      <c r="V132" s="5" t="inlineStr">
        <is>
          <t>01924 402342</t>
        </is>
      </c>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vape hardware; e-liquids; disposable vapes</t>
        </is>
      </c>
      <c r="AL132" s="5" t="inlineStr"/>
      <c r="AM132" s="5" t="inlineStr">
        <is>
          <t>Vape Shop</t>
        </is>
      </c>
      <c r="AN132" s="5" t="inlineStr"/>
      <c r="AO132" s="5" t="inlineStr"/>
      <c r="AP132" s="5" t="inlineStr">
        <is>
          <t>Medium</t>
        </is>
      </c>
      <c r="AQ132" s="5" t="inlineStr">
        <is>
          <t>Independent retailer; Core relevant category</t>
        </is>
      </c>
      <c r="AR132" s="5" t="inlineStr">
        <is>
          <t>https://heckmondwike.cylex-uk.co.uk/company/ecig-n-vape-26993170.html</t>
        </is>
      </c>
      <c r="AS132" s="5" t="inlineStr">
        <is>
          <t>https://www.tripadvisor.co.uk/Attraction_Review-g3207739-d28330163-Reviews-Ecig_N_Vape-Heckmondwike_Dewsbury_West_Yorkshire_England.html</t>
        </is>
      </c>
      <c r="AT132" s="5" t="inlineStr">
        <is>
          <t>2</t>
        </is>
      </c>
      <c r="AU132" s="5" t="inlineStr">
        <is>
          <t>No</t>
        </is>
      </c>
      <c r="AV132" s="5" t="inlineStr">
        <is>
          <t>No</t>
        </is>
      </c>
      <c r="AW132" s="5" t="inlineStr">
        <is>
          <t>No</t>
        </is>
      </c>
      <c r="AX132" s="5" t="inlineStr">
        <is>
          <t>No</t>
        </is>
      </c>
      <c r="AY132" s="5" t="inlineStr">
        <is>
          <t>Verified directory</t>
        </is>
      </c>
      <c r="AZ132" s="5" t="inlineStr">
        <is>
          <t>Not Found</t>
        </is>
      </c>
      <c r="BA132" s="5" t="inlineStr">
        <is>
          <t>2026-09-16</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2026-09-16</t>
        </is>
      </c>
      <c r="BJ132" s="5" t="inlineStr">
        <is>
          <t>New</t>
        </is>
      </c>
      <c r="BK132" s="5" t="inlineStr">
        <is>
          <t>2026-09-16</t>
        </is>
      </c>
      <c r="BL132" s="5" t="inlineStr"/>
      <c r="BM132" s="5" t="inlineStr"/>
      <c r="BN132" s="5" t="inlineStr"/>
      <c r="BO132" s="5" t="inlineStr"/>
      <c r="BP132" s="5" t="inlineStr"/>
      <c r="BQ132" s="5" t="inlineStr"/>
    </row>
    <row r="133">
      <c r="A133" s="10" t="inlineStr">
        <is>
          <t>UK-000243</t>
        </is>
      </c>
      <c r="B133" s="10" t="inlineStr">
        <is>
          <t>UK-000243-01</t>
        </is>
      </c>
      <c r="C133" s="10" t="inlineStr"/>
      <c r="D133" s="10" t="inlineStr">
        <is>
          <t>Ecigbox Northallerton</t>
        </is>
      </c>
      <c r="E133" s="10" t="inlineStr">
        <is>
          <t>Ecigbox</t>
        </is>
      </c>
      <c r="F133" s="10" t="inlineStr"/>
      <c r="G133" s="10" t="inlineStr">
        <is>
          <t>Vape Shop</t>
        </is>
      </c>
      <c r="H133" s="10" t="inlineStr">
        <is>
          <t>E-cigarette &amp; e-liquid shop</t>
        </is>
      </c>
      <c r="I133" s="10" t="inlineStr">
        <is>
          <t>Independent</t>
        </is>
      </c>
      <c r="J133" s="10" t="inlineStr">
        <is>
          <t>1</t>
        </is>
      </c>
      <c r="K133" s="10" t="inlineStr"/>
      <c r="L133" s="10" t="inlineStr">
        <is>
          <t>https://www.facebook.com/Ecigboxnorthallerton/</t>
        </is>
      </c>
      <c r="M133" s="10" t="inlineStr"/>
      <c r="N133" s="10" t="inlineStr"/>
      <c r="O133" s="10" t="inlineStr">
        <is>
          <t>231 High Street</t>
        </is>
      </c>
      <c r="P133" s="10" t="inlineStr"/>
      <c r="Q133" s="10" t="inlineStr">
        <is>
          <t>Northallerton</t>
        </is>
      </c>
      <c r="R133" s="10" t="inlineStr">
        <is>
          <t>North Yorkshire</t>
        </is>
      </c>
      <c r="S133" s="10" t="inlineStr">
        <is>
          <t>DL7 8LU</t>
        </is>
      </c>
      <c r="T133" s="10" t="inlineStr">
        <is>
          <t>Yorkshire &amp; Humber</t>
        </is>
      </c>
      <c r="U133" s="10" t="inlineStr">
        <is>
          <t>England</t>
        </is>
      </c>
      <c r="V133" s="10" t="inlineStr"/>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e-cigarettes; e-liquids</t>
        </is>
      </c>
      <c r="AL133" s="10" t="inlineStr"/>
      <c r="AM133" s="10" t="inlineStr">
        <is>
          <t>Vape Shop</t>
        </is>
      </c>
      <c r="AN133" s="10" t="inlineStr"/>
      <c r="AO133" s="10" t="inlineStr">
        <is>
          <t>Independent Northallerton vape shop at 231 High Street (DL7 8LU) per eCig Directory listing and Facebook page, via search snippets. No phone surfaced.</t>
        </is>
      </c>
      <c r="AP133" s="10" t="inlineStr">
        <is>
          <t>Medium</t>
        </is>
      </c>
      <c r="AQ133" s="10" t="inlineStr">
        <is>
          <t>Independent retailer; Core relevant category; Social presence</t>
        </is>
      </c>
      <c r="AR133" s="10" t="inlineStr">
        <is>
          <t>https://www.facebook.com/Ecigboxnorthallerton/</t>
        </is>
      </c>
      <c r="AS133" s="10" t="inlineStr">
        <is>
          <t>https://ecigdirectory.co.uk/vape-shop/listing/ecigbox-northallerton</t>
        </is>
      </c>
      <c r="AT133" s="10" t="inlineStr">
        <is>
          <t>2</t>
        </is>
      </c>
      <c r="AU133" s="10" t="inlineStr">
        <is>
          <t>No</t>
        </is>
      </c>
      <c r="AV133" s="10" t="inlineStr">
        <is>
          <t>No</t>
        </is>
      </c>
      <c r="AW133" s="10" t="inlineStr">
        <is>
          <t>No</t>
        </is>
      </c>
      <c r="AX133" s="10" t="inlineStr">
        <is>
          <t>No</t>
        </is>
      </c>
      <c r="AY133" s="10" t="inlineStr">
        <is>
          <t>Not Found</t>
        </is>
      </c>
      <c r="AZ133" s="10" t="inlineStr">
        <is>
          <t>Not Found</t>
        </is>
      </c>
      <c r="BA133" s="10" t="inlineStr">
        <is>
          <t>2026-09-16</t>
        </is>
      </c>
      <c r="BB133" s="10" t="inlineStr">
        <is>
          <t>Requires Verification</t>
        </is>
      </c>
      <c r="BC133" s="10" t="inlineStr">
        <is>
          <t>Low</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2026-09-16</t>
        </is>
      </c>
      <c r="BJ133" s="10" t="inlineStr">
        <is>
          <t>New</t>
        </is>
      </c>
      <c r="BK133" s="10" t="inlineStr">
        <is>
          <t>2026-09-16</t>
        </is>
      </c>
      <c r="BL133" s="10" t="inlineStr"/>
      <c r="BM133" s="10" t="inlineStr"/>
      <c r="BN133" s="10" t="inlineStr"/>
      <c r="BO133" s="10" t="inlineStr"/>
      <c r="BP133" s="10" t="inlineStr"/>
      <c r="BQ133" s="10" t="inlineStr"/>
    </row>
    <row r="134">
      <c r="A134" s="5" t="inlineStr">
        <is>
          <t>WY-0083</t>
        </is>
      </c>
      <c r="B134" s="5" t="inlineStr">
        <is>
          <t>WY-0083-01</t>
        </is>
      </c>
      <c r="C134" s="5" t="inlineStr"/>
      <c r="D134" s="5" t="inlineStr">
        <is>
          <t>Emporium Vapez</t>
        </is>
      </c>
      <c r="E134" s="5" t="inlineStr">
        <is>
          <t>Emporium Vapez</t>
        </is>
      </c>
      <c r="F134" s="5" t="inlineStr"/>
      <c r="G134" s="5" t="inlineStr">
        <is>
          <t>Vape Shop</t>
        </is>
      </c>
      <c r="H134" s="5" t="inlineStr">
        <is>
          <t>Vape retailer</t>
        </is>
      </c>
      <c r="I134" s="5" t="inlineStr">
        <is>
          <t>Independent</t>
        </is>
      </c>
      <c r="J134" s="5" t="inlineStr">
        <is>
          <t>1</t>
        </is>
      </c>
      <c r="K134" s="5" t="inlineStr"/>
      <c r="L134" s="5" t="inlineStr"/>
      <c r="M134" s="5" t="inlineStr"/>
      <c r="N134" s="5" t="inlineStr"/>
      <c r="O134" s="5" t="inlineStr">
        <is>
          <t>21 Crackenedge Lane</t>
        </is>
      </c>
      <c r="P134" s="5" t="inlineStr"/>
      <c r="Q134" s="5" t="inlineStr">
        <is>
          <t>Dewsbury</t>
        </is>
      </c>
      <c r="R134" s="5" t="inlineStr">
        <is>
          <t>West Yorkshire</t>
        </is>
      </c>
      <c r="S134" s="5" t="inlineStr">
        <is>
          <t>WF13 1PU</t>
        </is>
      </c>
      <c r="T134" s="5" t="inlineStr">
        <is>
          <t>Yorkshire &amp; Humber</t>
        </is>
      </c>
      <c r="U134" s="5" t="inlineStr">
        <is>
          <t>England</t>
        </is>
      </c>
      <c r="V134" s="5" t="inlineStr">
        <is>
          <t>07375 706970</t>
        </is>
      </c>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vape hardware; e-liquids; disposable vapes</t>
        </is>
      </c>
      <c r="AL134" s="5" t="inlineStr"/>
      <c r="AM134" s="5" t="inlineStr">
        <is>
          <t>Vape Shop</t>
        </is>
      </c>
      <c r="AN134" s="5" t="inlineStr"/>
      <c r="AO134" s="5" t="inlineStr"/>
      <c r="AP134" s="5" t="inlineStr">
        <is>
          <t>Medium</t>
        </is>
      </c>
      <c r="AQ134" s="5" t="inlineStr">
        <is>
          <t>Independent retailer; Core relevant category</t>
        </is>
      </c>
      <c r="AR134" s="5" t="inlineStr">
        <is>
          <t>https://www.yelp.com/biz/emporium-vapez-dewsbury</t>
        </is>
      </c>
      <c r="AS134" s="5" t="inlineStr"/>
      <c r="AT134" s="5" t="inlineStr">
        <is>
          <t>1</t>
        </is>
      </c>
      <c r="AU134" s="5" t="inlineStr">
        <is>
          <t>No</t>
        </is>
      </c>
      <c r="AV134" s="5" t="inlineStr">
        <is>
          <t>No</t>
        </is>
      </c>
      <c r="AW134" s="5" t="inlineStr">
        <is>
          <t>No</t>
        </is>
      </c>
      <c r="AX134" s="5" t="inlineStr">
        <is>
          <t>No</t>
        </is>
      </c>
      <c r="AY134" s="5" t="inlineStr">
        <is>
          <t>Verified directory</t>
        </is>
      </c>
      <c r="AZ134" s="5" t="inlineStr">
        <is>
          <t>Not Found</t>
        </is>
      </c>
      <c r="BA134" s="5" t="inlineStr">
        <is>
          <t>2026-09-16</t>
        </is>
      </c>
      <c r="BB134" s="5" t="inlineStr">
        <is>
          <t>Requires Verification</t>
        </is>
      </c>
      <c r="BC134" s="5" t="inlineStr">
        <is>
          <t>Medium</t>
        </is>
      </c>
      <c r="BD134" s="5" t="inlineStr"/>
      <c r="BE134" s="5" t="inlineStr">
        <is>
          <t>Business (B2B)</t>
        </is>
      </c>
      <c r="BF134" s="5" t="inlineStr">
        <is>
          <t>Legitimate interest (B2B) - assess per campaign; PECR: corporate subscribers</t>
        </is>
      </c>
      <c r="BG134" s="5" t="inlineStr"/>
      <c r="BH134" s="5" t="inlineStr">
        <is>
          <t>No</t>
        </is>
      </c>
      <c r="BI134" s="5" t="inlineStr">
        <is>
          <t>2026-09-16</t>
        </is>
      </c>
      <c r="BJ134" s="5" t="inlineStr">
        <is>
          <t>New</t>
        </is>
      </c>
      <c r="BK134" s="5" t="inlineStr">
        <is>
          <t>2026-09-16</t>
        </is>
      </c>
      <c r="BL134" s="5" t="inlineStr"/>
      <c r="BM134" s="5" t="inlineStr"/>
      <c r="BN134" s="5" t="inlineStr"/>
      <c r="BO134" s="5" t="inlineStr"/>
      <c r="BP134" s="5" t="inlineStr"/>
      <c r="BQ134" s="5" t="inlineStr"/>
    </row>
    <row r="135">
      <c r="A135" s="10" t="inlineStr">
        <is>
          <t>UK-000244</t>
        </is>
      </c>
      <c r="B135" s="10" t="inlineStr">
        <is>
          <t>UK-000244-01</t>
        </is>
      </c>
      <c r="C135" s="10" t="inlineStr"/>
      <c r="D135" s="10" t="inlineStr">
        <is>
          <t>Fantasy Vapez</t>
        </is>
      </c>
      <c r="E135" s="10" t="inlineStr">
        <is>
          <t>Fantasy Vapez</t>
        </is>
      </c>
      <c r="F135" s="10" t="inlineStr"/>
      <c r="G135" s="10" t="inlineStr">
        <is>
          <t>Vape Shop</t>
        </is>
      </c>
      <c r="H135" s="10" t="inlineStr">
        <is>
          <t>Vape shop</t>
        </is>
      </c>
      <c r="I135" s="10" t="inlineStr">
        <is>
          <t>Independent</t>
        </is>
      </c>
      <c r="J135" s="10" t="inlineStr">
        <is>
          <t>1</t>
        </is>
      </c>
      <c r="K135" s="10" t="inlineStr"/>
      <c r="L135" s="10" t="inlineStr"/>
      <c r="M135" s="10" t="inlineStr"/>
      <c r="N135" s="10" t="inlineStr"/>
      <c r="O135" s="10" t="inlineStr">
        <is>
          <t>4 Market Street</t>
        </is>
      </c>
      <c r="P135" s="10" t="inlineStr"/>
      <c r="Q135" s="10" t="inlineStr">
        <is>
          <t>Cleethorpes</t>
        </is>
      </c>
      <c r="R135" s="10" t="inlineStr">
        <is>
          <t>Lincolnshire</t>
        </is>
      </c>
      <c r="S135" s="10" t="inlineStr">
        <is>
          <t>DN35 8LY</t>
        </is>
      </c>
      <c r="T135" s="10" t="inlineStr">
        <is>
          <t>Yorkshire &amp; Humber</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vape hardware; e-liquids; disposables</t>
        </is>
      </c>
      <c r="AL135" s="10" t="inlineStr"/>
      <c r="AM135" s="10" t="inlineStr">
        <is>
          <t>Vape Shop</t>
        </is>
      </c>
      <c r="AN135" s="10" t="inlineStr"/>
      <c r="AO135" s="10" t="inlineStr">
        <is>
          <t>Independent vape shop on Market Street, Cleethorpes. No phone published in search results.</t>
        </is>
      </c>
      <c r="AP135" s="10" t="inlineStr">
        <is>
          <t>Medium</t>
        </is>
      </c>
      <c r="AQ135" s="10" t="inlineStr">
        <is>
          <t>Independent retailer; Core relevant category</t>
        </is>
      </c>
      <c r="AR135" s="10" t="inlineStr">
        <is>
          <t>https://cleethorpes.cylex-uk.co.uk/vape-shops/</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Not Found</t>
        </is>
      </c>
      <c r="BA135" s="10" t="inlineStr">
        <is>
          <t>2026-09-16</t>
        </is>
      </c>
      <c r="BB135" s="10" t="inlineStr">
        <is>
          <t>Requires Verification</t>
        </is>
      </c>
      <c r="BC135" s="10" t="inlineStr">
        <is>
          <t>Low</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2026-09-16</t>
        </is>
      </c>
      <c r="BJ135" s="10" t="inlineStr">
        <is>
          <t>New</t>
        </is>
      </c>
      <c r="BK135" s="10" t="inlineStr">
        <is>
          <t>2026-09-16</t>
        </is>
      </c>
      <c r="BL135" s="10" t="inlineStr"/>
      <c r="BM135" s="10" t="inlineStr"/>
      <c r="BN135" s="10" t="inlineStr"/>
      <c r="BO135" s="10" t="inlineStr"/>
      <c r="BP135" s="10" t="inlineStr"/>
      <c r="BQ135" s="10" t="inlineStr"/>
    </row>
    <row r="136">
      <c r="A136" s="5" t="inlineStr">
        <is>
          <t>WY-0084</t>
        </is>
      </c>
      <c r="B136" s="5" t="inlineStr">
        <is>
          <t>WY-0084-01</t>
        </is>
      </c>
      <c r="C136" s="5" t="inlineStr"/>
      <c r="D136" s="5" t="inlineStr">
        <is>
          <t>FilFoods Filipino Store</t>
        </is>
      </c>
      <c r="E136" s="5" t="inlineStr">
        <is>
          <t>FilFoods</t>
        </is>
      </c>
      <c r="F136" s="5" t="inlineStr"/>
      <c r="G136" s="5" t="inlineStr">
        <is>
          <t>Independent Supermarket</t>
        </is>
      </c>
      <c r="H136" s="5" t="inlineStr">
        <is>
          <t>Filipino supermarket</t>
        </is>
      </c>
      <c r="I136" s="5" t="inlineStr">
        <is>
          <t>Independent</t>
        </is>
      </c>
      <c r="J136" s="5" t="inlineStr">
        <is>
          <t>1</t>
        </is>
      </c>
      <c r="K136" s="5" t="inlineStr"/>
      <c r="L136" s="5" t="inlineStr">
        <is>
          <t>https://www.facebook.com/FilFoods/</t>
        </is>
      </c>
      <c r="M136" s="5" t="inlineStr"/>
      <c r="N136" s="5" t="inlineStr"/>
      <c r="O136" s="5" t="inlineStr">
        <is>
          <t>46b Harehills Road</t>
        </is>
      </c>
      <c r="P136" s="5" t="inlineStr">
        <is>
          <t>Harehills</t>
        </is>
      </c>
      <c r="Q136" s="5" t="inlineStr">
        <is>
          <t>Leeds</t>
        </is>
      </c>
      <c r="R136" s="5" t="inlineStr">
        <is>
          <t>West Yorkshire</t>
        </is>
      </c>
      <c r="S136" s="5" t="inlineStr">
        <is>
          <t>LS8 5PB</t>
        </is>
      </c>
      <c r="T136" s="5" t="inlineStr">
        <is>
          <t>Yorkshire &amp; Humber</t>
        </is>
      </c>
      <c r="U136" s="5" t="inlineStr">
        <is>
          <t>England</t>
        </is>
      </c>
      <c r="V136" s="5" t="inlineStr">
        <is>
          <t>0113 440 1031</t>
        </is>
      </c>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Filipino groceries; frozen meat and fish; fresh produce; convenience goods; money transfer</t>
        </is>
      </c>
      <c r="AL136" s="5" t="inlineStr"/>
      <c r="AM136" s="5" t="inlineStr">
        <is>
          <t>Independent Supermarket</t>
        </is>
      </c>
      <c r="AN136" s="5" t="inlineStr"/>
      <c r="AO136" s="5" t="inlineStr">
        <is>
          <t>Only Filipino store in Yorkshire; 1,800+ product lines in-store and online; agent for LCC Smallworld money transfer; offers scheduled home delivery.</t>
        </is>
      </c>
      <c r="AP136" s="5" t="inlineStr">
        <is>
          <t>Medium</t>
        </is>
      </c>
      <c r="AQ136" s="5" t="inlineStr">
        <is>
          <t>Independent retailer; Relevant category; Social presence</t>
        </is>
      </c>
      <c r="AR136" s="5" t="inlineStr">
        <is>
          <t>https://www.yell.com/biz/filfoods-filipino-store-leeds-8549203/</t>
        </is>
      </c>
      <c r="AS136" s="5" t="inlineStr">
        <is>
          <t>https://directory.grimsbytelegraph.co.uk/company/437837462491136</t>
        </is>
      </c>
      <c r="AT136" s="5" t="inlineStr">
        <is>
          <t>3</t>
        </is>
      </c>
      <c r="AU136" s="5" t="inlineStr">
        <is>
          <t>No</t>
        </is>
      </c>
      <c r="AV136" s="5" t="inlineStr">
        <is>
          <t>No</t>
        </is>
      </c>
      <c r="AW136" s="5" t="inlineStr">
        <is>
          <t>No</t>
        </is>
      </c>
      <c r="AX136" s="5" t="inlineStr">
        <is>
          <t>No</t>
        </is>
      </c>
      <c r="AY136" s="5" t="inlineStr">
        <is>
          <t>Verified directory</t>
        </is>
      </c>
      <c r="AZ136" s="5" t="inlineStr">
        <is>
          <t>Not Found</t>
        </is>
      </c>
      <c r="BA136" s="5" t="inlineStr">
        <is>
          <t>2026-09-16</t>
        </is>
      </c>
      <c r="BB136" s="5" t="inlineStr">
        <is>
          <t>Requires Verification</t>
        </is>
      </c>
      <c r="BC136" s="5" t="inlineStr">
        <is>
          <t>Medium</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2026-09-16</t>
        </is>
      </c>
      <c r="BL136" s="5" t="inlineStr"/>
      <c r="BM136" s="5" t="inlineStr"/>
      <c r="BN136" s="5" t="inlineStr"/>
      <c r="BO136" s="5" t="inlineStr"/>
      <c r="BP136" s="5" t="inlineStr"/>
      <c r="BQ136" s="5" t="inlineStr"/>
    </row>
    <row r="137">
      <c r="A137" s="10" t="inlineStr">
        <is>
          <t>UK-000245</t>
        </is>
      </c>
      <c r="B137" s="10" t="inlineStr">
        <is>
          <t>UK-000245-01</t>
        </is>
      </c>
      <c r="C137" s="10" t="inlineStr"/>
      <c r="D137" s="10" t="inlineStr">
        <is>
          <t>First Choice Off Licence</t>
        </is>
      </c>
      <c r="E137" s="10" t="inlineStr">
        <is>
          <t>First Choice Off Licence</t>
        </is>
      </c>
      <c r="F137" s="10" t="inlineStr"/>
      <c r="G137" s="10" t="inlineStr">
        <is>
          <t>Off-Licence</t>
        </is>
      </c>
      <c r="H137" s="10" t="inlineStr">
        <is>
          <t>Off-licence</t>
        </is>
      </c>
      <c r="I137" s="10" t="inlineStr">
        <is>
          <t>Independent</t>
        </is>
      </c>
      <c r="J137" s="10" t="inlineStr">
        <is>
          <t>1</t>
        </is>
      </c>
      <c r="K137" s="10" t="inlineStr"/>
      <c r="L137" s="10" t="inlineStr">
        <is>
          <t>https://www.facebook.com/FirstChoiceOffLicence/</t>
        </is>
      </c>
      <c r="M137" s="10" t="inlineStr"/>
      <c r="N137" s="10" t="inlineStr"/>
      <c r="O137" s="10" t="inlineStr"/>
      <c r="P137" s="10" t="inlineStr"/>
      <c r="Q137" s="10" t="inlineStr">
        <is>
          <t>Sheffield</t>
        </is>
      </c>
      <c r="R137" s="10" t="inlineStr">
        <is>
          <t>South Yorkshire</t>
        </is>
      </c>
      <c r="S137" s="10" t="inlineStr"/>
      <c r="T137" s="10" t="inlineStr">
        <is>
          <t>Yorkshire &amp; Humber</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beer; cider; wine; spirits</t>
        </is>
      </c>
      <c r="AL137" s="10" t="inlineStr"/>
      <c r="AM137" s="10" t="inlineStr">
        <is>
          <t>Off-Licence</t>
        </is>
      </c>
      <c r="AN137" s="10" t="inlineStr"/>
      <c r="AO137" s="10" t="inlineStr">
        <is>
          <t>Small independent off-licence in Sheffield stocking beer, cider, wine and spirits. Facebook page found; street address/postcode not captured.</t>
        </is>
      </c>
      <c r="AP137" s="10" t="inlineStr">
        <is>
          <t>Medium</t>
        </is>
      </c>
      <c r="AQ137" s="10" t="inlineStr">
        <is>
          <t>Independent retailer; Relevant category; Social presence</t>
        </is>
      </c>
      <c r="AR137" s="10" t="inlineStr">
        <is>
          <t>https://www.facebook.com/FirstChoiceOffLicence/</t>
        </is>
      </c>
      <c r="AS137" s="10" t="inlineStr"/>
      <c r="AT137" s="10" t="inlineStr">
        <is>
          <t>1</t>
        </is>
      </c>
      <c r="AU137" s="10" t="inlineStr">
        <is>
          <t>No</t>
        </is>
      </c>
      <c r="AV137" s="10" t="inlineStr">
        <is>
          <t>No</t>
        </is>
      </c>
      <c r="AW137" s="10" t="inlineStr">
        <is>
          <t>No</t>
        </is>
      </c>
      <c r="AX137" s="10" t="inlineStr">
        <is>
          <t>No</t>
        </is>
      </c>
      <c r="AY137" s="10" t="inlineStr">
        <is>
          <t>Not Found</t>
        </is>
      </c>
      <c r="AZ137" s="10" t="inlineStr">
        <is>
          <t>Not Found</t>
        </is>
      </c>
      <c r="BA137" s="10" t="inlineStr">
        <is>
          <t>2026-09-16</t>
        </is>
      </c>
      <c r="BB137" s="10" t="inlineStr">
        <is>
          <t>Requires Verification</t>
        </is>
      </c>
      <c r="BC137" s="10" t="inlineStr">
        <is>
          <t>Low</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2026-09-16</t>
        </is>
      </c>
      <c r="BJ137" s="10" t="inlineStr">
        <is>
          <t>New</t>
        </is>
      </c>
      <c r="BK137" s="10" t="inlineStr">
        <is>
          <t>2026-09-16</t>
        </is>
      </c>
      <c r="BL137" s="10" t="inlineStr"/>
      <c r="BM137" s="10" t="inlineStr"/>
      <c r="BN137" s="10" t="inlineStr"/>
      <c r="BO137" s="10" t="inlineStr"/>
      <c r="BP137" s="10" t="inlineStr"/>
      <c r="BQ137" s="10" t="inlineStr"/>
    </row>
    <row r="138">
      <c r="A138" s="5" t="inlineStr">
        <is>
          <t>UK-000246</t>
        </is>
      </c>
      <c r="B138" s="5" t="inlineStr">
        <is>
          <t>UK-000246-01</t>
        </is>
      </c>
      <c r="C138" s="5" t="inlineStr"/>
      <c r="D138" s="5" t="inlineStr">
        <is>
          <t>Flemingate News</t>
        </is>
      </c>
      <c r="E138" s="5" t="inlineStr">
        <is>
          <t>Flemingate News</t>
        </is>
      </c>
      <c r="F138" s="5" t="inlineStr"/>
      <c r="G138" s="5" t="inlineStr">
        <is>
          <t>Newsagent</t>
        </is>
      </c>
      <c r="H138" s="5" t="inlineStr">
        <is>
          <t>Newsagent</t>
        </is>
      </c>
      <c r="I138" s="5" t="inlineStr">
        <is>
          <t>Independent</t>
        </is>
      </c>
      <c r="J138" s="5" t="inlineStr">
        <is>
          <t>1</t>
        </is>
      </c>
      <c r="K138" s="5" t="inlineStr"/>
      <c r="L138" s="5" t="inlineStr"/>
      <c r="M138" s="5" t="inlineStr"/>
      <c r="N138" s="5" t="inlineStr"/>
      <c r="O138" s="5" t="inlineStr">
        <is>
          <t>83 Flemingate</t>
        </is>
      </c>
      <c r="P138" s="5" t="inlineStr"/>
      <c r="Q138" s="5" t="inlineStr">
        <is>
          <t>Beverley</t>
        </is>
      </c>
      <c r="R138" s="5" t="inlineStr">
        <is>
          <t>East Riding of Yorkshire</t>
        </is>
      </c>
      <c r="S138" s="5" t="inlineStr">
        <is>
          <t>HU17 0NZ</t>
        </is>
      </c>
      <c r="T138" s="5" t="inlineStr">
        <is>
          <t>Yorkshire &amp; Humber</t>
        </is>
      </c>
      <c r="U138" s="5" t="inlineStr">
        <is>
          <t>England</t>
        </is>
      </c>
      <c r="V138" s="5" t="inlineStr">
        <is>
          <t>01482 881429</t>
        </is>
      </c>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newspapers; magazines; confectionery; convenience</t>
        </is>
      </c>
      <c r="AL138" s="5" t="inlineStr"/>
      <c r="AM138" s="5" t="inlineStr">
        <is>
          <t>Newsagent</t>
        </is>
      </c>
      <c r="AN138" s="5" t="inlineStr"/>
      <c r="AO138" s="5" t="inlineStr">
        <is>
          <t>Independent newsagent, 83 Flemingate, Beverley HU17 0NZ.</t>
        </is>
      </c>
      <c r="AP138" s="5" t="inlineStr">
        <is>
          <t>Low</t>
        </is>
      </c>
      <c r="AQ138" s="5" t="inlineStr">
        <is>
          <t>Independent retailer; Relevant category</t>
        </is>
      </c>
      <c r="AR138" s="5" t="inlineStr">
        <is>
          <t>https://beverley.cylex-uk.co.uk/newsagents/</t>
        </is>
      </c>
      <c r="AS138" s="5" t="inlineStr"/>
      <c r="AT138" s="5" t="inlineStr">
        <is>
          <t>1</t>
        </is>
      </c>
      <c r="AU138" s="5" t="inlineStr">
        <is>
          <t>No</t>
        </is>
      </c>
      <c r="AV138" s="5" t="inlineStr">
        <is>
          <t>No</t>
        </is>
      </c>
      <c r="AW138" s="5" t="inlineStr">
        <is>
          <t>No</t>
        </is>
      </c>
      <c r="AX138" s="5" t="inlineStr">
        <is>
          <t>No</t>
        </is>
      </c>
      <c r="AY138" s="5" t="inlineStr">
        <is>
          <t>Verified directory</t>
        </is>
      </c>
      <c r="AZ138" s="5" t="inlineStr">
        <is>
          <t>Not Found</t>
        </is>
      </c>
      <c r="BA138" s="5" t="inlineStr">
        <is>
          <t>2026-09-16</t>
        </is>
      </c>
      <c r="BB138" s="5" t="inlineStr">
        <is>
          <t>Requires Verification</t>
        </is>
      </c>
      <c r="BC138" s="5" t="inlineStr">
        <is>
          <t>Medium</t>
        </is>
      </c>
      <c r="BD138" s="5" t="inlineStr"/>
      <c r="BE138" s="5" t="inlineStr">
        <is>
          <t>Business (B2B)</t>
        </is>
      </c>
      <c r="BF138" s="5" t="inlineStr">
        <is>
          <t>Legitimate interest (B2B) - assess per campaign; PECR: corporate subscribers</t>
        </is>
      </c>
      <c r="BG138" s="5" t="inlineStr"/>
      <c r="BH138" s="5" t="inlineStr">
        <is>
          <t>No</t>
        </is>
      </c>
      <c r="BI138" s="5" t="inlineStr">
        <is>
          <t>2026-09-16</t>
        </is>
      </c>
      <c r="BJ138" s="5" t="inlineStr">
        <is>
          <t>New</t>
        </is>
      </c>
      <c r="BK138" s="5" t="inlineStr">
        <is>
          <t>2026-09-16</t>
        </is>
      </c>
      <c r="BL138" s="5" t="inlineStr"/>
      <c r="BM138" s="5" t="inlineStr"/>
      <c r="BN138" s="5" t="inlineStr"/>
      <c r="BO138" s="5" t="inlineStr"/>
      <c r="BP138" s="5" t="inlineStr"/>
      <c r="BQ138" s="5" t="inlineStr"/>
    </row>
    <row r="139">
      <c r="A139" s="10" t="inlineStr">
        <is>
          <t>UK-000247</t>
        </is>
      </c>
      <c r="B139" s="10" t="inlineStr">
        <is>
          <t>UK-000247-01</t>
        </is>
      </c>
      <c r="C139" s="10" t="inlineStr"/>
      <c r="D139" s="10" t="inlineStr">
        <is>
          <t>FonFix &amp; Vape Shop</t>
        </is>
      </c>
      <c r="E139" s="10" t="inlineStr">
        <is>
          <t>FonFix &amp; Vape Shop</t>
        </is>
      </c>
      <c r="F139" s="10" t="inlineStr"/>
      <c r="G139" s="10" t="inlineStr">
        <is>
          <t>Vape Shop</t>
        </is>
      </c>
      <c r="H139" s="10" t="inlineStr">
        <is>
          <t>Phone repair and vape shop</t>
        </is>
      </c>
      <c r="I139" s="10" t="inlineStr">
        <is>
          <t>Independent</t>
        </is>
      </c>
      <c r="J139" s="10" t="inlineStr">
        <is>
          <t>1</t>
        </is>
      </c>
      <c r="K139" s="10" t="inlineStr"/>
      <c r="L139" s="10" t="inlineStr">
        <is>
          <t>https://www.facebook.com/p/FonFix-Vape-Shop-100067673350065/</t>
        </is>
      </c>
      <c r="M139" s="10" t="inlineStr"/>
      <c r="N139" s="10" t="inlineStr"/>
      <c r="O139" s="10" t="inlineStr">
        <is>
          <t>217 Freeman Street</t>
        </is>
      </c>
      <c r="P139" s="10" t="inlineStr"/>
      <c r="Q139" s="10" t="inlineStr">
        <is>
          <t>Grimsby</t>
        </is>
      </c>
      <c r="R139" s="10" t="inlineStr">
        <is>
          <t>Lincolnshire</t>
        </is>
      </c>
      <c r="S139" s="10" t="inlineStr"/>
      <c r="T139" s="10" t="inlineStr">
        <is>
          <t>Yorkshire &amp; Humber</t>
        </is>
      </c>
      <c r="U139" s="10" t="inlineStr">
        <is>
          <t>England</t>
        </is>
      </c>
      <c r="V139" s="10" t="inlineStr">
        <is>
          <t>07404 435088</t>
        </is>
      </c>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 phone accessories</t>
        </is>
      </c>
      <c r="AL139" s="10" t="inlineStr"/>
      <c r="AM139" s="10" t="inlineStr">
        <is>
          <t>Vape Shop</t>
        </is>
      </c>
      <c r="AN139" s="10" t="inlineStr"/>
      <c r="AO139" s="10" t="inlineStr">
        <is>
          <t>Combined phone-repair and vape shop on Freeman Street. Postcode incomplete in sources (DN32 area).</t>
        </is>
      </c>
      <c r="AP139" s="10" t="inlineStr">
        <is>
          <t>Medium</t>
        </is>
      </c>
      <c r="AQ139" s="10" t="inlineStr">
        <is>
          <t>Independent retailer; Core relevant category; Social presence</t>
        </is>
      </c>
      <c r="AR139" s="10" t="inlineStr">
        <is>
          <t>https://www.facebook.com/p/FonFix-Vape-Shop-100067673350065/</t>
        </is>
      </c>
      <c r="AS139" s="10" t="inlineStr"/>
      <c r="AT139" s="10" t="inlineStr">
        <is>
          <t>1</t>
        </is>
      </c>
      <c r="AU139" s="10" t="inlineStr">
        <is>
          <t>No</t>
        </is>
      </c>
      <c r="AV139" s="10" t="inlineStr">
        <is>
          <t>No</t>
        </is>
      </c>
      <c r="AW139" s="10" t="inlineStr">
        <is>
          <t>No</t>
        </is>
      </c>
      <c r="AX139" s="10" t="inlineStr">
        <is>
          <t>No</t>
        </is>
      </c>
      <c r="AY139" s="10" t="inlineStr">
        <is>
          <t>Verified directory</t>
        </is>
      </c>
      <c r="AZ139" s="10" t="inlineStr">
        <is>
          <t>Not Found</t>
        </is>
      </c>
      <c r="BA139" s="10" t="inlineStr">
        <is>
          <t>2026-09-16</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2026-09-16</t>
        </is>
      </c>
      <c r="BJ139" s="10" t="inlineStr">
        <is>
          <t>New</t>
        </is>
      </c>
      <c r="BK139" s="10" t="inlineStr">
        <is>
          <t>2026-09-16</t>
        </is>
      </c>
      <c r="BL139" s="10" t="inlineStr"/>
      <c r="BM139" s="10" t="inlineStr"/>
      <c r="BN139" s="10" t="inlineStr"/>
      <c r="BO139" s="10" t="inlineStr"/>
      <c r="BP139" s="10" t="inlineStr"/>
      <c r="BQ139" s="10" t="inlineStr"/>
    </row>
    <row r="140">
      <c r="A140" s="5" t="inlineStr">
        <is>
          <t>UK-000248</t>
        </is>
      </c>
      <c r="B140" s="5" t="inlineStr">
        <is>
          <t>UK-000248-01</t>
        </is>
      </c>
      <c r="C140" s="5" t="inlineStr"/>
      <c r="D140" s="5" t="inlineStr">
        <is>
          <t>Food Plus (Babylon Supermarket 7)</t>
        </is>
      </c>
      <c r="E140" s="5" t="inlineStr">
        <is>
          <t>Food Plus</t>
        </is>
      </c>
      <c r="F140" s="5" t="inlineStr"/>
      <c r="G140" s="5" t="inlineStr">
        <is>
          <t>Independent Supermarket</t>
        </is>
      </c>
      <c r="H140" s="5" t="inlineStr">
        <is>
          <t>Polish / world foods store</t>
        </is>
      </c>
      <c r="I140" s="5" t="inlineStr">
        <is>
          <t>Independent</t>
        </is>
      </c>
      <c r="J140" s="5" t="inlineStr">
        <is>
          <t>1</t>
        </is>
      </c>
      <c r="K140" s="5" t="inlineStr"/>
      <c r="L140" s="5" t="inlineStr"/>
      <c r="M140" s="5" t="inlineStr"/>
      <c r="N140" s="5" t="inlineStr"/>
      <c r="O140" s="5" t="inlineStr"/>
      <c r="P140" s="5" t="inlineStr"/>
      <c r="Q140" s="5" t="inlineStr">
        <is>
          <t>Kingston upon Hull</t>
        </is>
      </c>
      <c r="R140" s="5" t="inlineStr">
        <is>
          <t>East Riding of Yorkshire</t>
        </is>
      </c>
      <c r="S140" s="5" t="inlineStr">
        <is>
          <t>HU3 4BJ</t>
        </is>
      </c>
      <c r="T140" s="5" t="inlineStr">
        <is>
          <t>Yorkshire &amp; Humber</t>
        </is>
      </c>
      <c r="U140" s="5" t="inlineStr">
        <is>
          <t>England</t>
        </is>
      </c>
      <c r="V140" s="5" t="inlineStr"/>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Polish foods; world groceries</t>
        </is>
      </c>
      <c r="AL140" s="5" t="inlineStr"/>
      <c r="AM140" s="5" t="inlineStr">
        <is>
          <t>Independent Supermarket</t>
        </is>
      </c>
      <c r="AN140" s="5" t="inlineStr"/>
      <c r="AO140" s="5" t="inlineStr">
        <is>
          <t>Polish grocery store (Food Plus / Babylon Supermarket 7), HU3 4BJ, Hull. No street address/phone in search results.</t>
        </is>
      </c>
      <c r="AP140" s="5" t="inlineStr">
        <is>
          <t>Low</t>
        </is>
      </c>
      <c r="AQ140" s="5" t="inlineStr">
        <is>
          <t>Independent retailer; Relevant category</t>
        </is>
      </c>
      <c r="AR140" s="5" t="inlineStr">
        <is>
          <t>https://www.foodplus.eu/en/products/food-plus-babylon-supermarket-7-hu3-4bj-kingston-upon-hull</t>
        </is>
      </c>
      <c r="AS140" s="5" t="inlineStr"/>
      <c r="AT140" s="5" t="inlineStr">
        <is>
          <t>1</t>
        </is>
      </c>
      <c r="AU140" s="5" t="inlineStr">
        <is>
          <t>No</t>
        </is>
      </c>
      <c r="AV140" s="5" t="inlineStr">
        <is>
          <t>No</t>
        </is>
      </c>
      <c r="AW140" s="5" t="inlineStr">
        <is>
          <t>No</t>
        </is>
      </c>
      <c r="AX140" s="5" t="inlineStr">
        <is>
          <t>No</t>
        </is>
      </c>
      <c r="AY140" s="5" t="inlineStr">
        <is>
          <t>Not Found</t>
        </is>
      </c>
      <c r="AZ140" s="5" t="inlineStr">
        <is>
          <t>Not Found</t>
        </is>
      </c>
      <c r="BA140" s="5" t="inlineStr">
        <is>
          <t>2026-09-16</t>
        </is>
      </c>
      <c r="BB140" s="5" t="inlineStr">
        <is>
          <t>Requires Verification</t>
        </is>
      </c>
      <c r="BC140" s="5" t="inlineStr">
        <is>
          <t>Low</t>
        </is>
      </c>
      <c r="BD140" s="5" t="inlineStr"/>
      <c r="BE140" s="5" t="inlineStr">
        <is>
          <t>Business (B2B)</t>
        </is>
      </c>
      <c r="BF140" s="5" t="inlineStr">
        <is>
          <t>Legitimate interest (B2B) - assess per campaign; PECR: corporate subscribers</t>
        </is>
      </c>
      <c r="BG140" s="5" t="inlineStr"/>
      <c r="BH140" s="5" t="inlineStr">
        <is>
          <t>No</t>
        </is>
      </c>
      <c r="BI140" s="5" t="inlineStr">
        <is>
          <t>2026-09-16</t>
        </is>
      </c>
      <c r="BJ140" s="5" t="inlineStr">
        <is>
          <t>New</t>
        </is>
      </c>
      <c r="BK140" s="5" t="inlineStr">
        <is>
          <t>2026-09-16</t>
        </is>
      </c>
      <c r="BL140" s="5" t="inlineStr"/>
      <c r="BM140" s="5" t="inlineStr"/>
      <c r="BN140" s="5" t="inlineStr"/>
      <c r="BO140" s="5" t="inlineStr"/>
      <c r="BP140" s="5" t="inlineStr"/>
      <c r="BQ140" s="5" t="inlineStr"/>
    </row>
    <row r="141">
      <c r="A141" s="10" t="inlineStr">
        <is>
          <t>WY-0085</t>
        </is>
      </c>
      <c r="B141" s="10" t="inlineStr">
        <is>
          <t>WY-0085-01</t>
        </is>
      </c>
      <c r="C141" s="10" t="inlineStr"/>
      <c r="D141" s="10" t="inlineStr">
        <is>
          <t>Forever Vapes</t>
        </is>
      </c>
      <c r="E141" s="10" t="inlineStr">
        <is>
          <t>Forever Vapes</t>
        </is>
      </c>
      <c r="F141" s="10" t="inlineStr">
        <is>
          <t>Forever Vapes Ltd</t>
        </is>
      </c>
      <c r="G141" s="10" t="inlineStr">
        <is>
          <t>Vape Shop</t>
        </is>
      </c>
      <c r="H141" s="10" t="inlineStr">
        <is>
          <t>Vape retailer</t>
        </is>
      </c>
      <c r="I141" s="10" t="inlineStr">
        <is>
          <t>Independent</t>
        </is>
      </c>
      <c r="J141" s="10" t="inlineStr">
        <is>
          <t>1</t>
        </is>
      </c>
      <c r="K141" s="10" t="inlineStr"/>
      <c r="L141" s="10" t="inlineStr"/>
      <c r="M141" s="10" t="inlineStr"/>
      <c r="N141" s="10" t="inlineStr"/>
      <c r="O141" s="10" t="inlineStr">
        <is>
          <t>Market Street</t>
        </is>
      </c>
      <c r="P141" s="10" t="inlineStr"/>
      <c r="Q141" s="10" t="inlineStr">
        <is>
          <t>Heckmondwike</t>
        </is>
      </c>
      <c r="R141" s="10" t="inlineStr">
        <is>
          <t>West Yorkshire</t>
        </is>
      </c>
      <c r="S141" s="10" t="inlineStr">
        <is>
          <t>WF16 0JU</t>
        </is>
      </c>
      <c r="T141" s="10" t="inlineStr">
        <is>
          <t>Yorkshire &amp; Humber</t>
        </is>
      </c>
      <c r="U141" s="10" t="inlineStr">
        <is>
          <t>England</t>
        </is>
      </c>
      <c r="V141" s="10" t="inlineStr"/>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vape hardware; e-liquids</t>
        </is>
      </c>
      <c r="AL141" s="10" t="inlineStr"/>
      <c r="AM141" s="10" t="inlineStr">
        <is>
          <t>Vape Shop</t>
        </is>
      </c>
      <c r="AN141" s="10" t="inlineStr"/>
      <c r="AO141" s="10" t="inlineStr">
        <is>
          <t>Directory lists it as 'Forever Vapes LTD', Market Street WF16 0JU; street number and phone not published in accessible sources.</t>
        </is>
      </c>
      <c r="AP141" s="10" t="inlineStr">
        <is>
          <t>Medium</t>
        </is>
      </c>
      <c r="AQ141" s="10" t="inlineStr">
        <is>
          <t>Independent retailer; Core relevant category</t>
        </is>
      </c>
      <c r="AR141" s="10" t="inlineStr">
        <is>
          <t>https://vapeshops.puffingbird.com/yorkshire-and-the-humber/heckmondwike/forever-vapes-ltd</t>
        </is>
      </c>
      <c r="AS141" s="10" t="inlineStr"/>
      <c r="AT141" s="10" t="inlineStr">
        <is>
          <t>1</t>
        </is>
      </c>
      <c r="AU141" s="10" t="inlineStr">
        <is>
          <t>No</t>
        </is>
      </c>
      <c r="AV141" s="10" t="inlineStr">
        <is>
          <t>No</t>
        </is>
      </c>
      <c r="AW141" s="10" t="inlineStr">
        <is>
          <t>No</t>
        </is>
      </c>
      <c r="AX141" s="10" t="inlineStr">
        <is>
          <t>No</t>
        </is>
      </c>
      <c r="AY141" s="10" t="inlineStr">
        <is>
          <t>Not Found</t>
        </is>
      </c>
      <c r="AZ141" s="10" t="inlineStr">
        <is>
          <t>Not Found</t>
        </is>
      </c>
      <c r="BA141" s="10" t="inlineStr">
        <is>
          <t>2026-09-16</t>
        </is>
      </c>
      <c r="BB141" s="10" t="inlineStr">
        <is>
          <t>Requires Verification</t>
        </is>
      </c>
      <c r="BC141" s="10" t="inlineStr">
        <is>
          <t>Low</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2026-09-16</t>
        </is>
      </c>
      <c r="BJ141" s="10" t="inlineStr">
        <is>
          <t>New</t>
        </is>
      </c>
      <c r="BK141" s="10" t="inlineStr">
        <is>
          <t>2026-09-16</t>
        </is>
      </c>
      <c r="BL141" s="10" t="inlineStr"/>
      <c r="BM141" s="10" t="inlineStr"/>
      <c r="BN141" s="10" t="inlineStr"/>
      <c r="BO141" s="10" t="inlineStr"/>
      <c r="BP141" s="10" t="inlineStr"/>
      <c r="BQ141" s="10" t="inlineStr"/>
    </row>
    <row r="142">
      <c r="A142" s="5" t="inlineStr">
        <is>
          <t>WY-0086</t>
        </is>
      </c>
      <c r="B142" s="5" t="inlineStr">
        <is>
          <t>WY-0086-01</t>
        </is>
      </c>
      <c r="C142" s="5" t="inlineStr"/>
      <c r="D142" s="5" t="inlineStr">
        <is>
          <t>FreshCo Wakefield</t>
        </is>
      </c>
      <c r="E142" s="5" t="inlineStr">
        <is>
          <t>FreshCo</t>
        </is>
      </c>
      <c r="F142" s="5" t="inlineStr">
        <is>
          <t>Fresh Co Superstore Ltd</t>
        </is>
      </c>
      <c r="G142" s="5" t="inlineStr">
        <is>
          <t>Independent Supermarket</t>
        </is>
      </c>
      <c r="H142" s="5" t="inlineStr">
        <is>
          <t>Halal / world foods supermarket with Turkish restaurant and cafe</t>
        </is>
      </c>
      <c r="I142" s="5" t="inlineStr">
        <is>
          <t>Independent</t>
        </is>
      </c>
      <c r="J142" s="5" t="inlineStr">
        <is>
          <t>1</t>
        </is>
      </c>
      <c r="K142" s="5" t="inlineStr">
        <is>
          <t>https://freshcowakefield.com</t>
        </is>
      </c>
      <c r="L142" s="5" t="inlineStr">
        <is>
          <t>https://www.facebook.com/FreshCoWakefield/</t>
        </is>
      </c>
      <c r="M142" s="5" t="inlineStr"/>
      <c r="N142" s="5" t="inlineStr"/>
      <c r="O142" s="5" t="inlineStr">
        <is>
          <t>St Andrews Hall, Upper Warrengate</t>
        </is>
      </c>
      <c r="P142" s="5" t="inlineStr"/>
      <c r="Q142" s="5" t="inlineStr">
        <is>
          <t>Wakefield</t>
        </is>
      </c>
      <c r="R142" s="5" t="inlineStr">
        <is>
          <t>West Yorkshire</t>
        </is>
      </c>
      <c r="S142" s="5" t="inlineStr">
        <is>
          <t>WF1 4JZ</t>
        </is>
      </c>
      <c r="T142" s="5" t="inlineStr">
        <is>
          <t>Yorkshire &amp; Humber</t>
        </is>
      </c>
      <c r="U142" s="5" t="inlineStr">
        <is>
          <t>England</t>
        </is>
      </c>
      <c r="V142" s="5" t="inlineStr">
        <is>
          <t>01924 781869</t>
        </is>
      </c>
      <c r="W142" s="5" t="inlineStr"/>
      <c r="X142" s="5" t="inlineStr"/>
      <c r="Y142" s="5" t="inlineStr">
        <is>
          <t>Hoa1@hotmail.co.uk</t>
        </is>
      </c>
      <c r="Z142" s="5" t="inlineStr"/>
      <c r="AA142" s="5" t="inlineStr"/>
      <c r="AB142" s="5" t="inlineStr">
        <is>
          <t>Aras Ali</t>
        </is>
      </c>
      <c r="AC142" s="5" t="inlineStr">
        <is>
          <t>Owner</t>
        </is>
      </c>
      <c r="AD142" s="5" t="inlineStr">
        <is>
          <t>Named as FreshCo owner in Wakefield Express feature article (2023)</t>
        </is>
      </c>
      <c r="AE142" s="5" t="inlineStr">
        <is>
          <t>13746881</t>
        </is>
      </c>
      <c r="AF142" s="5" t="inlineStr">
        <is>
          <t>Active</t>
        </is>
      </c>
      <c r="AG142" s="5" t="inlineStr">
        <is>
          <t>FRESH CO SUPERSTORE LTD</t>
        </is>
      </c>
      <c r="AH142" s="5" t="inlineStr"/>
      <c r="AI142" s="5" t="inlineStr">
        <is>
          <t>2021-11-16</t>
        </is>
      </c>
      <c r="AJ142" s="5" t="inlineStr"/>
      <c r="AK142" s="5" t="inlineStr">
        <is>
          <t>world foods (European, Asian, African, Middle Eastern); halal meat; fresh produce; bakery</t>
        </is>
      </c>
      <c r="AL142" s="5" t="inlineStr"/>
      <c r="AM142" s="5" t="inlineStr">
        <is>
          <t>Independent Supermarket</t>
        </is>
      </c>
      <c r="AN142" s="5" t="inlineStr"/>
      <c r="AO142" s="5" t="inlineStr">
        <is>
          <t>Purpose-built store with own car park, open 8am-9pm daily; opened circa late 2022/early 2023. Owner opened his first supermarket in London before Wakefield.</t>
        </is>
      </c>
      <c r="AP142" s="5" t="inlineStr">
        <is>
          <t>Medium</t>
        </is>
      </c>
      <c r="AQ142" s="5" t="inlineStr">
        <is>
          <t>Independent retailer; Relevant category; Public email available; Active website; Social presence</t>
        </is>
      </c>
      <c r="AR142" s="5" t="inlineStr">
        <is>
          <t>https://freshcowakefield.com/restaurant</t>
        </is>
      </c>
      <c r="AS142" s="5" t="inlineStr">
        <is>
          <t>https://find-and-update.company-information.service.gov.uk/company/13746881</t>
        </is>
      </c>
      <c r="AT142" s="5" t="inlineStr">
        <is>
          <t>4</t>
        </is>
      </c>
      <c r="AU142" s="5" t="inlineStr">
        <is>
          <t>No</t>
        </is>
      </c>
      <c r="AV142" s="5" t="inlineStr">
        <is>
          <t>No</t>
        </is>
      </c>
      <c r="AW142" s="5" t="inlineStr">
        <is>
          <t>Yes</t>
        </is>
      </c>
      <c r="AX142" s="5" t="inlineStr">
        <is>
          <t>Yes</t>
        </is>
      </c>
      <c r="AY142" s="5" t="inlineStr">
        <is>
          <t>Verified directory</t>
        </is>
      </c>
      <c r="AZ142" s="5" t="inlineStr">
        <is>
          <t>Website Found</t>
        </is>
      </c>
      <c r="BA142" s="5" t="inlineStr">
        <is>
          <t>2026-09-16</t>
        </is>
      </c>
      <c r="BB142" s="5" t="inlineStr">
        <is>
          <t>Partially Verified</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2026-09-16</t>
        </is>
      </c>
      <c r="BJ142" s="5" t="inlineStr">
        <is>
          <t>New</t>
        </is>
      </c>
      <c r="BK142" s="5" t="inlineStr">
        <is>
          <t>2026-09-16</t>
        </is>
      </c>
      <c r="BL142" s="5" t="inlineStr"/>
      <c r="BM142" s="5" t="inlineStr"/>
      <c r="BN142" s="5" t="inlineStr"/>
      <c r="BO142" s="5" t="inlineStr"/>
      <c r="BP142" s="5" t="inlineStr"/>
      <c r="BQ142" s="5" t="inlineStr"/>
    </row>
    <row r="143">
      <c r="A143" s="10" t="inlineStr">
        <is>
          <t>UK-000249</t>
        </is>
      </c>
      <c r="B143" s="10" t="inlineStr">
        <is>
          <t>UK-000249-01</t>
        </is>
      </c>
      <c r="C143" s="10" t="inlineStr"/>
      <c r="D143" s="10" t="inlineStr">
        <is>
          <t>Freshco Cash &amp; Carry</t>
        </is>
      </c>
      <c r="E143" s="10" t="inlineStr">
        <is>
          <t>Freshco Cash &amp; Carry</t>
        </is>
      </c>
      <c r="F143" s="10" t="inlineStr">
        <is>
          <t>FRESHCO CASH &amp; CARRY LIMITED</t>
        </is>
      </c>
      <c r="G143" s="10" t="inlineStr">
        <is>
          <t>Cash &amp; Carry</t>
        </is>
      </c>
      <c r="H143" s="10" t="inlineStr">
        <is>
          <t>Wholesale cash &amp; carry / supermarket</t>
        </is>
      </c>
      <c r="I143" s="10" t="inlineStr">
        <is>
          <t>Independent</t>
        </is>
      </c>
      <c r="J143" s="10" t="inlineStr">
        <is>
          <t>1</t>
        </is>
      </c>
      <c r="K143" s="10" t="inlineStr">
        <is>
          <t>https://freshcocashcarry.co.uk</t>
        </is>
      </c>
      <c r="L143" s="10" t="inlineStr">
        <is>
          <t>https://www.facebook.com/p/Feshco-cashcarry-limited-61556302407551/</t>
        </is>
      </c>
      <c r="M143" s="10" t="inlineStr"/>
      <c r="N143" s="10" t="inlineStr"/>
      <c r="O143" s="10" t="inlineStr">
        <is>
          <t>185-201 Spring Bank</t>
        </is>
      </c>
      <c r="P143" s="10" t="inlineStr"/>
      <c r="Q143" s="10" t="inlineStr">
        <is>
          <t>Kingston upon Hull</t>
        </is>
      </c>
      <c r="R143" s="10" t="inlineStr">
        <is>
          <t>East Riding of Yorkshire</t>
        </is>
      </c>
      <c r="S143" s="10" t="inlineStr">
        <is>
          <t>HU3 1LP</t>
        </is>
      </c>
      <c r="T143" s="10" t="inlineStr">
        <is>
          <t>Yorkshire &amp; Humber</t>
        </is>
      </c>
      <c r="U143" s="10" t="inlineStr">
        <is>
          <t>England</t>
        </is>
      </c>
      <c r="V143" s="10" t="inlineStr"/>
      <c r="W143" s="10" t="inlineStr"/>
      <c r="X143" s="10" t="inlineStr"/>
      <c r="Y143" s="10" t="inlineStr"/>
      <c r="Z143" s="10" t="inlineStr"/>
      <c r="AA143" s="10" t="inlineStr"/>
      <c r="AB143" s="10" t="inlineStr"/>
      <c r="AC143" s="10" t="inlineStr"/>
      <c r="AD143" s="10" t="inlineStr"/>
      <c r="AE143" s="10" t="inlineStr">
        <is>
          <t>14599796</t>
        </is>
      </c>
      <c r="AF143" s="10" t="inlineStr">
        <is>
          <t>Active</t>
        </is>
      </c>
      <c r="AG143" s="10" t="inlineStr">
        <is>
          <t>FRESHCO CASH &amp; CARRY LIMITED</t>
        </is>
      </c>
      <c r="AH143" s="10" t="inlineStr"/>
      <c r="AI143" s="10" t="inlineStr">
        <is>
          <t>2023-01-18</t>
        </is>
      </c>
      <c r="AJ143" s="10" t="inlineStr"/>
      <c r="AK143" s="10" t="inlineStr">
        <is>
          <t>fresh produce; halal meat; bakery; drinks; wholesale groceries</t>
        </is>
      </c>
      <c r="AL143" s="10" t="inlineStr"/>
      <c r="AM143" s="10" t="inlineStr">
        <is>
          <t>Cash &amp; Carry</t>
        </is>
      </c>
      <c r="AN143" s="10" t="inlineStr"/>
      <c r="AO143" s="10" t="inlineStr">
        <is>
          <t>Wholesale cash &amp; carry and retail supermarket, 185-201 Spring Bank, Hull HU3 1LP. Companies House 14599796 (incorporated 18 Jan 2023, active). No phone/email published in search results.</t>
        </is>
      </c>
      <c r="AP143" s="10" t="inlineStr">
        <is>
          <t>Medium</t>
        </is>
      </c>
      <c r="AQ143" s="10" t="inlineStr">
        <is>
          <t>Independent retailer; Core relevant category; Active website; Social presence</t>
        </is>
      </c>
      <c r="AR143" s="10" t="inlineStr">
        <is>
          <t>https://freshcocashcarry.co.uk/</t>
        </is>
      </c>
      <c r="AS143" s="10" t="inlineStr">
        <is>
          <t>https://find-and-update.company-information.service.gov.uk/company/14599796</t>
        </is>
      </c>
      <c r="AT143" s="10" t="inlineStr">
        <is>
          <t>3</t>
        </is>
      </c>
      <c r="AU143" s="10" t="inlineStr">
        <is>
          <t>Yes</t>
        </is>
      </c>
      <c r="AV143" s="10" t="inlineStr">
        <is>
          <t>No</t>
        </is>
      </c>
      <c r="AW143" s="10" t="inlineStr">
        <is>
          <t>No</t>
        </is>
      </c>
      <c r="AX143" s="10" t="inlineStr">
        <is>
          <t>Yes</t>
        </is>
      </c>
      <c r="AY143" s="10" t="inlineStr">
        <is>
          <t>Not Found</t>
        </is>
      </c>
      <c r="AZ143" s="10" t="inlineStr">
        <is>
          <t>Not Found</t>
        </is>
      </c>
      <c r="BA143" s="10" t="inlineStr">
        <is>
          <t>2026-09-16</t>
        </is>
      </c>
      <c r="BB143" s="10" t="inlineStr">
        <is>
          <t>Verified (website + Companies House)</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2026-09-16</t>
        </is>
      </c>
      <c r="BJ143" s="10" t="inlineStr">
        <is>
          <t>New</t>
        </is>
      </c>
      <c r="BK143" s="10" t="inlineStr">
        <is>
          <t>2026-09-16</t>
        </is>
      </c>
      <c r="BL143" s="10" t="inlineStr"/>
      <c r="BM143" s="10" t="inlineStr"/>
      <c r="BN143" s="10" t="inlineStr"/>
      <c r="BO143" s="10" t="inlineStr"/>
      <c r="BP143" s="10" t="inlineStr"/>
      <c r="BQ143" s="10" t="inlineStr"/>
    </row>
    <row r="144">
      <c r="A144" s="5" t="inlineStr">
        <is>
          <t>WY-0087</t>
        </is>
      </c>
      <c r="B144" s="5" t="inlineStr">
        <is>
          <t>WY-0087-01</t>
        </is>
      </c>
      <c r="C144" s="5" t="inlineStr"/>
      <c r="D144" s="5" t="inlineStr">
        <is>
          <t>Freshco UK</t>
        </is>
      </c>
      <c r="E144" s="5" t="inlineStr">
        <is>
          <t>Freshco</t>
        </is>
      </c>
      <c r="F144" s="5" t="inlineStr">
        <is>
          <t>Freshco UK Ltd</t>
        </is>
      </c>
      <c r="G144" s="5" t="inlineStr">
        <is>
          <t>Convenience Store</t>
        </is>
      </c>
      <c r="H144" s="5" t="inlineStr">
        <is>
          <t>Grocery store with halal meat</t>
        </is>
      </c>
      <c r="I144" s="5" t="inlineStr">
        <is>
          <t>Independent</t>
        </is>
      </c>
      <c r="J144" s="5" t="inlineStr">
        <is>
          <t>1</t>
        </is>
      </c>
      <c r="K144" s="5" t="inlineStr"/>
      <c r="L144" s="5" t="inlineStr"/>
      <c r="M144" s="5" t="inlineStr"/>
      <c r="N144" s="5" t="inlineStr"/>
      <c r="O144" s="5" t="inlineStr"/>
      <c r="P144" s="5" t="inlineStr">
        <is>
          <t>Manningham</t>
        </is>
      </c>
      <c r="Q144" s="5" t="inlineStr">
        <is>
          <t>Bradford</t>
        </is>
      </c>
      <c r="R144" s="5" t="inlineStr">
        <is>
          <t>West Yorkshire</t>
        </is>
      </c>
      <c r="S144" s="5" t="inlineStr"/>
      <c r="T144" s="5" t="inlineStr">
        <is>
          <t>Yorkshire &amp; Humber</t>
        </is>
      </c>
      <c r="U144" s="5" t="inlineStr">
        <is>
          <t>England</t>
        </is>
      </c>
      <c r="V144" s="5" t="inlineStr"/>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groceries; halal meat; fresh produce</t>
        </is>
      </c>
      <c r="AL144" s="5" t="inlineStr"/>
      <c r="AM144" s="5" t="inlineStr">
        <is>
          <t>Convenience Store</t>
        </is>
      </c>
      <c r="AN144" s="5" t="inlineStr"/>
      <c r="AO144" s="5" t="inlineStr">
        <is>
          <t>Grocery store in Manningham, Bradford, offering halal meat (directory listing). Street address not captured - needs enrichment. Legal name taken from listing title 'FRESHCO UK LTD', not yet Companies House verified.</t>
        </is>
      </c>
      <c r="AP144" s="5" t="inlineStr">
        <is>
          <t>Low</t>
        </is>
      </c>
      <c r="AQ144" s="5" t="inlineStr">
        <is>
          <t>Independent retailer; Relevant category</t>
        </is>
      </c>
      <c r="AR144" s="5" t="inlineStr">
        <is>
          <t>https://freshco-uk-ltd.wheree.com/</t>
        </is>
      </c>
      <c r="AS144" s="5" t="inlineStr"/>
      <c r="AT144" s="5" t="inlineStr">
        <is>
          <t>1</t>
        </is>
      </c>
      <c r="AU144" s="5" t="inlineStr">
        <is>
          <t>No</t>
        </is>
      </c>
      <c r="AV144" s="5" t="inlineStr">
        <is>
          <t>No</t>
        </is>
      </c>
      <c r="AW144" s="5" t="inlineStr">
        <is>
          <t>No</t>
        </is>
      </c>
      <c r="AX144" s="5" t="inlineStr">
        <is>
          <t>No</t>
        </is>
      </c>
      <c r="AY144" s="5" t="inlineStr">
        <is>
          <t>Not Found</t>
        </is>
      </c>
      <c r="AZ144" s="5" t="inlineStr">
        <is>
          <t>Not Found</t>
        </is>
      </c>
      <c r="BA144" s="5" t="inlineStr">
        <is>
          <t>2026-09-16</t>
        </is>
      </c>
      <c r="BB144" s="5" t="inlineStr">
        <is>
          <t>Requires Verification</t>
        </is>
      </c>
      <c r="BC144" s="5" t="inlineStr">
        <is>
          <t>Low</t>
        </is>
      </c>
      <c r="BD144" s="5" t="inlineStr"/>
      <c r="BE144" s="5" t="inlineStr">
        <is>
          <t>Business (B2B)</t>
        </is>
      </c>
      <c r="BF144" s="5" t="inlineStr">
        <is>
          <t>Legitimate interest (B2B) - assess per campaign; PECR: corporate subscribers</t>
        </is>
      </c>
      <c r="BG144" s="5" t="inlineStr"/>
      <c r="BH144" s="5" t="inlineStr">
        <is>
          <t>No</t>
        </is>
      </c>
      <c r="BI144" s="5" t="inlineStr">
        <is>
          <t>2026-09-16</t>
        </is>
      </c>
      <c r="BJ144" s="5" t="inlineStr">
        <is>
          <t>New</t>
        </is>
      </c>
      <c r="BK144" s="5" t="inlineStr">
        <is>
          <t>2026-09-16</t>
        </is>
      </c>
      <c r="BL144" s="5" t="inlineStr"/>
      <c r="BM144" s="5" t="inlineStr"/>
      <c r="BN144" s="5" t="inlineStr"/>
      <c r="BO144" s="5" t="inlineStr"/>
      <c r="BP144" s="5" t="inlineStr"/>
      <c r="BQ144" s="5" t="inlineStr"/>
    </row>
    <row r="145">
      <c r="A145" s="10" t="inlineStr">
        <is>
          <t>UK-000250</t>
        </is>
      </c>
      <c r="B145" s="10" t="inlineStr">
        <is>
          <t>UK-000250-01</t>
        </is>
      </c>
      <c r="C145" s="10" t="inlineStr"/>
      <c r="D145" s="10" t="inlineStr">
        <is>
          <t>GDF Vape Shop</t>
        </is>
      </c>
      <c r="E145" s="10" t="inlineStr">
        <is>
          <t>GDF Vape Shop</t>
        </is>
      </c>
      <c r="F145" s="10" t="inlineStr"/>
      <c r="G145" s="10" t="inlineStr">
        <is>
          <t>Vape Shop</t>
        </is>
      </c>
      <c r="H145" s="10" t="inlineStr">
        <is>
          <t>Vape shop</t>
        </is>
      </c>
      <c r="I145" s="10" t="inlineStr">
        <is>
          <t>Independent</t>
        </is>
      </c>
      <c r="J145" s="10" t="inlineStr">
        <is>
          <t>1</t>
        </is>
      </c>
      <c r="K145" s="10" t="inlineStr">
        <is>
          <t>https://gdf-vape-shop.ueniweb.com/</t>
        </is>
      </c>
      <c r="L145" s="10" t="inlineStr"/>
      <c r="M145" s="10" t="inlineStr"/>
      <c r="N145" s="10" t="inlineStr"/>
      <c r="O145" s="10" t="inlineStr"/>
      <c r="P145" s="10" t="inlineStr"/>
      <c r="Q145" s="10" t="inlineStr">
        <is>
          <t>Doncaster</t>
        </is>
      </c>
      <c r="R145" s="10" t="inlineStr">
        <is>
          <t>South Yorkshire</t>
        </is>
      </c>
      <c r="S145" s="10" t="inlineStr"/>
      <c r="T145" s="10" t="inlineStr">
        <is>
          <t>Yorkshire &amp; Humber</t>
        </is>
      </c>
      <c r="U145" s="10" t="inlineStr">
        <is>
          <t>England</t>
        </is>
      </c>
      <c r="V145" s="10" t="inlineStr"/>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vape pens; e-liquids; accessories</t>
        </is>
      </c>
      <c r="AL145" s="10" t="inlineStr"/>
      <c r="AM145" s="10" t="inlineStr">
        <is>
          <t>Vape Shop</t>
        </is>
      </c>
      <c r="AN145" s="10" t="inlineStr"/>
      <c r="AO145" s="10" t="inlineStr">
        <is>
          <t>Independent Doncaster vape shop (vape pens, juices, accessories) with a UENI web listing; address/postcode not captured.</t>
        </is>
      </c>
      <c r="AP145" s="10" t="inlineStr">
        <is>
          <t>Medium</t>
        </is>
      </c>
      <c r="AQ145" s="10" t="inlineStr">
        <is>
          <t>Independent retailer; Core relevant category; Active website</t>
        </is>
      </c>
      <c r="AR145" s="10" t="inlineStr">
        <is>
          <t>https://gdf-vape-shop.ueniweb.com/</t>
        </is>
      </c>
      <c r="AS145" s="10" t="inlineStr"/>
      <c r="AT145" s="10" t="inlineStr">
        <is>
          <t>1</t>
        </is>
      </c>
      <c r="AU145" s="10" t="inlineStr">
        <is>
          <t>No</t>
        </is>
      </c>
      <c r="AV145" s="10" t="inlineStr">
        <is>
          <t>No</t>
        </is>
      </c>
      <c r="AW145" s="10" t="inlineStr">
        <is>
          <t>No</t>
        </is>
      </c>
      <c r="AX145" s="10" t="inlineStr">
        <is>
          <t>No</t>
        </is>
      </c>
      <c r="AY145" s="10" t="inlineStr">
        <is>
          <t>Not Found</t>
        </is>
      </c>
      <c r="AZ145" s="10" t="inlineStr">
        <is>
          <t>Website Found</t>
        </is>
      </c>
      <c r="BA145" s="10" t="inlineStr">
        <is>
          <t>2026-09-16</t>
        </is>
      </c>
      <c r="BB145" s="10" t="inlineStr">
        <is>
          <t>Requires Verification</t>
        </is>
      </c>
      <c r="BC145" s="10" t="inlineStr">
        <is>
          <t>Low</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2026-09-16</t>
        </is>
      </c>
      <c r="BL145" s="10" t="inlineStr"/>
      <c r="BM145" s="10" t="inlineStr"/>
      <c r="BN145" s="10" t="inlineStr"/>
      <c r="BO145" s="10" t="inlineStr"/>
      <c r="BP145" s="10" t="inlineStr"/>
      <c r="BQ145" s="10" t="inlineStr"/>
    </row>
    <row r="146">
      <c r="A146" s="5" t="inlineStr">
        <is>
          <t>WY-0088</t>
        </is>
      </c>
      <c r="B146" s="5" t="inlineStr">
        <is>
          <t>WY-0088-01</t>
        </is>
      </c>
      <c r="C146" s="5" t="inlineStr"/>
      <c r="D146" s="5" t="inlineStr">
        <is>
          <t>Get Plugged</t>
        </is>
      </c>
      <c r="E146" s="5" t="inlineStr">
        <is>
          <t>Get Plugged</t>
        </is>
      </c>
      <c r="F146" s="5" t="inlineStr"/>
      <c r="G146" s="5" t="inlineStr">
        <is>
          <t>Vape Shop</t>
        </is>
      </c>
      <c r="H146" s="5" t="inlineStr">
        <is>
          <t>Vape shop and convenience snacks</t>
        </is>
      </c>
      <c r="I146" s="5" t="inlineStr">
        <is>
          <t>Independent</t>
        </is>
      </c>
      <c r="J146" s="5" t="inlineStr">
        <is>
          <t>1</t>
        </is>
      </c>
      <c r="K146" s="5" t="inlineStr">
        <is>
          <t>https://getplugged.co.uk/</t>
        </is>
      </c>
      <c r="L146" s="5" t="inlineStr">
        <is>
          <t>https://www.facebook.com/p/Get-Plugged-61559687350403/</t>
        </is>
      </c>
      <c r="M146" s="5" t="inlineStr"/>
      <c r="N146" s="5" t="inlineStr"/>
      <c r="O146" s="5" t="inlineStr">
        <is>
          <t>Bradford Road</t>
        </is>
      </c>
      <c r="P146" s="5" t="inlineStr"/>
      <c r="Q146" s="5" t="inlineStr">
        <is>
          <t>Huddersfield</t>
        </is>
      </c>
      <c r="R146" s="5" t="inlineStr">
        <is>
          <t>West Yorkshire</t>
        </is>
      </c>
      <c r="S146" s="5" t="inlineStr"/>
      <c r="T146" s="5" t="inlineStr">
        <is>
          <t>Yorkshire &amp; Humber</t>
        </is>
      </c>
      <c r="U146" s="5" t="inlineStr">
        <is>
          <t>England</t>
        </is>
      </c>
      <c r="V146" s="5" t="inlineStr"/>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vape hardware; e-liquids; disposable vapes; snacks and drinks</t>
        </is>
      </c>
      <c r="AL146" s="5" t="inlineStr"/>
      <c r="AM146" s="5" t="inlineStr">
        <is>
          <t>Vape Shop</t>
        </is>
      </c>
      <c r="AN146" s="5" t="inlineStr"/>
      <c r="AO146" s="5" t="inlineStr">
        <is>
          <t>Open 10am-midnight seven days. Street number and postcode not published in accessible sources; own site getplugged.co.uk could not be fetched (proxy blocked).</t>
        </is>
      </c>
      <c r="AP146" s="5" t="inlineStr">
        <is>
          <t>Medium</t>
        </is>
      </c>
      <c r="AQ146" s="5" t="inlineStr">
        <is>
          <t>Independent retailer; Core relevant category; Active website; Social presence</t>
        </is>
      </c>
      <c r="AR146" s="5" t="inlineStr">
        <is>
          <t>https://getplugged.co.uk/</t>
        </is>
      </c>
      <c r="AS146" s="5" t="inlineStr">
        <is>
          <t>https://www.facebook.com/p/Get-Plugged-61559687350403/</t>
        </is>
      </c>
      <c r="AT146" s="5" t="inlineStr">
        <is>
          <t>3</t>
        </is>
      </c>
      <c r="AU146" s="5" t="inlineStr">
        <is>
          <t>No</t>
        </is>
      </c>
      <c r="AV146" s="5" t="inlineStr">
        <is>
          <t>No</t>
        </is>
      </c>
      <c r="AW146" s="5" t="inlineStr">
        <is>
          <t>No</t>
        </is>
      </c>
      <c r="AX146" s="5" t="inlineStr">
        <is>
          <t>No</t>
        </is>
      </c>
      <c r="AY146" s="5" t="inlineStr">
        <is>
          <t>Not Found</t>
        </is>
      </c>
      <c r="AZ146" s="5" t="inlineStr">
        <is>
          <t>Website Found</t>
        </is>
      </c>
      <c r="BA146" s="5" t="inlineStr">
        <is>
          <t>2026-09-16</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2026-09-16</t>
        </is>
      </c>
      <c r="BJ146" s="5" t="inlineStr">
        <is>
          <t>New</t>
        </is>
      </c>
      <c r="BK146" s="5" t="inlineStr">
        <is>
          <t>2026-09-16</t>
        </is>
      </c>
      <c r="BL146" s="5" t="inlineStr"/>
      <c r="BM146" s="5" t="inlineStr"/>
      <c r="BN146" s="5" t="inlineStr"/>
      <c r="BO146" s="5" t="inlineStr"/>
      <c r="BP146" s="5" t="inlineStr"/>
      <c r="BQ146" s="5" t="inlineStr"/>
    </row>
    <row r="147">
      <c r="A147" s="10" t="inlineStr">
        <is>
          <t>WY-0089</t>
        </is>
      </c>
      <c r="B147" s="10" t="inlineStr">
        <is>
          <t>WY-0089-01</t>
        </is>
      </c>
      <c r="C147" s="10" t="inlineStr"/>
      <c r="D147" s="10" t="inlineStr">
        <is>
          <t>Gibraltar Mini Mart</t>
        </is>
      </c>
      <c r="E147" s="10" t="inlineStr">
        <is>
          <t>Gibraltar Mini Mart Vape &amp; Mobile Shop</t>
        </is>
      </c>
      <c r="F147" s="10" t="inlineStr"/>
      <c r="G147" s="10" t="inlineStr">
        <is>
          <t>Convenience Store</t>
        </is>
      </c>
      <c r="H147" s="10" t="inlineStr">
        <is>
          <t>Convenience store with vapes and mobile accessories</t>
        </is>
      </c>
      <c r="I147" s="10" t="inlineStr">
        <is>
          <t>Independent</t>
        </is>
      </c>
      <c r="J147" s="10" t="inlineStr">
        <is>
          <t>1</t>
        </is>
      </c>
      <c r="K147" s="10" t="inlineStr"/>
      <c r="L147" s="10" t="inlineStr"/>
      <c r="M147" s="10" t="inlineStr"/>
      <c r="N147" s="10" t="inlineStr"/>
      <c r="O147" s="10" t="inlineStr">
        <is>
          <t>101 Hopwood Lane</t>
        </is>
      </c>
      <c r="P147" s="10" t="inlineStr"/>
      <c r="Q147" s="10" t="inlineStr">
        <is>
          <t>Halifax</t>
        </is>
      </c>
      <c r="R147" s="10" t="inlineStr">
        <is>
          <t>West Yorkshire</t>
        </is>
      </c>
      <c r="S147" s="10" t="inlineStr"/>
      <c r="T147" s="10" t="inlineStr">
        <is>
          <t>Yorkshire &amp; Humber</t>
        </is>
      </c>
      <c r="U147" s="10" t="inlineStr">
        <is>
          <t>England</t>
        </is>
      </c>
      <c r="V147" s="10" t="inlineStr"/>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convenience; vapes; mobile accessories</t>
        </is>
      </c>
      <c r="AL147" s="10" t="inlineStr"/>
      <c r="AM147" s="10" t="inlineStr">
        <is>
          <t>Convenience Store</t>
        </is>
      </c>
      <c r="AN147" s="10" t="inlineStr"/>
      <c r="AO147" s="10" t="inlineStr">
        <is>
          <t>Sells vapes alongside daily essentials - relevant crossover prospect.</t>
        </is>
      </c>
      <c r="AP147" s="10" t="inlineStr">
        <is>
          <t>Low</t>
        </is>
      </c>
      <c r="AQ147" s="10" t="inlineStr">
        <is>
          <t>Independent retailer; Relevant category</t>
        </is>
      </c>
      <c r="AR147" s="10" t="inlineStr">
        <is>
          <t>https://www.yorkshire.com/halifax/shopping/corner-shops/gibraltar-mini-mart-vapemobile-shop</t>
        </is>
      </c>
      <c r="AS147" s="10" t="inlineStr"/>
      <c r="AT147" s="10" t="inlineStr">
        <is>
          <t>1</t>
        </is>
      </c>
      <c r="AU147" s="10" t="inlineStr">
        <is>
          <t>No</t>
        </is>
      </c>
      <c r="AV147" s="10" t="inlineStr">
        <is>
          <t>No</t>
        </is>
      </c>
      <c r="AW147" s="10" t="inlineStr">
        <is>
          <t>No</t>
        </is>
      </c>
      <c r="AX147" s="10" t="inlineStr">
        <is>
          <t>No</t>
        </is>
      </c>
      <c r="AY147" s="10" t="inlineStr">
        <is>
          <t>Not Found</t>
        </is>
      </c>
      <c r="AZ147" s="10" t="inlineStr">
        <is>
          <t>Not Found</t>
        </is>
      </c>
      <c r="BA147" s="10" t="inlineStr">
        <is>
          <t>2026-09-16</t>
        </is>
      </c>
      <c r="BB147" s="10" t="inlineStr">
        <is>
          <t>Requires Verification</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2026-09-16</t>
        </is>
      </c>
      <c r="BL147" s="10" t="inlineStr"/>
      <c r="BM147" s="10" t="inlineStr"/>
      <c r="BN147" s="10" t="inlineStr"/>
      <c r="BO147" s="10" t="inlineStr"/>
      <c r="BP147" s="10" t="inlineStr"/>
      <c r="BQ147" s="10" t="inlineStr"/>
    </row>
    <row r="148">
      <c r="A148" s="5" t="inlineStr">
        <is>
          <t>WY-0090</t>
        </is>
      </c>
      <c r="B148" s="5" t="inlineStr">
        <is>
          <t>WY-0090-01</t>
        </is>
      </c>
      <c r="C148" s="5" t="inlineStr"/>
      <c r="D148" s="5" t="inlineStr">
        <is>
          <t>Global Mini Market 2</t>
        </is>
      </c>
      <c r="E148" s="5" t="inlineStr">
        <is>
          <t>Global Mini Market 2</t>
        </is>
      </c>
      <c r="F148" s="5" t="inlineStr"/>
      <c r="G148" s="5" t="inlineStr">
        <is>
          <t>Convenience Store</t>
        </is>
      </c>
      <c r="H148" s="5" t="inlineStr">
        <is>
          <t>24-hour convenience store &amp; off-licence</t>
        </is>
      </c>
      <c r="I148" s="5" t="inlineStr">
        <is>
          <t>Independent</t>
        </is>
      </c>
      <c r="J148" s="5" t="inlineStr">
        <is>
          <t>1</t>
        </is>
      </c>
      <c r="K148" s="5" t="inlineStr"/>
      <c r="L148" s="5" t="inlineStr"/>
      <c r="M148" s="5" t="inlineStr"/>
      <c r="N148" s="5" t="inlineStr"/>
      <c r="O148" s="5" t="inlineStr">
        <is>
          <t>83-85 Main Street</t>
        </is>
      </c>
      <c r="P148" s="5" t="inlineStr"/>
      <c r="Q148" s="5" t="inlineStr">
        <is>
          <t>Bingley</t>
        </is>
      </c>
      <c r="R148" s="5" t="inlineStr">
        <is>
          <t>West Yorkshire</t>
        </is>
      </c>
      <c r="S148" s="5" t="inlineStr">
        <is>
          <t>BD16 2JA</t>
        </is>
      </c>
      <c r="T148" s="5" t="inlineStr">
        <is>
          <t>Yorkshire &amp; Humber</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alcohol; convenience lines; groceries</t>
        </is>
      </c>
      <c r="AL148" s="5" t="inlineStr"/>
      <c r="AM148" s="5" t="inlineStr">
        <is>
          <t>Convenience Store</t>
        </is>
      </c>
      <c r="AN148" s="5" t="inlineStr"/>
      <c r="AO148" s="5" t="inlineStr">
        <is>
          <t>24/7 convenience store / off-licence on Bingley Main Street per 24houralcohol.co.uk listing.</t>
        </is>
      </c>
      <c r="AP148" s="5" t="inlineStr">
        <is>
          <t>Low</t>
        </is>
      </c>
      <c r="AQ148" s="5" t="inlineStr">
        <is>
          <t>Independent retailer; Relevant category</t>
        </is>
      </c>
      <c r="AR148" s="5" t="inlineStr">
        <is>
          <t>https://www.24houralcohol.co.uk/bradford-off-licences</t>
        </is>
      </c>
      <c r="AS148" s="5" t="inlineStr"/>
      <c r="AT148" s="5" t="inlineStr">
        <is>
          <t>1</t>
        </is>
      </c>
      <c r="AU148" s="5" t="inlineStr">
        <is>
          <t>No</t>
        </is>
      </c>
      <c r="AV148" s="5" t="inlineStr">
        <is>
          <t>No</t>
        </is>
      </c>
      <c r="AW148" s="5" t="inlineStr">
        <is>
          <t>No</t>
        </is>
      </c>
      <c r="AX148" s="5" t="inlineStr">
        <is>
          <t>No</t>
        </is>
      </c>
      <c r="AY148" s="5" t="inlineStr">
        <is>
          <t>Not Found</t>
        </is>
      </c>
      <c r="AZ148" s="5" t="inlineStr">
        <is>
          <t>Not Found</t>
        </is>
      </c>
      <c r="BA148" s="5" t="inlineStr">
        <is>
          <t>2026-09-16</t>
        </is>
      </c>
      <c r="BB148" s="5" t="inlineStr">
        <is>
          <t>Requires Verification</t>
        </is>
      </c>
      <c r="BC148" s="5" t="inlineStr">
        <is>
          <t>Medium</t>
        </is>
      </c>
      <c r="BD148" s="5" t="inlineStr"/>
      <c r="BE148" s="5" t="inlineStr">
        <is>
          <t>Business (B2B)</t>
        </is>
      </c>
      <c r="BF148" s="5" t="inlineStr">
        <is>
          <t>Legitimate interest (B2B) - assess per campaign; PECR: corporate subscribers</t>
        </is>
      </c>
      <c r="BG148" s="5" t="inlineStr"/>
      <c r="BH148" s="5" t="inlineStr">
        <is>
          <t>No</t>
        </is>
      </c>
      <c r="BI148" s="5" t="inlineStr">
        <is>
          <t>2026-09-16</t>
        </is>
      </c>
      <c r="BJ148" s="5" t="inlineStr">
        <is>
          <t>New</t>
        </is>
      </c>
      <c r="BK148" s="5" t="inlineStr">
        <is>
          <t>2026-09-16</t>
        </is>
      </c>
      <c r="BL148" s="5" t="inlineStr"/>
      <c r="BM148" s="5" t="inlineStr"/>
      <c r="BN148" s="5" t="inlineStr"/>
      <c r="BO148" s="5" t="inlineStr"/>
      <c r="BP148" s="5" t="inlineStr"/>
      <c r="BQ148" s="5" t="inlineStr"/>
    </row>
    <row r="149">
      <c r="A149" s="10" t="inlineStr">
        <is>
          <t>WY-0091</t>
        </is>
      </c>
      <c r="B149" s="10" t="inlineStr">
        <is>
          <t>WY-0091-01</t>
        </is>
      </c>
      <c r="C149" s="10" t="inlineStr"/>
      <c r="D149" s="10" t="inlineStr">
        <is>
          <t>Greengates Service Station</t>
        </is>
      </c>
      <c r="E149" s="10" t="inlineStr">
        <is>
          <t>Greengates Service Station</t>
        </is>
      </c>
      <c r="F149" s="10" t="inlineStr"/>
      <c r="G149" s="10" t="inlineStr">
        <is>
          <t>Petrol Station / Forecourt</t>
        </is>
      </c>
      <c r="H149" s="10" t="inlineStr">
        <is>
          <t>Forecourt with shop</t>
        </is>
      </c>
      <c r="I149" s="10" t="inlineStr">
        <is>
          <t>Unknown</t>
        </is>
      </c>
      <c r="J149" s="10" t="inlineStr">
        <is>
          <t>1</t>
        </is>
      </c>
      <c r="K149" s="10" t="inlineStr"/>
      <c r="L149" s="10" t="inlineStr"/>
      <c r="M149" s="10" t="inlineStr"/>
      <c r="N149" s="10" t="inlineStr"/>
      <c r="O149" s="10" t="inlineStr"/>
      <c r="P149" s="10" t="inlineStr">
        <is>
          <t>Greengates</t>
        </is>
      </c>
      <c r="Q149" s="10" t="inlineStr">
        <is>
          <t>Bradford</t>
        </is>
      </c>
      <c r="R149" s="10" t="inlineStr">
        <is>
          <t>West Yorkshire</t>
        </is>
      </c>
      <c r="S149" s="10" t="inlineStr"/>
      <c r="T149" s="10" t="inlineStr">
        <is>
          <t>Yorkshire &amp; Humber</t>
        </is>
      </c>
      <c r="U149" s="10" t="inlineStr">
        <is>
          <t>England</t>
        </is>
      </c>
      <c r="V149" s="10" t="inlineStr"/>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fuel; convenience shop lines</t>
        </is>
      </c>
      <c r="AL149" s="10" t="inlineStr"/>
      <c r="AM149" s="10" t="inlineStr">
        <is>
          <t>Petrol Station / Forecourt</t>
        </is>
      </c>
      <c r="AN149" s="10" t="inlineStr"/>
      <c r="AO149" s="10" t="inlineStr">
        <is>
          <t>Forecourt in the Greengates area (near Eccleshill), listed on Fuel Map UK. Operator/ownership not yet established - verify independence before outreach.</t>
        </is>
      </c>
      <c r="AP149" s="10" t="inlineStr">
        <is>
          <t>Low</t>
        </is>
      </c>
      <c r="AQ149" s="10" t="inlineStr">
        <is>
          <t>Relevant category</t>
        </is>
      </c>
      <c r="AR149" s="10" t="inlineStr">
        <is>
          <t>https://fuelmap.co.uk/forecourt/612/</t>
        </is>
      </c>
      <c r="AS149" s="10" t="inlineStr"/>
      <c r="AT149" s="10" t="inlineStr">
        <is>
          <t>1</t>
        </is>
      </c>
      <c r="AU149" s="10" t="inlineStr">
        <is>
          <t>No</t>
        </is>
      </c>
      <c r="AV149" s="10" t="inlineStr">
        <is>
          <t>No</t>
        </is>
      </c>
      <c r="AW149" s="10" t="inlineStr">
        <is>
          <t>No</t>
        </is>
      </c>
      <c r="AX149" s="10" t="inlineStr">
        <is>
          <t>No</t>
        </is>
      </c>
      <c r="AY149" s="10" t="inlineStr">
        <is>
          <t>Not Found</t>
        </is>
      </c>
      <c r="AZ149" s="10" t="inlineStr">
        <is>
          <t>Not Found</t>
        </is>
      </c>
      <c r="BA149" s="10" t="inlineStr">
        <is>
          <t>2026-09-16</t>
        </is>
      </c>
      <c r="BB149" s="10" t="inlineStr">
        <is>
          <t>Requires Verification</t>
        </is>
      </c>
      <c r="BC149" s="10" t="inlineStr">
        <is>
          <t>Low</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2026-09-16</t>
        </is>
      </c>
      <c r="BJ149" s="10" t="inlineStr">
        <is>
          <t>New</t>
        </is>
      </c>
      <c r="BK149" s="10" t="inlineStr">
        <is>
          <t>2026-09-16</t>
        </is>
      </c>
      <c r="BL149" s="10" t="inlineStr"/>
      <c r="BM149" s="10" t="inlineStr"/>
      <c r="BN149" s="10" t="inlineStr"/>
      <c r="BO149" s="10" t="inlineStr"/>
      <c r="BP149" s="10" t="inlineStr"/>
      <c r="BQ149" s="10" t="inlineStr"/>
    </row>
    <row r="150">
      <c r="A150" s="5" t="inlineStr">
        <is>
          <t>UK-000251</t>
        </is>
      </c>
      <c r="B150" s="5" t="inlineStr">
        <is>
          <t>UK-000251-01</t>
        </is>
      </c>
      <c r="C150" s="5" t="inlineStr"/>
      <c r="D150" s="5" t="inlineStr">
        <is>
          <t>Greenroof Service Station</t>
        </is>
      </c>
      <c r="E150" s="5" t="inlineStr">
        <is>
          <t>Greenroof Service Station</t>
        </is>
      </c>
      <c r="F150" s="5" t="inlineStr"/>
      <c r="G150" s="5" t="inlineStr">
        <is>
          <t>Petrol Station / Forecourt</t>
        </is>
      </c>
      <c r="H150" s="5" t="inlineStr">
        <is>
          <t>Independent forecourt</t>
        </is>
      </c>
      <c r="I150" s="5" t="inlineStr">
        <is>
          <t>Independent</t>
        </is>
      </c>
      <c r="J150" s="5" t="inlineStr">
        <is>
          <t>1</t>
        </is>
      </c>
      <c r="K150" s="5" t="inlineStr"/>
      <c r="L150" s="5" t="inlineStr"/>
      <c r="M150" s="5" t="inlineStr"/>
      <c r="N150" s="5" t="inlineStr"/>
      <c r="O150" s="5" t="inlineStr">
        <is>
          <t>Low Street</t>
        </is>
      </c>
      <c r="P150" s="5" t="inlineStr">
        <is>
          <t>Swinefleet</t>
        </is>
      </c>
      <c r="Q150" s="5" t="inlineStr">
        <is>
          <t>Goole</t>
        </is>
      </c>
      <c r="R150" s="5" t="inlineStr">
        <is>
          <t>East Riding of Yorkshire</t>
        </is>
      </c>
      <c r="S150" s="5" t="inlineStr"/>
      <c r="T150" s="5" t="inlineStr">
        <is>
          <t>Yorkshire &amp; Humber</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fuel; forecourt convenience</t>
        </is>
      </c>
      <c r="AL150" s="5" t="inlineStr"/>
      <c r="AM150" s="5" t="inlineStr">
        <is>
          <t>Petrol Station / Forecourt</t>
        </is>
      </c>
      <c r="AN150" s="5" t="inlineStr"/>
      <c r="AO150" s="5" t="inlineStr">
        <is>
          <t>Independent petrol service station, Low Street, Swinefleet, near Goole. No postcode/phone in search results.</t>
        </is>
      </c>
      <c r="AP150" s="5" t="inlineStr">
        <is>
          <t>Low</t>
        </is>
      </c>
      <c r="AQ150" s="5" t="inlineStr">
        <is>
          <t>Independent retailer; Relevant category</t>
        </is>
      </c>
      <c r="AR150" s="5" t="inlineStr">
        <is>
          <t>https://directory.hinckleytimes.net/search/scunthorpe/petrol-service-stations</t>
        </is>
      </c>
      <c r="AS150" s="5" t="inlineStr"/>
      <c r="AT150" s="5" t="inlineStr">
        <is>
          <t>1</t>
        </is>
      </c>
      <c r="AU150" s="5" t="inlineStr">
        <is>
          <t>No</t>
        </is>
      </c>
      <c r="AV150" s="5" t="inlineStr">
        <is>
          <t>No</t>
        </is>
      </c>
      <c r="AW150" s="5" t="inlineStr">
        <is>
          <t>No</t>
        </is>
      </c>
      <c r="AX150" s="5" t="inlineStr">
        <is>
          <t>No</t>
        </is>
      </c>
      <c r="AY150" s="5" t="inlineStr">
        <is>
          <t>Not Found</t>
        </is>
      </c>
      <c r="AZ150" s="5" t="inlineStr">
        <is>
          <t>Not Found</t>
        </is>
      </c>
      <c r="BA150" s="5" t="inlineStr">
        <is>
          <t>2026-09-16</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2026-09-16</t>
        </is>
      </c>
      <c r="BL150" s="5" t="inlineStr"/>
      <c r="BM150" s="5" t="inlineStr"/>
      <c r="BN150" s="5" t="inlineStr"/>
      <c r="BO150" s="5" t="inlineStr"/>
      <c r="BP150" s="5" t="inlineStr"/>
      <c r="BQ150" s="5" t="inlineStr"/>
    </row>
    <row r="151">
      <c r="A151" s="10" t="inlineStr">
        <is>
          <t>UK-000252</t>
        </is>
      </c>
      <c r="B151" s="10" t="inlineStr">
        <is>
          <t>UK-000252-01</t>
        </is>
      </c>
      <c r="C151" s="10" t="inlineStr"/>
      <c r="D151" s="10" t="inlineStr">
        <is>
          <t>Grimsby Toys and Vapes</t>
        </is>
      </c>
      <c r="E151" s="10" t="inlineStr">
        <is>
          <t>Grimsby Toys and Vapes</t>
        </is>
      </c>
      <c r="F151" s="10" t="inlineStr"/>
      <c r="G151" s="10" t="inlineStr">
        <is>
          <t>Vape Shop</t>
        </is>
      </c>
      <c r="H151" s="10" t="inlineStr">
        <is>
          <t>Vape and toy shop</t>
        </is>
      </c>
      <c r="I151" s="10" t="inlineStr">
        <is>
          <t>Independent</t>
        </is>
      </c>
      <c r="J151" s="10" t="inlineStr">
        <is>
          <t>1</t>
        </is>
      </c>
      <c r="K151" s="10" t="inlineStr"/>
      <c r="L151" s="10" t="inlineStr"/>
      <c r="M151" s="10" t="inlineStr"/>
      <c r="N151" s="10" t="inlineStr"/>
      <c r="O151" s="10" t="inlineStr">
        <is>
          <t>Pasture Street</t>
        </is>
      </c>
      <c r="P151" s="10" t="inlineStr"/>
      <c r="Q151" s="10" t="inlineStr">
        <is>
          <t>Grimsby</t>
        </is>
      </c>
      <c r="R151" s="10" t="inlineStr">
        <is>
          <t>Lincolnshire</t>
        </is>
      </c>
      <c r="S151" s="10" t="inlineStr"/>
      <c r="T151" s="10" t="inlineStr">
        <is>
          <t>Yorkshire &amp; Humber</t>
        </is>
      </c>
      <c r="U151" s="10" t="inlineStr">
        <is>
          <t>England</t>
        </is>
      </c>
      <c r="V151" s="10" t="inlineStr">
        <is>
          <t>07429 286555</t>
        </is>
      </c>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vape hardware; e-liquids; toys</t>
        </is>
      </c>
      <c r="AL151" s="10" t="inlineStr"/>
      <c r="AM151" s="10" t="inlineStr">
        <is>
          <t>Vape Shop</t>
        </is>
      </c>
      <c r="AN151" s="10" t="inlineStr"/>
      <c r="AO151" s="10" t="inlineStr">
        <is>
          <t>Independent vape/toy shop in Grimsby town centre (Pasture Street). No postcode in sources.</t>
        </is>
      </c>
      <c r="AP151" s="10" t="inlineStr">
        <is>
          <t>Medium</t>
        </is>
      </c>
      <c r="AQ151" s="10" t="inlineStr">
        <is>
          <t>Independent retailer; Core relevant category</t>
        </is>
      </c>
      <c r="AR151" s="10" t="inlineStr">
        <is>
          <t>https://grimsbylocal.co.uk/businesses/grimsby-toys-and-vapes</t>
        </is>
      </c>
      <c r="AS151" s="10" t="inlineStr"/>
      <c r="AT151" s="10" t="inlineStr">
        <is>
          <t>1</t>
        </is>
      </c>
      <c r="AU151" s="10" t="inlineStr">
        <is>
          <t>No</t>
        </is>
      </c>
      <c r="AV151" s="10" t="inlineStr">
        <is>
          <t>No</t>
        </is>
      </c>
      <c r="AW151" s="10" t="inlineStr">
        <is>
          <t>No</t>
        </is>
      </c>
      <c r="AX151" s="10" t="inlineStr">
        <is>
          <t>No</t>
        </is>
      </c>
      <c r="AY151" s="10" t="inlineStr">
        <is>
          <t>Verified directory</t>
        </is>
      </c>
      <c r="AZ151" s="10" t="inlineStr">
        <is>
          <t>Not Found</t>
        </is>
      </c>
      <c r="BA151" s="10" t="inlineStr">
        <is>
          <t>2026-09-16</t>
        </is>
      </c>
      <c r="BB151" s="10" t="inlineStr">
        <is>
          <t>Requires Verification</t>
        </is>
      </c>
      <c r="BC151" s="10" t="inlineStr">
        <is>
          <t>Low</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2026-09-16</t>
        </is>
      </c>
      <c r="BJ151" s="10" t="inlineStr">
        <is>
          <t>New</t>
        </is>
      </c>
      <c r="BK151" s="10" t="inlineStr">
        <is>
          <t>2026-09-16</t>
        </is>
      </c>
      <c r="BL151" s="10" t="inlineStr"/>
      <c r="BM151" s="10" t="inlineStr"/>
      <c r="BN151" s="10" t="inlineStr"/>
      <c r="BO151" s="10" t="inlineStr"/>
      <c r="BP151" s="10" t="inlineStr"/>
      <c r="BQ151" s="10" t="inlineStr"/>
    </row>
    <row r="152">
      <c r="A152" s="5" t="inlineStr">
        <is>
          <t>WY-0092</t>
        </is>
      </c>
      <c r="B152" s="5" t="inlineStr">
        <is>
          <t>WY-0092-01</t>
        </is>
      </c>
      <c r="C152" s="5" t="inlineStr"/>
      <c r="D152" s="5" t="inlineStr">
        <is>
          <t>Gulf Service Station Featherstone</t>
        </is>
      </c>
      <c r="E152" s="5" t="inlineStr">
        <is>
          <t>Gulf Service Station</t>
        </is>
      </c>
      <c r="F152" s="5" t="inlineStr"/>
      <c r="G152" s="5" t="inlineStr">
        <is>
          <t>Petrol Station / Forecourt</t>
        </is>
      </c>
      <c r="H152" s="5" t="inlineStr">
        <is>
          <t>Gulf-branded dealer forecourt with shop</t>
        </is>
      </c>
      <c r="I152" s="5" t="inlineStr">
        <is>
          <t>Independent</t>
        </is>
      </c>
      <c r="J152" s="5" t="inlineStr">
        <is>
          <t>1</t>
        </is>
      </c>
      <c r="K152" s="5" t="inlineStr"/>
      <c r="L152" s="5" t="inlineStr"/>
      <c r="M152" s="5" t="inlineStr"/>
      <c r="N152" s="5" t="inlineStr"/>
      <c r="O152" s="5" t="inlineStr">
        <is>
          <t>Wakefield Road</t>
        </is>
      </c>
      <c r="P152" s="5" t="inlineStr"/>
      <c r="Q152" s="5" t="inlineStr">
        <is>
          <t>Featherstone</t>
        </is>
      </c>
      <c r="R152" s="5" t="inlineStr">
        <is>
          <t>West Yorkshire</t>
        </is>
      </c>
      <c r="S152" s="5" t="inlineStr">
        <is>
          <t>WF7 5BP</t>
        </is>
      </c>
      <c r="T152" s="5" t="inlineStr">
        <is>
          <t>Yorkshire &amp; Humber</t>
        </is>
      </c>
      <c r="U152" s="5" t="inlineStr">
        <is>
          <t>England</t>
        </is>
      </c>
      <c r="V152" s="5" t="inlineStr"/>
      <c r="W152" s="5" t="inlineStr"/>
      <c r="X152" s="5" t="inlineStr"/>
      <c r="Y152" s="5" t="inlineStr"/>
      <c r="Z152" s="5" t="inlineStr"/>
      <c r="AA152" s="5" t="inlineStr"/>
      <c r="AB152" s="5" t="inlineStr"/>
      <c r="AC152" s="5" t="inlineStr"/>
      <c r="AD152" s="5" t="inlineStr"/>
      <c r="AE152" s="5" t="inlineStr"/>
      <c r="AF152" s="5" t="inlineStr"/>
      <c r="AG152" s="5" t="inlineStr"/>
      <c r="AH152" s="5" t="inlineStr"/>
      <c r="AI152" s="5" t="inlineStr"/>
      <c r="AJ152" s="5" t="inlineStr"/>
      <c r="AK152" s="5" t="inlineStr">
        <is>
          <t>fuel; convenience shop</t>
        </is>
      </c>
      <c r="AL152" s="5" t="inlineStr"/>
      <c r="AM152" s="5" t="inlineStr">
        <is>
          <t>Petrol Station / Forecourt</t>
        </is>
      </c>
      <c r="AN152" s="5" t="inlineStr">
        <is>
          <t>Gulf-branded fuel (Gulf UK supplies independent dealers)</t>
        </is>
      </c>
      <c r="AO152" s="5" t="inlineStr">
        <is>
          <t>Gulf branding in the UK is used almost exclusively by independent dealers; operator identity needs follow-up.</t>
        </is>
      </c>
      <c r="AP152" s="5" t="inlineStr">
        <is>
          <t>Low</t>
        </is>
      </c>
      <c r="AQ152" s="5" t="inlineStr">
        <is>
          <t>Independent retailer; Relevant category</t>
        </is>
      </c>
      <c r="AR152" s="5" t="inlineStr">
        <is>
          <t>https://www.yorkshire.com/featherstone/services/petrol-stations</t>
        </is>
      </c>
      <c r="AS152" s="5" t="inlineStr"/>
      <c r="AT152" s="5" t="inlineStr">
        <is>
          <t>1</t>
        </is>
      </c>
      <c r="AU152" s="5" t="inlineStr">
        <is>
          <t>No</t>
        </is>
      </c>
      <c r="AV152" s="5" t="inlineStr">
        <is>
          <t>No</t>
        </is>
      </c>
      <c r="AW152" s="5" t="inlineStr">
        <is>
          <t>No</t>
        </is>
      </c>
      <c r="AX152" s="5" t="inlineStr">
        <is>
          <t>No</t>
        </is>
      </c>
      <c r="AY152" s="5" t="inlineStr">
        <is>
          <t>Not Found</t>
        </is>
      </c>
      <c r="AZ152" s="5" t="inlineStr">
        <is>
          <t>Not Found</t>
        </is>
      </c>
      <c r="BA152" s="5" t="inlineStr">
        <is>
          <t>2026-09-16</t>
        </is>
      </c>
      <c r="BB152" s="5" t="inlineStr">
        <is>
          <t>Requires Verification</t>
        </is>
      </c>
      <c r="BC152" s="5" t="inlineStr">
        <is>
          <t>Low</t>
        </is>
      </c>
      <c r="BD152" s="5" t="inlineStr"/>
      <c r="BE152" s="5" t="inlineStr">
        <is>
          <t>Business (B2B)</t>
        </is>
      </c>
      <c r="BF152" s="5" t="inlineStr">
        <is>
          <t>Legitimate interest (B2B) - assess per campaign; PECR: corporate subscribers</t>
        </is>
      </c>
      <c r="BG152" s="5" t="inlineStr"/>
      <c r="BH152" s="5" t="inlineStr">
        <is>
          <t>No</t>
        </is>
      </c>
      <c r="BI152" s="5" t="inlineStr">
        <is>
          <t>2026-09-16</t>
        </is>
      </c>
      <c r="BJ152" s="5" t="inlineStr">
        <is>
          <t>New</t>
        </is>
      </c>
      <c r="BK152" s="5" t="inlineStr">
        <is>
          <t>2026-09-16</t>
        </is>
      </c>
      <c r="BL152" s="5" t="inlineStr"/>
      <c r="BM152" s="5" t="inlineStr"/>
      <c r="BN152" s="5" t="inlineStr"/>
      <c r="BO152" s="5" t="inlineStr"/>
      <c r="BP152" s="5" t="inlineStr"/>
      <c r="BQ152" s="5" t="inlineStr"/>
    </row>
    <row r="153">
      <c r="A153" s="10" t="inlineStr">
        <is>
          <t>WY-0093</t>
        </is>
      </c>
      <c r="B153" s="10" t="inlineStr">
        <is>
          <t>WY-0093-01</t>
        </is>
      </c>
      <c r="C153" s="10" t="inlineStr"/>
      <c r="D153" s="10" t="inlineStr">
        <is>
          <t>Halal Sweets Company</t>
        </is>
      </c>
      <c r="E153" s="10" t="inlineStr">
        <is>
          <t>Halal Sweets</t>
        </is>
      </c>
      <c r="F153" s="10" t="inlineStr"/>
      <c r="G153" s="10" t="inlineStr">
        <is>
          <t>Cash &amp; Carry</t>
        </is>
      </c>
      <c r="H153" s="10" t="inlineStr">
        <is>
          <t>Sweets &amp; snacks wholesaler / cash &amp; carry</t>
        </is>
      </c>
      <c r="I153" s="10" t="inlineStr">
        <is>
          <t>Independent</t>
        </is>
      </c>
      <c r="J153" s="10" t="inlineStr">
        <is>
          <t>1</t>
        </is>
      </c>
      <c r="K153" s="10" t="inlineStr">
        <is>
          <t>https://halalsweets.company.site/</t>
        </is>
      </c>
      <c r="L153" s="10" t="inlineStr">
        <is>
          <t>https://www.facebook.com/halalsweetscompany/</t>
        </is>
      </c>
      <c r="M153" s="10" t="inlineStr"/>
      <c r="N153" s="10" t="inlineStr"/>
      <c r="O153" s="10" t="inlineStr"/>
      <c r="P153" s="10" t="inlineStr"/>
      <c r="Q153" s="10" t="inlineStr">
        <is>
          <t>Bradford</t>
        </is>
      </c>
      <c r="R153" s="10" t="inlineStr">
        <is>
          <t>West Yorkshire</t>
        </is>
      </c>
      <c r="S153" s="10" t="inlineStr"/>
      <c r="T153" s="10" t="inlineStr">
        <is>
          <t>Yorkshire &amp; Humber</t>
        </is>
      </c>
      <c r="U153" s="10" t="inlineStr">
        <is>
          <t>England</t>
        </is>
      </c>
      <c r="V153" s="10" t="inlineStr"/>
      <c r="W153" s="10" t="inlineStr"/>
      <c r="X153" s="10" t="inlineStr"/>
      <c r="Y153" s="10" t="inlineStr">
        <is>
          <t>support@halalsweetscompany.co.uk</t>
        </is>
      </c>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halal sweets; snacks; confectionery wholesale</t>
        </is>
      </c>
      <c r="AL153" s="10" t="inlineStr"/>
      <c r="AM153" s="10" t="inlineStr">
        <is>
          <t>Cash &amp; Carry</t>
        </is>
      </c>
      <c r="AN153" s="10" t="inlineStr"/>
      <c r="AO153" s="10" t="inlineStr">
        <is>
          <t>Family-run Bradford-based wholesaler/distributor, cash &amp; carry and delivery, specialising in halal sweets and snacks. Street address not captured - needs enrichment.</t>
        </is>
      </c>
      <c r="AP153" s="10" t="inlineStr">
        <is>
          <t>High</t>
        </is>
      </c>
      <c r="AQ153" s="10" t="inlineStr">
        <is>
          <t>Independent retailer; Core relevant category; Public email available; Active website; Social presence</t>
        </is>
      </c>
      <c r="AR153" s="10" t="inlineStr">
        <is>
          <t>https://halalsweets.company.site/</t>
        </is>
      </c>
      <c r="AS153" s="10" t="inlineStr">
        <is>
          <t>https://halalsweetscompany.co.uk/</t>
        </is>
      </c>
      <c r="AT153" s="10" t="inlineStr">
        <is>
          <t>2</t>
        </is>
      </c>
      <c r="AU153" s="10" t="inlineStr">
        <is>
          <t>No</t>
        </is>
      </c>
      <c r="AV153" s="10" t="inlineStr">
        <is>
          <t>No</t>
        </is>
      </c>
      <c r="AW153" s="10" t="inlineStr">
        <is>
          <t>Yes</t>
        </is>
      </c>
      <c r="AX153" s="10" t="inlineStr">
        <is>
          <t>No</t>
        </is>
      </c>
      <c r="AY153" s="10" t="inlineStr">
        <is>
          <t>Not Found</t>
        </is>
      </c>
      <c r="AZ153" s="10" t="inlineStr">
        <is>
          <t>Website Found</t>
        </is>
      </c>
      <c r="BA153" s="10" t="inlineStr">
        <is>
          <t>2026-09-16</t>
        </is>
      </c>
      <c r="BB153" s="10" t="inlineStr">
        <is>
          <t>Partially Verified</t>
        </is>
      </c>
      <c r="BC153" s="10" t="inlineStr">
        <is>
          <t>Medium</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2026-09-16</t>
        </is>
      </c>
      <c r="BJ153" s="10" t="inlineStr">
        <is>
          <t>New</t>
        </is>
      </c>
      <c r="BK153" s="10" t="inlineStr">
        <is>
          <t>2026-09-16</t>
        </is>
      </c>
      <c r="BL153" s="10" t="inlineStr"/>
      <c r="BM153" s="10" t="inlineStr"/>
      <c r="BN153" s="10" t="inlineStr"/>
      <c r="BO153" s="10" t="inlineStr"/>
      <c r="BP153" s="10" t="inlineStr"/>
      <c r="BQ153" s="10" t="inlineStr"/>
    </row>
    <row r="154">
      <c r="A154" s="5" t="inlineStr">
        <is>
          <t>WY-0094</t>
        </is>
      </c>
      <c r="B154" s="5" t="inlineStr">
        <is>
          <t>WY-0094-01</t>
        </is>
      </c>
      <c r="C154" s="5" t="inlineStr"/>
      <c r="D154" s="5" t="inlineStr">
        <is>
          <t>Hang Sing Hong</t>
        </is>
      </c>
      <c r="E154" s="5" t="inlineStr">
        <is>
          <t>Hang Sing Hong</t>
        </is>
      </c>
      <c r="F154" s="5" t="inlineStr"/>
      <c r="G154" s="5" t="inlineStr">
        <is>
          <t>Independent Supermarket</t>
        </is>
      </c>
      <c r="H154" s="5" t="inlineStr">
        <is>
          <t>Chinese / Oriental supermarket</t>
        </is>
      </c>
      <c r="I154" s="5" t="inlineStr">
        <is>
          <t>Independent</t>
        </is>
      </c>
      <c r="J154" s="5" t="inlineStr">
        <is>
          <t>1</t>
        </is>
      </c>
      <c r="K154" s="5" t="inlineStr"/>
      <c r="L154" s="5" t="inlineStr"/>
      <c r="M154" s="5" t="inlineStr"/>
      <c r="N154" s="5" t="inlineStr"/>
      <c r="O154" s="5" t="inlineStr">
        <is>
          <t>117-119 Vicar Lane</t>
        </is>
      </c>
      <c r="P154" s="5" t="inlineStr">
        <is>
          <t>City Centre</t>
        </is>
      </c>
      <c r="Q154" s="5" t="inlineStr">
        <is>
          <t>Leeds</t>
        </is>
      </c>
      <c r="R154" s="5" t="inlineStr">
        <is>
          <t>West Yorkshire</t>
        </is>
      </c>
      <c r="S154" s="5" t="inlineStr">
        <is>
          <t>LS1 6PJ</t>
        </is>
      </c>
      <c r="T154" s="5" t="inlineStr">
        <is>
          <t>Yorkshire &amp; Humber</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Chinese and East Asian groceries</t>
        </is>
      </c>
      <c r="AL154" s="5" t="inlineStr"/>
      <c r="AM154" s="5" t="inlineStr">
        <is>
          <t>Independent Supermarket</t>
        </is>
      </c>
      <c r="AN154" s="5" t="inlineStr"/>
      <c r="AO154" s="5" t="inlineStr">
        <is>
          <t>Long-established Chinese supermarket on Vicar Lane in the city centre.</t>
        </is>
      </c>
      <c r="AP154" s="5" t="inlineStr">
        <is>
          <t>Low</t>
        </is>
      </c>
      <c r="AQ154" s="5" t="inlineStr">
        <is>
          <t>Independent retailer; Relevant category</t>
        </is>
      </c>
      <c r="AR154" s="5" t="inlineStr">
        <is>
          <t>https://www.yelp.co.uk/biz/hang-sing-hong-leeds-2</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2026-09-16</t>
        </is>
      </c>
      <c r="BB154" s="5" t="inlineStr">
        <is>
          <t>Requires Verification</t>
        </is>
      </c>
      <c r="BC154" s="5" t="inlineStr">
        <is>
          <t>Medium</t>
        </is>
      </c>
      <c r="BD154" s="5" t="inlineStr"/>
      <c r="BE154" s="5" t="inlineStr">
        <is>
          <t>Business (B2B)</t>
        </is>
      </c>
      <c r="BF154" s="5" t="inlineStr">
        <is>
          <t>Legitimate interest (B2B) - assess per campaign; PECR: corporate subscribers</t>
        </is>
      </c>
      <c r="BG154" s="5" t="inlineStr"/>
      <c r="BH154" s="5" t="inlineStr">
        <is>
          <t>No</t>
        </is>
      </c>
      <c r="BI154" s="5" t="inlineStr">
        <is>
          <t>2026-09-16</t>
        </is>
      </c>
      <c r="BJ154" s="5" t="inlineStr">
        <is>
          <t>New</t>
        </is>
      </c>
      <c r="BK154" s="5" t="inlineStr">
        <is>
          <t>2026-09-16</t>
        </is>
      </c>
      <c r="BL154" s="5" t="inlineStr"/>
      <c r="BM154" s="5" t="inlineStr"/>
      <c r="BN154" s="5" t="inlineStr"/>
      <c r="BO154" s="5" t="inlineStr"/>
      <c r="BP154" s="5" t="inlineStr"/>
      <c r="BQ154" s="5" t="inlineStr"/>
    </row>
    <row r="155">
      <c r="A155" s="10" t="inlineStr">
        <is>
          <t>UK-000253</t>
        </is>
      </c>
      <c r="B155" s="10" t="inlineStr">
        <is>
          <t>UK-000253-01</t>
        </is>
      </c>
      <c r="C155" s="10" t="inlineStr"/>
      <c r="D155" s="10" t="inlineStr">
        <is>
          <t>Haris&amp;Co Supermarket</t>
        </is>
      </c>
      <c r="E155" s="10" t="inlineStr">
        <is>
          <t>Haris&amp;Co Supermarket</t>
        </is>
      </c>
      <c r="F155" s="10" t="inlineStr"/>
      <c r="G155" s="10" t="inlineStr">
        <is>
          <t>Independent Supermarket</t>
        </is>
      </c>
      <c r="H155" s="10" t="inlineStr">
        <is>
          <t>International / world foods supermarket</t>
        </is>
      </c>
      <c r="I155" s="10" t="inlineStr">
        <is>
          <t>Independent</t>
        </is>
      </c>
      <c r="J155" s="10" t="inlineStr">
        <is>
          <t>1</t>
        </is>
      </c>
      <c r="K155" s="10" t="inlineStr">
        <is>
          <t>https://harrisandco.vercel.app</t>
        </is>
      </c>
      <c r="L155" s="10" t="inlineStr"/>
      <c r="M155" s="10" t="inlineStr"/>
      <c r="N155" s="10" t="inlineStr"/>
      <c r="O155" s="10" t="inlineStr">
        <is>
          <t>Terry Street</t>
        </is>
      </c>
      <c r="P155" s="10" t="inlineStr">
        <is>
          <t>off Beverley Road</t>
        </is>
      </c>
      <c r="Q155" s="10" t="inlineStr">
        <is>
          <t>Kingston upon Hull</t>
        </is>
      </c>
      <c r="R155" s="10" t="inlineStr">
        <is>
          <t>East Riding of Yorkshire</t>
        </is>
      </c>
      <c r="S155" s="10" t="inlineStr">
        <is>
          <t>HU3 1TY</t>
        </is>
      </c>
      <c r="T155" s="10" t="inlineStr">
        <is>
          <t>Yorkshire &amp; Humber</t>
        </is>
      </c>
      <c r="U155" s="10" t="inlineStr">
        <is>
          <t>England</t>
        </is>
      </c>
      <c r="V155" s="10" t="inlineStr"/>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world foods; groceries; fresh produce</t>
        </is>
      </c>
      <c r="AL155" s="10" t="inlineStr"/>
      <c r="AM155" s="10" t="inlineStr">
        <is>
          <t>Independent Supermarket</t>
        </is>
      </c>
      <c r="AN155" s="10" t="inlineStr"/>
      <c r="AO155" s="10" t="inlineStr">
        <is>
          <t>Self-described as Hull's largest independent supermarket, world foods, Terry Street (off Beverley Road) HU3 1TY. No phone/email in search results.</t>
        </is>
      </c>
      <c r="AP155" s="10" t="inlineStr">
        <is>
          <t>Medium</t>
        </is>
      </c>
      <c r="AQ155" s="10" t="inlineStr">
        <is>
          <t>Independent retailer; Relevant category; Active website</t>
        </is>
      </c>
      <c r="AR155" s="10" t="inlineStr">
        <is>
          <t>https://harrisandco.vercel.app/</t>
        </is>
      </c>
      <c r="AS155" s="10" t="inlineStr"/>
      <c r="AT155" s="10" t="inlineStr">
        <is>
          <t>1</t>
        </is>
      </c>
      <c r="AU155" s="10" t="inlineStr">
        <is>
          <t>Yes</t>
        </is>
      </c>
      <c r="AV155" s="10" t="inlineStr">
        <is>
          <t>No</t>
        </is>
      </c>
      <c r="AW155" s="10" t="inlineStr">
        <is>
          <t>No</t>
        </is>
      </c>
      <c r="AX155" s="10" t="inlineStr">
        <is>
          <t>No</t>
        </is>
      </c>
      <c r="AY155" s="10" t="inlineStr">
        <is>
          <t>Not Found</t>
        </is>
      </c>
      <c r="AZ155" s="10" t="inlineStr">
        <is>
          <t>Not Found</t>
        </is>
      </c>
      <c r="BA155" s="10" t="inlineStr">
        <is>
          <t>2026-09-16</t>
        </is>
      </c>
      <c r="BB155" s="10" t="inlineStr">
        <is>
          <t>Partially Verified</t>
        </is>
      </c>
      <c r="BC155" s="10" t="inlineStr">
        <is>
          <t>Medium</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2026-09-16</t>
        </is>
      </c>
      <c r="BJ155" s="10" t="inlineStr">
        <is>
          <t>New</t>
        </is>
      </c>
      <c r="BK155" s="10" t="inlineStr">
        <is>
          <t>2026-09-16</t>
        </is>
      </c>
      <c r="BL155" s="10" t="inlineStr"/>
      <c r="BM155" s="10" t="inlineStr"/>
      <c r="BN155" s="10" t="inlineStr"/>
      <c r="BO155" s="10" t="inlineStr"/>
      <c r="BP155" s="10" t="inlineStr"/>
      <c r="BQ155" s="10" t="inlineStr"/>
    </row>
    <row r="156">
      <c r="A156" s="5" t="inlineStr">
        <is>
          <t>UK-000254</t>
        </is>
      </c>
      <c r="B156" s="5" t="inlineStr">
        <is>
          <t>UK-000254-01</t>
        </is>
      </c>
      <c r="C156" s="5" t="inlineStr"/>
      <c r="D156" s="5" t="inlineStr">
        <is>
          <t>Harvest Service Station</t>
        </is>
      </c>
      <c r="E156" s="5" t="inlineStr">
        <is>
          <t>Harvest Service Station</t>
        </is>
      </c>
      <c r="F156" s="5" t="inlineStr"/>
      <c r="G156" s="5" t="inlineStr">
        <is>
          <t>Petrol Station / Forecourt</t>
        </is>
      </c>
      <c r="H156" s="5" t="inlineStr">
        <is>
          <t>Independent forecourt with convenience store</t>
        </is>
      </c>
      <c r="I156" s="5" t="inlineStr">
        <is>
          <t>Independent</t>
        </is>
      </c>
      <c r="J156" s="5" t="inlineStr">
        <is>
          <t>1</t>
        </is>
      </c>
      <c r="K156" s="5" t="inlineStr"/>
      <c r="L156" s="5" t="inlineStr"/>
      <c r="M156" s="5" t="inlineStr"/>
      <c r="N156" s="5" t="inlineStr"/>
      <c r="O156" s="5" t="inlineStr">
        <is>
          <t>Wheatley Hall Road</t>
        </is>
      </c>
      <c r="P156" s="5" t="inlineStr"/>
      <c r="Q156" s="5" t="inlineStr">
        <is>
          <t>Doncaster</t>
        </is>
      </c>
      <c r="R156" s="5" t="inlineStr">
        <is>
          <t>South Yorkshire</t>
        </is>
      </c>
      <c r="S156" s="5" t="inlineStr"/>
      <c r="T156" s="5" t="inlineStr">
        <is>
          <t>Yorkshire &amp; Humber</t>
        </is>
      </c>
      <c r="U156" s="5" t="inlineStr">
        <is>
          <t>England</t>
        </is>
      </c>
      <c r="V156" s="5" t="inlineStr"/>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fuel; convenience groceries; forecourt shop</t>
        </is>
      </c>
      <c r="AL156" s="5" t="inlineStr"/>
      <c r="AM156" s="5" t="inlineStr">
        <is>
          <t>Petrol Station / Forecourt</t>
        </is>
      </c>
      <c r="AN156" s="5" t="inlineStr"/>
      <c r="AO156" s="5" t="inlineStr">
        <is>
          <t>Independent service station/forecourt on Wheatley Hall Road, Doncaster. Listed in Doncaster petrol-station directory; exact house number/postcode not captured.</t>
        </is>
      </c>
      <c r="AP156" s="5" t="inlineStr">
        <is>
          <t>Low</t>
        </is>
      </c>
      <c r="AQ156" s="5" t="inlineStr">
        <is>
          <t>Independent retailer; Relevant category</t>
        </is>
      </c>
      <c r="AR156" s="5" t="inlineStr">
        <is>
          <t>https://www.mylocalservices.co.uk/24+Hr+Petrol+Stations-Doncaster.html</t>
        </is>
      </c>
      <c r="AS156" s="5" t="inlineStr"/>
      <c r="AT156" s="5" t="inlineStr">
        <is>
          <t>1</t>
        </is>
      </c>
      <c r="AU156" s="5" t="inlineStr">
        <is>
          <t>No</t>
        </is>
      </c>
      <c r="AV156" s="5" t="inlineStr">
        <is>
          <t>No</t>
        </is>
      </c>
      <c r="AW156" s="5" t="inlineStr">
        <is>
          <t>No</t>
        </is>
      </c>
      <c r="AX156" s="5" t="inlineStr">
        <is>
          <t>No</t>
        </is>
      </c>
      <c r="AY156" s="5" t="inlineStr">
        <is>
          <t>Not Found</t>
        </is>
      </c>
      <c r="AZ156" s="5" t="inlineStr">
        <is>
          <t>Not Found</t>
        </is>
      </c>
      <c r="BA156" s="5" t="inlineStr">
        <is>
          <t>2026-09-16</t>
        </is>
      </c>
      <c r="BB156" s="5" t="inlineStr">
        <is>
          <t>Requires Verification</t>
        </is>
      </c>
      <c r="BC156" s="5" t="inlineStr">
        <is>
          <t>Low</t>
        </is>
      </c>
      <c r="BD156" s="5" t="inlineStr"/>
      <c r="BE156" s="5" t="inlineStr">
        <is>
          <t>Business (B2B)</t>
        </is>
      </c>
      <c r="BF156" s="5" t="inlineStr">
        <is>
          <t>Legitimate interest (B2B) - assess per campaign; PECR: corporate subscribers</t>
        </is>
      </c>
      <c r="BG156" s="5" t="inlineStr"/>
      <c r="BH156" s="5" t="inlineStr">
        <is>
          <t>No</t>
        </is>
      </c>
      <c r="BI156" s="5" t="inlineStr">
        <is>
          <t>2026-09-16</t>
        </is>
      </c>
      <c r="BJ156" s="5" t="inlineStr">
        <is>
          <t>New</t>
        </is>
      </c>
      <c r="BK156" s="5" t="inlineStr">
        <is>
          <t>2026-09-16</t>
        </is>
      </c>
      <c r="BL156" s="5" t="inlineStr"/>
      <c r="BM156" s="5" t="inlineStr"/>
      <c r="BN156" s="5" t="inlineStr"/>
      <c r="BO156" s="5" t="inlineStr"/>
      <c r="BP156" s="5" t="inlineStr"/>
      <c r="BQ156" s="5" t="inlineStr"/>
    </row>
    <row r="157">
      <c r="A157" s="10" t="inlineStr">
        <is>
          <t>WY-0095</t>
        </is>
      </c>
      <c r="B157" s="10" t="inlineStr">
        <is>
          <t>WY-0095-01</t>
        </is>
      </c>
      <c r="C157" s="10" t="inlineStr"/>
      <c r="D157" s="10" t="inlineStr">
        <is>
          <t>Heckmondwike Service Station</t>
        </is>
      </c>
      <c r="E157" s="10" t="inlineStr">
        <is>
          <t>Heckmondwike Service Station</t>
        </is>
      </c>
      <c r="F157" s="10" t="inlineStr"/>
      <c r="G157" s="10" t="inlineStr">
        <is>
          <t>Petrol Station / Forecourt</t>
        </is>
      </c>
      <c r="H157" s="10" t="inlineStr">
        <is>
          <t>BP-branded forecourt with shop</t>
        </is>
      </c>
      <c r="I157" s="10" t="inlineStr">
        <is>
          <t>Unknown</t>
        </is>
      </c>
      <c r="J157" s="10" t="inlineStr">
        <is>
          <t>1</t>
        </is>
      </c>
      <c r="K157" s="10" t="inlineStr"/>
      <c r="L157" s="10" t="inlineStr"/>
      <c r="M157" s="10" t="inlineStr"/>
      <c r="N157" s="10" t="inlineStr"/>
      <c r="O157" s="10" t="inlineStr">
        <is>
          <t>Halifax Road</t>
        </is>
      </c>
      <c r="P157" s="10" t="inlineStr"/>
      <c r="Q157" s="10" t="inlineStr">
        <is>
          <t>Heckmondwike</t>
        </is>
      </c>
      <c r="R157" s="10" t="inlineStr">
        <is>
          <t>West Yorkshire</t>
        </is>
      </c>
      <c r="S157" s="10" t="inlineStr"/>
      <c r="T157" s="10" t="inlineStr">
        <is>
          <t>Yorkshire &amp; Humber</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fuel; convenience goods</t>
        </is>
      </c>
      <c r="AL157" s="10" t="inlineStr"/>
      <c r="AM157" s="10" t="inlineStr">
        <is>
          <t>Petrol Station / Forecourt</t>
        </is>
      </c>
      <c r="AN157" s="10" t="inlineStr">
        <is>
          <t>BP fuel supply</t>
        </is>
      </c>
      <c r="AO157" s="10" t="inlineStr">
        <is>
          <t>BP dealer forecourt on Halifax Road listed under Dewsbury/Heckmondwike; operator company not identified from accessible sources, so ownership marked Unknown.</t>
        </is>
      </c>
      <c r="AP157" s="10" t="inlineStr">
        <is>
          <t>Low</t>
        </is>
      </c>
      <c r="AQ157" s="10" t="inlineStr">
        <is>
          <t>Relevant category</t>
        </is>
      </c>
      <c r="AR157" s="10" t="inlineStr">
        <is>
          <t>https://map.bp.com/en-US/GB/gas-station/dewsbury/heckmondwike-service-station/137101962</t>
        </is>
      </c>
      <c r="AS157" s="10" t="inlineStr">
        <is>
          <t>https://fuelfox.uk/station/heckmondwike-service-station-dewsbury-3798</t>
        </is>
      </c>
      <c r="AT157" s="10" t="inlineStr">
        <is>
          <t>2</t>
        </is>
      </c>
      <c r="AU157" s="10" t="inlineStr">
        <is>
          <t>No</t>
        </is>
      </c>
      <c r="AV157" s="10" t="inlineStr">
        <is>
          <t>No</t>
        </is>
      </c>
      <c r="AW157" s="10" t="inlineStr">
        <is>
          <t>No</t>
        </is>
      </c>
      <c r="AX157" s="10" t="inlineStr">
        <is>
          <t>No</t>
        </is>
      </c>
      <c r="AY157" s="10" t="inlineStr">
        <is>
          <t>Not Found</t>
        </is>
      </c>
      <c r="AZ157" s="10" t="inlineStr">
        <is>
          <t>Not Found</t>
        </is>
      </c>
      <c r="BA157" s="10" t="inlineStr">
        <is>
          <t>2026-09-16</t>
        </is>
      </c>
      <c r="BB157" s="10" t="inlineStr">
        <is>
          <t>Requires Verification</t>
        </is>
      </c>
      <c r="BC157" s="10" t="inlineStr">
        <is>
          <t>Low</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2026-09-16</t>
        </is>
      </c>
      <c r="BL157" s="10" t="inlineStr"/>
      <c r="BM157" s="10" t="inlineStr"/>
      <c r="BN157" s="10" t="inlineStr"/>
      <c r="BO157" s="10" t="inlineStr"/>
      <c r="BP157" s="10" t="inlineStr"/>
      <c r="BQ157" s="10" t="inlineStr"/>
    </row>
    <row r="158">
      <c r="A158" s="5" t="inlineStr">
        <is>
          <t>UK-000255</t>
        </is>
      </c>
      <c r="B158" s="5" t="inlineStr">
        <is>
          <t>UK-000255-01</t>
        </is>
      </c>
      <c r="C158" s="5" t="inlineStr"/>
      <c r="D158" s="5" t="inlineStr">
        <is>
          <t>Hillsborough Vape Lounge</t>
        </is>
      </c>
      <c r="E158" s="5" t="inlineStr">
        <is>
          <t>Hillsborough Vape Lounge</t>
        </is>
      </c>
      <c r="F158" s="5" t="inlineStr"/>
      <c r="G158" s="5" t="inlineStr">
        <is>
          <t>Vape Shop</t>
        </is>
      </c>
      <c r="H158" s="5" t="inlineStr">
        <is>
          <t>E-cigarette and e-liquid shop</t>
        </is>
      </c>
      <c r="I158" s="5" t="inlineStr">
        <is>
          <t>Independent</t>
        </is>
      </c>
      <c r="J158" s="5" t="inlineStr">
        <is>
          <t>1</t>
        </is>
      </c>
      <c r="K158" s="5" t="inlineStr"/>
      <c r="L158" s="5" t="inlineStr"/>
      <c r="M158" s="5" t="inlineStr"/>
      <c r="N158" s="5" t="inlineStr"/>
      <c r="O158" s="5" t="inlineStr">
        <is>
          <t>66 Owlerton Green</t>
        </is>
      </c>
      <c r="P158" s="5" t="inlineStr">
        <is>
          <t>Hillsborough</t>
        </is>
      </c>
      <c r="Q158" s="5" t="inlineStr">
        <is>
          <t>Sheffield</t>
        </is>
      </c>
      <c r="R158" s="5" t="inlineStr">
        <is>
          <t>South Yorkshire</t>
        </is>
      </c>
      <c r="S158" s="5" t="inlineStr">
        <is>
          <t>S6 2BH</t>
        </is>
      </c>
      <c r="T158" s="5" t="inlineStr">
        <is>
          <t>Yorkshire &amp; Humber</t>
        </is>
      </c>
      <c r="U158" s="5" t="inlineStr">
        <is>
          <t>England</t>
        </is>
      </c>
      <c r="V158" s="5" t="inlineStr"/>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e-cigarettes; e-liquids; disposables; coils</t>
        </is>
      </c>
      <c r="AL158" s="5" t="inlineStr"/>
      <c r="AM158" s="5" t="inlineStr">
        <is>
          <t>Vape Shop</t>
        </is>
      </c>
      <c r="AN158" s="5" t="inlineStr"/>
      <c r="AO158" s="5" t="inlineStr">
        <is>
          <t>Independent vape shop in Hillsborough district. Address from eCig Directory listing (via search results).</t>
        </is>
      </c>
      <c r="AP158" s="5" t="inlineStr">
        <is>
          <t>Medium</t>
        </is>
      </c>
      <c r="AQ158" s="5" t="inlineStr">
        <is>
          <t>Independent retailer; Core relevant category</t>
        </is>
      </c>
      <c r="AR158" s="5" t="inlineStr">
        <is>
          <t>https://ecigdirectory.co.uk/vape-shop/listing/hillsborough-vape-lounge-sheffield</t>
        </is>
      </c>
      <c r="AS158" s="5" t="inlineStr"/>
      <c r="AT158" s="5" t="inlineStr">
        <is>
          <t>1</t>
        </is>
      </c>
      <c r="AU158" s="5" t="inlineStr">
        <is>
          <t>No</t>
        </is>
      </c>
      <c r="AV158" s="5" t="inlineStr">
        <is>
          <t>No</t>
        </is>
      </c>
      <c r="AW158" s="5" t="inlineStr">
        <is>
          <t>No</t>
        </is>
      </c>
      <c r="AX158" s="5" t="inlineStr">
        <is>
          <t>No</t>
        </is>
      </c>
      <c r="AY158" s="5" t="inlineStr">
        <is>
          <t>Not Found</t>
        </is>
      </c>
      <c r="AZ158" s="5" t="inlineStr">
        <is>
          <t>Not Found</t>
        </is>
      </c>
      <c r="BA158" s="5" t="inlineStr">
        <is>
          <t>2026-09-16</t>
        </is>
      </c>
      <c r="BB158" s="5" t="inlineStr">
        <is>
          <t>Requires Verification</t>
        </is>
      </c>
      <c r="BC158" s="5" t="inlineStr">
        <is>
          <t>Low</t>
        </is>
      </c>
      <c r="BD158" s="5" t="inlineStr"/>
      <c r="BE158" s="5" t="inlineStr">
        <is>
          <t>Business (B2B)</t>
        </is>
      </c>
      <c r="BF158" s="5" t="inlineStr">
        <is>
          <t>Legitimate interest (B2B) - assess per campaign; PECR: corporate subscribers</t>
        </is>
      </c>
      <c r="BG158" s="5" t="inlineStr"/>
      <c r="BH158" s="5" t="inlineStr">
        <is>
          <t>No</t>
        </is>
      </c>
      <c r="BI158" s="5" t="inlineStr">
        <is>
          <t>2026-09-16</t>
        </is>
      </c>
      <c r="BJ158" s="5" t="inlineStr">
        <is>
          <t>New</t>
        </is>
      </c>
      <c r="BK158" s="5" t="inlineStr">
        <is>
          <t>2026-09-16</t>
        </is>
      </c>
      <c r="BL158" s="5" t="inlineStr"/>
      <c r="BM158" s="5" t="inlineStr"/>
      <c r="BN158" s="5" t="inlineStr"/>
      <c r="BO158" s="5" t="inlineStr"/>
      <c r="BP158" s="5" t="inlineStr"/>
      <c r="BQ158" s="5" t="inlineStr"/>
    </row>
    <row r="159">
      <c r="A159" s="10" t="inlineStr">
        <is>
          <t>UK-000256</t>
        </is>
      </c>
      <c r="B159" s="10" t="inlineStr">
        <is>
          <t>UK-000256-01</t>
        </is>
      </c>
      <c r="C159" s="10" t="inlineStr"/>
      <c r="D159" s="10" t="inlineStr">
        <is>
          <t>Holderness Convenience &amp; Spirits</t>
        </is>
      </c>
      <c r="E159" s="10" t="inlineStr">
        <is>
          <t>Holderness Convenience &amp; Spirits</t>
        </is>
      </c>
      <c r="F159" s="10" t="inlineStr"/>
      <c r="G159" s="10" t="inlineStr">
        <is>
          <t>Off-Licence</t>
        </is>
      </c>
      <c r="H159" s="10" t="inlineStr">
        <is>
          <t>Off-licence / convenience</t>
        </is>
      </c>
      <c r="I159" s="10" t="inlineStr">
        <is>
          <t>Independent</t>
        </is>
      </c>
      <c r="J159" s="10" t="inlineStr">
        <is>
          <t>1</t>
        </is>
      </c>
      <c r="K159" s="10" t="inlineStr"/>
      <c r="L159" s="10" t="inlineStr"/>
      <c r="M159" s="10" t="inlineStr"/>
      <c r="N159" s="10" t="inlineStr"/>
      <c r="O159" s="10" t="inlineStr">
        <is>
          <t>Holderness Road</t>
        </is>
      </c>
      <c r="P159" s="10" t="inlineStr"/>
      <c r="Q159" s="10" t="inlineStr">
        <is>
          <t>Kingston upon Hull</t>
        </is>
      </c>
      <c r="R159" s="10" t="inlineStr">
        <is>
          <t>East Riding of Yorkshire</t>
        </is>
      </c>
      <c r="S159" s="10" t="inlineStr"/>
      <c r="T159" s="10" t="inlineStr">
        <is>
          <t>Yorkshire &amp; Humber</t>
        </is>
      </c>
      <c r="U159" s="10" t="inlineStr">
        <is>
          <t>England</t>
        </is>
      </c>
      <c r="V159" s="10" t="inlineStr"/>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spirits; wines; beers; groceries</t>
        </is>
      </c>
      <c r="AL159" s="10" t="inlineStr"/>
      <c r="AM159" s="10" t="inlineStr">
        <is>
          <t>Off-Licence</t>
        </is>
      </c>
      <c r="AN159" s="10" t="inlineStr"/>
      <c r="AO159" s="10" t="inlineStr">
        <is>
          <t>Independent off-licence/convenience on Holderness Road, Hull, with a wide spirits/wine range. No postcode/phone in search results.</t>
        </is>
      </c>
      <c r="AP159" s="10" t="inlineStr">
        <is>
          <t>Low</t>
        </is>
      </c>
      <c r="AQ159" s="10" t="inlineStr">
        <is>
          <t>Independent retailer; Relevant category</t>
        </is>
      </c>
      <c r="AR159" s="10" t="inlineStr">
        <is>
          <t>https://www.yorkshire.com/hull/shopping/off-license/holderness-convenience-spirits</t>
        </is>
      </c>
      <c r="AS159" s="10" t="inlineStr"/>
      <c r="AT159" s="10" t="inlineStr">
        <is>
          <t>1</t>
        </is>
      </c>
      <c r="AU159" s="10" t="inlineStr">
        <is>
          <t>No</t>
        </is>
      </c>
      <c r="AV159" s="10" t="inlineStr">
        <is>
          <t>No</t>
        </is>
      </c>
      <c r="AW159" s="10" t="inlineStr">
        <is>
          <t>No</t>
        </is>
      </c>
      <c r="AX159" s="10" t="inlineStr">
        <is>
          <t>No</t>
        </is>
      </c>
      <c r="AY159" s="10" t="inlineStr">
        <is>
          <t>Not Found</t>
        </is>
      </c>
      <c r="AZ159" s="10" t="inlineStr">
        <is>
          <t>Not Found</t>
        </is>
      </c>
      <c r="BA159" s="10" t="inlineStr">
        <is>
          <t>2026-09-16</t>
        </is>
      </c>
      <c r="BB159" s="10" t="inlineStr">
        <is>
          <t>Requires Verification</t>
        </is>
      </c>
      <c r="BC159" s="10" t="inlineStr">
        <is>
          <t>Low</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2026-09-16</t>
        </is>
      </c>
      <c r="BJ159" s="10" t="inlineStr">
        <is>
          <t>New</t>
        </is>
      </c>
      <c r="BK159" s="10" t="inlineStr">
        <is>
          <t>2026-09-16</t>
        </is>
      </c>
      <c r="BL159" s="10" t="inlineStr"/>
      <c r="BM159" s="10" t="inlineStr"/>
      <c r="BN159" s="10" t="inlineStr"/>
      <c r="BO159" s="10" t="inlineStr"/>
      <c r="BP159" s="10" t="inlineStr"/>
      <c r="BQ159" s="10" t="inlineStr"/>
    </row>
    <row r="160">
      <c r="A160" s="5" t="inlineStr">
        <is>
          <t>WY-0096</t>
        </is>
      </c>
      <c r="B160" s="5" t="inlineStr">
        <is>
          <t>WY-0096-01</t>
        </is>
      </c>
      <c r="C160" s="5" t="inlineStr"/>
      <c r="D160" s="5" t="inlineStr">
        <is>
          <t>Hopes News</t>
        </is>
      </c>
      <c r="E160" s="5" t="inlineStr">
        <is>
          <t>Hopes News</t>
        </is>
      </c>
      <c r="F160" s="5" t="inlineStr"/>
      <c r="G160" s="5" t="inlineStr">
        <is>
          <t>Newsagent</t>
        </is>
      </c>
      <c r="H160" s="5" t="inlineStr">
        <is>
          <t>Newsagent / off-licence</t>
        </is>
      </c>
      <c r="I160" s="5" t="inlineStr">
        <is>
          <t>Independent</t>
        </is>
      </c>
      <c r="J160" s="5" t="inlineStr">
        <is>
          <t>1</t>
        </is>
      </c>
      <c r="K160" s="5" t="inlineStr"/>
      <c r="L160" s="5" t="inlineStr"/>
      <c r="M160" s="5" t="inlineStr"/>
      <c r="N160" s="5" t="inlineStr"/>
      <c r="O160" s="5" t="inlineStr">
        <is>
          <t>Otley Road</t>
        </is>
      </c>
      <c r="P160" s="5" t="inlineStr">
        <is>
          <t>Baildon</t>
        </is>
      </c>
      <c r="Q160" s="5" t="inlineStr">
        <is>
          <t>Shipley</t>
        </is>
      </c>
      <c r="R160" s="5" t="inlineStr">
        <is>
          <t>West Yorkshire</t>
        </is>
      </c>
      <c r="S160" s="5" t="inlineStr"/>
      <c r="T160" s="5" t="inlineStr">
        <is>
          <t>Yorkshire &amp; Humber</t>
        </is>
      </c>
      <c r="U160" s="5" t="inlineStr">
        <is>
          <t>England</t>
        </is>
      </c>
      <c r="V160" s="5" t="inlineStr"/>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news; magazines; convenience lines</t>
        </is>
      </c>
      <c r="AL160" s="5" t="inlineStr"/>
      <c r="AM160" s="5" t="inlineStr">
        <is>
          <t>Newsagent</t>
        </is>
      </c>
      <c r="AN160" s="5" t="inlineStr"/>
      <c r="AO160" s="5" t="inlineStr">
        <is>
          <t>Early-opening newsagent on Otley Road, Baildon (from 7am daily per listing snippet).</t>
        </is>
      </c>
      <c r="AP160" s="5" t="inlineStr">
        <is>
          <t>Low</t>
        </is>
      </c>
      <c r="AQ160" s="5" t="inlineStr">
        <is>
          <t>Independent retailer; Relevant category</t>
        </is>
      </c>
      <c r="AR160" s="5" t="inlineStr">
        <is>
          <t>https://www.yorkshire.com/shipley/shopping/off-license/hopes-news</t>
        </is>
      </c>
      <c r="AS160" s="5" t="inlineStr"/>
      <c r="AT160" s="5" t="inlineStr">
        <is>
          <t>1</t>
        </is>
      </c>
      <c r="AU160" s="5" t="inlineStr">
        <is>
          <t>No</t>
        </is>
      </c>
      <c r="AV160" s="5" t="inlineStr">
        <is>
          <t>No</t>
        </is>
      </c>
      <c r="AW160" s="5" t="inlineStr">
        <is>
          <t>No</t>
        </is>
      </c>
      <c r="AX160" s="5" t="inlineStr">
        <is>
          <t>No</t>
        </is>
      </c>
      <c r="AY160" s="5" t="inlineStr">
        <is>
          <t>Not Found</t>
        </is>
      </c>
      <c r="AZ160" s="5" t="inlineStr">
        <is>
          <t>Not Found</t>
        </is>
      </c>
      <c r="BA160" s="5" t="inlineStr">
        <is>
          <t>2026-09-16</t>
        </is>
      </c>
      <c r="BB160" s="5" t="inlineStr">
        <is>
          <t>Requires Verification</t>
        </is>
      </c>
      <c r="BC160" s="5" t="inlineStr">
        <is>
          <t>Low</t>
        </is>
      </c>
      <c r="BD160" s="5" t="inlineStr"/>
      <c r="BE160" s="5" t="inlineStr">
        <is>
          <t>Business (B2B)</t>
        </is>
      </c>
      <c r="BF160" s="5" t="inlineStr">
        <is>
          <t>Legitimate interest (B2B) - assess per campaign; PECR: corporate subscribers</t>
        </is>
      </c>
      <c r="BG160" s="5" t="inlineStr"/>
      <c r="BH160" s="5" t="inlineStr">
        <is>
          <t>No</t>
        </is>
      </c>
      <c r="BI160" s="5" t="inlineStr">
        <is>
          <t>2026-09-16</t>
        </is>
      </c>
      <c r="BJ160" s="5" t="inlineStr">
        <is>
          <t>New</t>
        </is>
      </c>
      <c r="BK160" s="5" t="inlineStr">
        <is>
          <t>2026-09-16</t>
        </is>
      </c>
      <c r="BL160" s="5" t="inlineStr"/>
      <c r="BM160" s="5" t="inlineStr"/>
      <c r="BN160" s="5" t="inlineStr"/>
      <c r="BO160" s="5" t="inlineStr"/>
      <c r="BP160" s="5" t="inlineStr"/>
      <c r="BQ160" s="5" t="inlineStr"/>
    </row>
    <row r="161">
      <c r="A161" s="10" t="inlineStr">
        <is>
          <t>WY-0097</t>
        </is>
      </c>
      <c r="B161" s="10" t="inlineStr">
        <is>
          <t>WY-0097-01</t>
        </is>
      </c>
      <c r="C161" s="10" t="inlineStr"/>
      <c r="D161" s="10" t="inlineStr">
        <is>
          <t>House of Vapour</t>
        </is>
      </c>
      <c r="E161" s="10" t="inlineStr">
        <is>
          <t>House of Vapour</t>
        </is>
      </c>
      <c r="F161" s="10" t="inlineStr"/>
      <c r="G161" s="10" t="inlineStr">
        <is>
          <t>Vape Shop</t>
        </is>
      </c>
      <c r="H161" s="10" t="inlineStr">
        <is>
          <t>Premium e-cigarette products</t>
        </is>
      </c>
      <c r="I161" s="10" t="inlineStr">
        <is>
          <t>Independent</t>
        </is>
      </c>
      <c r="J161" s="10" t="inlineStr">
        <is>
          <t>1</t>
        </is>
      </c>
      <c r="K161" s="10" t="inlineStr">
        <is>
          <t>https://www.houseofvapour.net</t>
        </is>
      </c>
      <c r="L161" s="10" t="inlineStr"/>
      <c r="M161" s="10" t="inlineStr"/>
      <c r="N161" s="10" t="inlineStr"/>
      <c r="O161" s="10" t="inlineStr">
        <is>
          <t>Barnsley Road</t>
        </is>
      </c>
      <c r="P161" s="10" t="inlineStr"/>
      <c r="Q161" s="10" t="inlineStr">
        <is>
          <t>South Elmsall</t>
        </is>
      </c>
      <c r="R161" s="10" t="inlineStr">
        <is>
          <t>West Yorkshire</t>
        </is>
      </c>
      <c r="S161" s="10" t="inlineStr">
        <is>
          <t>WF9 2AL</t>
        </is>
      </c>
      <c r="T161" s="10" t="inlineStr">
        <is>
          <t>Yorkshire &amp; Humber</t>
        </is>
      </c>
      <c r="U161" s="10" t="inlineStr">
        <is>
          <t>England</t>
        </is>
      </c>
      <c r="V161" s="10" t="inlineStr">
        <is>
          <t>01977 647969</t>
        </is>
      </c>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vape hardware; e-liquids</t>
        </is>
      </c>
      <c r="AL161" s="10" t="inlineStr"/>
      <c r="AM161" s="10" t="inlineStr">
        <is>
          <t>Vape Shop</t>
        </is>
      </c>
      <c r="AN161" s="10" t="inlineStr"/>
      <c r="AO161" s="10" t="inlineStr">
        <is>
          <t>Own website (houseofvapour.net) describes it as on Barnsley Road, South Elmsall, specialising in luxury e-cigarette products. Site could not be fetched (egress blocked) so street number/phone/email not captured.</t>
        </is>
      </c>
      <c r="AP161" s="10" t="inlineStr">
        <is>
          <t>Medium</t>
        </is>
      </c>
      <c r="AQ161" s="10" t="inlineStr">
        <is>
          <t>Independent retailer; Core relevant category; Active website</t>
        </is>
      </c>
      <c r="AR161" s="10" t="inlineStr">
        <is>
          <t>https://www.houseofvapour.net/</t>
        </is>
      </c>
      <c r="AS161" s="10" t="inlineStr">
        <is>
          <t>https://ecigdirectory.co.uk/vape-shop/listing/house-of-vapour</t>
        </is>
      </c>
      <c r="AT161" s="10" t="inlineStr">
        <is>
          <t>3</t>
        </is>
      </c>
      <c r="AU161" s="10" t="inlineStr">
        <is>
          <t>No</t>
        </is>
      </c>
      <c r="AV161" s="10" t="inlineStr">
        <is>
          <t>No</t>
        </is>
      </c>
      <c r="AW161" s="10" t="inlineStr">
        <is>
          <t>No</t>
        </is>
      </c>
      <c r="AX161" s="10" t="inlineStr">
        <is>
          <t>No</t>
        </is>
      </c>
      <c r="AY161" s="10" t="inlineStr">
        <is>
          <t>Verified directory</t>
        </is>
      </c>
      <c r="AZ161" s="10" t="inlineStr">
        <is>
          <t>Website Found</t>
        </is>
      </c>
      <c r="BA161" s="10" t="inlineStr">
        <is>
          <t>2026-09-16</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2026-09-16</t>
        </is>
      </c>
      <c r="BJ161" s="10" t="inlineStr">
        <is>
          <t>New</t>
        </is>
      </c>
      <c r="BK161" s="10" t="inlineStr">
        <is>
          <t>2026-09-16</t>
        </is>
      </c>
      <c r="BL161" s="10" t="inlineStr"/>
      <c r="BM161" s="10" t="inlineStr"/>
      <c r="BN161" s="10" t="inlineStr"/>
      <c r="BO161" s="10" t="inlineStr"/>
      <c r="BP161" s="10" t="inlineStr"/>
      <c r="BQ161" s="10" t="inlineStr"/>
    </row>
    <row r="162">
      <c r="A162" s="5" t="inlineStr">
        <is>
          <t>WY-0098</t>
        </is>
      </c>
      <c r="B162" s="5" t="inlineStr">
        <is>
          <t>WY-0098-01</t>
        </is>
      </c>
      <c r="C162" s="5" t="inlineStr"/>
      <c r="D162" s="5" t="inlineStr">
        <is>
          <t>Ilkley Convenience Store</t>
        </is>
      </c>
      <c r="E162" s="5" t="inlineStr">
        <is>
          <t>Ilkley Convenience Store</t>
        </is>
      </c>
      <c r="F162" s="5" t="inlineStr"/>
      <c r="G162" s="5" t="inlineStr">
        <is>
          <t>Convenience Store</t>
        </is>
      </c>
      <c r="H162" s="5" t="inlineStr">
        <is>
          <t>Neighbourhood convenience store</t>
        </is>
      </c>
      <c r="I162" s="5" t="inlineStr">
        <is>
          <t>Independent</t>
        </is>
      </c>
      <c r="J162" s="5" t="inlineStr">
        <is>
          <t>1</t>
        </is>
      </c>
      <c r="K162" s="5" t="inlineStr"/>
      <c r="L162" s="5" t="inlineStr"/>
      <c r="M162" s="5" t="inlineStr"/>
      <c r="N162" s="5" t="inlineStr"/>
      <c r="O162" s="5" t="inlineStr">
        <is>
          <t>Valley Drive</t>
        </is>
      </c>
      <c r="P162" s="5" t="inlineStr"/>
      <c r="Q162" s="5" t="inlineStr">
        <is>
          <t>Ilkley</t>
        </is>
      </c>
      <c r="R162" s="5" t="inlineStr">
        <is>
          <t>West Yorkshire</t>
        </is>
      </c>
      <c r="S162" s="5" t="inlineStr"/>
      <c r="T162" s="5" t="inlineStr">
        <is>
          <t>Yorkshire &amp; Humber</t>
        </is>
      </c>
      <c r="U162" s="5" t="inlineStr">
        <is>
          <t>England</t>
        </is>
      </c>
      <c r="V162" s="5" t="inlineStr"/>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convenience lines; groceries</t>
        </is>
      </c>
      <c r="AL162" s="5" t="inlineStr"/>
      <c r="AM162" s="5" t="inlineStr">
        <is>
          <t>Convenience Store</t>
        </is>
      </c>
      <c r="AN162" s="5" t="inlineStr"/>
      <c r="AO162" s="5" t="inlineStr">
        <is>
          <t>Open Mon-Sat 7am-9pm, Sun 8am-8pm per listing snippet.</t>
        </is>
      </c>
      <c r="AP162" s="5" t="inlineStr">
        <is>
          <t>Low</t>
        </is>
      </c>
      <c r="AQ162" s="5" t="inlineStr">
        <is>
          <t>Independent retailer; Relevant category</t>
        </is>
      </c>
      <c r="AR162" s="5" t="inlineStr">
        <is>
          <t>https://www.yorkshire.com/ilkley/shopping/corner-shops/ilkley-convenience-store</t>
        </is>
      </c>
      <c r="AS162" s="5" t="inlineStr"/>
      <c r="AT162" s="5" t="inlineStr">
        <is>
          <t>1</t>
        </is>
      </c>
      <c r="AU162" s="5" t="inlineStr">
        <is>
          <t>No</t>
        </is>
      </c>
      <c r="AV162" s="5" t="inlineStr">
        <is>
          <t>No</t>
        </is>
      </c>
      <c r="AW162" s="5" t="inlineStr">
        <is>
          <t>No</t>
        </is>
      </c>
      <c r="AX162" s="5" t="inlineStr">
        <is>
          <t>No</t>
        </is>
      </c>
      <c r="AY162" s="5" t="inlineStr">
        <is>
          <t>Not Found</t>
        </is>
      </c>
      <c r="AZ162" s="5" t="inlineStr">
        <is>
          <t>Not Found</t>
        </is>
      </c>
      <c r="BA162" s="5" t="inlineStr">
        <is>
          <t>2026-09-16</t>
        </is>
      </c>
      <c r="BB162" s="5" t="inlineStr">
        <is>
          <t>Requires Verification</t>
        </is>
      </c>
      <c r="BC162" s="5" t="inlineStr">
        <is>
          <t>Low</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2026-09-16</t>
        </is>
      </c>
      <c r="BL162" s="5" t="inlineStr"/>
      <c r="BM162" s="5" t="inlineStr"/>
      <c r="BN162" s="5" t="inlineStr"/>
      <c r="BO162" s="5" t="inlineStr"/>
      <c r="BP162" s="5" t="inlineStr"/>
      <c r="BQ162" s="5" t="inlineStr"/>
    </row>
    <row r="163">
      <c r="A163" s="10" t="inlineStr">
        <is>
          <t>WY-0099</t>
        </is>
      </c>
      <c r="B163" s="10" t="inlineStr">
        <is>
          <t>WY-0099-01</t>
        </is>
      </c>
      <c r="C163" s="10" t="inlineStr"/>
      <c r="D163" s="10" t="inlineStr">
        <is>
          <t>International Foods</t>
        </is>
      </c>
      <c r="E163" s="10" t="inlineStr">
        <is>
          <t>International Foods</t>
        </is>
      </c>
      <c r="F163" s="10" t="inlineStr">
        <is>
          <t>International Foods Leeds Limited</t>
        </is>
      </c>
      <c r="G163" s="10" t="inlineStr">
        <is>
          <t>Independent Supermarket</t>
        </is>
      </c>
      <c r="H163" s="10" t="inlineStr">
        <is>
          <t>South Asian supermarket with halal meat</t>
        </is>
      </c>
      <c r="I163" s="10" t="inlineStr">
        <is>
          <t>Independent</t>
        </is>
      </c>
      <c r="J163" s="10" t="inlineStr">
        <is>
          <t>1</t>
        </is>
      </c>
      <c r="K163" s="10" t="inlineStr"/>
      <c r="L163" s="10" t="inlineStr"/>
      <c r="M163" s="10" t="inlineStr"/>
      <c r="N163" s="10" t="inlineStr"/>
      <c r="O163" s="10" t="inlineStr">
        <is>
          <t>166 Harehills Lane</t>
        </is>
      </c>
      <c r="P163" s="10" t="inlineStr">
        <is>
          <t>Harehills</t>
        </is>
      </c>
      <c r="Q163" s="10" t="inlineStr">
        <is>
          <t>Leeds</t>
        </is>
      </c>
      <c r="R163" s="10" t="inlineStr">
        <is>
          <t>West Yorkshire</t>
        </is>
      </c>
      <c r="S163" s="10" t="inlineStr">
        <is>
          <t>LS8 5JP</t>
        </is>
      </c>
      <c r="T163" s="10" t="inlineStr">
        <is>
          <t>Yorkshire &amp; Humber</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is>
          <t>09552908</t>
        </is>
      </c>
      <c r="AF163" s="10" t="inlineStr"/>
      <c r="AG163" s="10" t="inlineStr">
        <is>
          <t>INTERNATIONAL FOODS LEEDS LIMITED</t>
        </is>
      </c>
      <c r="AH163" s="10" t="inlineStr">
        <is>
          <t>166 Harehills Lane, Leeds, LS8 5JP</t>
        </is>
      </c>
      <c r="AI163" s="10" t="inlineStr">
        <is>
          <t>2015-04-21</t>
        </is>
      </c>
      <c r="AJ163" s="10" t="inlineStr"/>
      <c r="AK163" s="10" t="inlineStr">
        <is>
          <t>halal meat; groceries; South Asian foods</t>
        </is>
      </c>
      <c r="AL163" s="10" t="inlineStr"/>
      <c r="AM163" s="10" t="inlineStr">
        <is>
          <t>Independent Supermarket</t>
        </is>
      </c>
      <c r="AN163" s="10" t="inlineStr"/>
      <c r="AO163" s="10" t="inlineStr">
        <is>
          <t>Open 7 days (approx 09:00-20:00/21:00). Companies House details taken from the CH search result snippet; CH site itself was blocked by the network proxy this session, so company status not captured.</t>
        </is>
      </c>
      <c r="AP163" s="10" t="inlineStr">
        <is>
          <t>Low</t>
        </is>
      </c>
      <c r="AQ163" s="10" t="inlineStr">
        <is>
          <t>Independent retailer; Relevant category</t>
        </is>
      </c>
      <c r="AR163" s="10" t="inlineStr">
        <is>
          <t>https://find-and-update.company-information.service.gov.uk/company/09552908</t>
        </is>
      </c>
      <c r="AS163" s="10" t="inlineStr">
        <is>
          <t>https://www.yell.com/biz/international-foods-ltd-leeds-8342998/</t>
        </is>
      </c>
      <c r="AT163" s="10" t="inlineStr">
        <is>
          <t>3</t>
        </is>
      </c>
      <c r="AU163" s="10" t="inlineStr">
        <is>
          <t>No</t>
        </is>
      </c>
      <c r="AV163" s="10" t="inlineStr">
        <is>
          <t>No</t>
        </is>
      </c>
      <c r="AW163" s="10" t="inlineStr">
        <is>
          <t>No</t>
        </is>
      </c>
      <c r="AX163" s="10" t="inlineStr">
        <is>
          <t>Yes</t>
        </is>
      </c>
      <c r="AY163" s="10" t="inlineStr">
        <is>
          <t>Not Found</t>
        </is>
      </c>
      <c r="AZ163" s="10" t="inlineStr">
        <is>
          <t>Not Found</t>
        </is>
      </c>
      <c r="BA163" s="10" t="inlineStr">
        <is>
          <t>2026-09-16</t>
        </is>
      </c>
      <c r="BB163" s="10" t="inlineStr">
        <is>
          <t>Partially Verified</t>
        </is>
      </c>
      <c r="BC163" s="10" t="inlineStr">
        <is>
          <t>Medium</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2026-09-16</t>
        </is>
      </c>
      <c r="BL163" s="10" t="inlineStr"/>
      <c r="BM163" s="10" t="inlineStr"/>
      <c r="BN163" s="10" t="inlineStr"/>
      <c r="BO163" s="10" t="inlineStr"/>
      <c r="BP163" s="10" t="inlineStr"/>
      <c r="BQ163" s="10" t="inlineStr"/>
    </row>
    <row r="164">
      <c r="A164" s="5" t="inlineStr">
        <is>
          <t>UK-000257</t>
        </is>
      </c>
      <c r="B164" s="5" t="inlineStr">
        <is>
          <t>UK-000257-01</t>
        </is>
      </c>
      <c r="C164" s="5" t="inlineStr"/>
      <c r="D164" s="5" t="inlineStr">
        <is>
          <t>J A &amp; S Cowie Newsagent</t>
        </is>
      </c>
      <c r="E164" s="5" t="inlineStr">
        <is>
          <t>J A and S Cowie</t>
        </is>
      </c>
      <c r="F164" s="5" t="inlineStr"/>
      <c r="G164" s="5" t="inlineStr">
        <is>
          <t>Newsagent</t>
        </is>
      </c>
      <c r="H164" s="5" t="inlineStr">
        <is>
          <t>Newsagent &amp; convenience</t>
        </is>
      </c>
      <c r="I164" s="5" t="inlineStr">
        <is>
          <t>Independent</t>
        </is>
      </c>
      <c r="J164" s="5" t="inlineStr">
        <is>
          <t>1</t>
        </is>
      </c>
      <c r="K164" s="5" t="inlineStr"/>
      <c r="L164" s="5" t="inlineStr"/>
      <c r="M164" s="5" t="inlineStr"/>
      <c r="N164" s="5" t="inlineStr"/>
      <c r="O164" s="5" t="inlineStr">
        <is>
          <t>13 Westgate</t>
        </is>
      </c>
      <c r="P164" s="5" t="inlineStr"/>
      <c r="Q164" s="5" t="inlineStr">
        <is>
          <t>Ripon</t>
        </is>
      </c>
      <c r="R164" s="5" t="inlineStr">
        <is>
          <t>North Yorkshire</t>
        </is>
      </c>
      <c r="S164" s="5" t="inlineStr">
        <is>
          <t>HG4 2AT</t>
        </is>
      </c>
      <c r="T164" s="5" t="inlineStr">
        <is>
          <t>Yorkshire &amp; Humber</t>
        </is>
      </c>
      <c r="U164" s="5" t="inlineStr">
        <is>
          <t>England</t>
        </is>
      </c>
      <c r="V164" s="5" t="inlineStr">
        <is>
          <t>01765 603153</t>
        </is>
      </c>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newspapers; magazines; confectionery; convenience</t>
        </is>
      </c>
      <c r="AL164" s="5" t="inlineStr"/>
      <c r="AM164" s="5" t="inlineStr">
        <is>
          <t>Newsagent</t>
        </is>
      </c>
      <c r="AN164" s="5" t="inlineStr"/>
      <c r="AO164" s="5" t="inlineStr">
        <is>
          <t>Independent Ripon newsagent (J A and S Cowie) at 13 Westgate (HG4 2AT). Address/phone from MyNewsagent.co.uk directory via search snippets.</t>
        </is>
      </c>
      <c r="AP164" s="5" t="inlineStr">
        <is>
          <t>Low</t>
        </is>
      </c>
      <c r="AQ164" s="5" t="inlineStr">
        <is>
          <t>Independent retailer; Relevant category</t>
        </is>
      </c>
      <c r="AR164" s="5" t="inlineStr">
        <is>
          <t>https://www.mynewsagent.co.uk/7788/</t>
        </is>
      </c>
      <c r="AS164" s="5" t="inlineStr"/>
      <c r="AT164" s="5" t="inlineStr">
        <is>
          <t>1</t>
        </is>
      </c>
      <c r="AU164" s="5" t="inlineStr">
        <is>
          <t>No</t>
        </is>
      </c>
      <c r="AV164" s="5" t="inlineStr">
        <is>
          <t>No</t>
        </is>
      </c>
      <c r="AW164" s="5" t="inlineStr">
        <is>
          <t>No</t>
        </is>
      </c>
      <c r="AX164" s="5" t="inlineStr">
        <is>
          <t>No</t>
        </is>
      </c>
      <c r="AY164" s="5" t="inlineStr">
        <is>
          <t>Verified directory</t>
        </is>
      </c>
      <c r="AZ164" s="5" t="inlineStr">
        <is>
          <t>Not Found</t>
        </is>
      </c>
      <c r="BA164" s="5" t="inlineStr">
        <is>
          <t>2026-09-16</t>
        </is>
      </c>
      <c r="BB164" s="5" t="inlineStr">
        <is>
          <t>Requires Verification</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2026-09-16</t>
        </is>
      </c>
      <c r="BL164" s="5" t="inlineStr"/>
      <c r="BM164" s="5" t="inlineStr"/>
      <c r="BN164" s="5" t="inlineStr"/>
      <c r="BO164" s="5" t="inlineStr"/>
      <c r="BP164" s="5" t="inlineStr"/>
      <c r="BQ164" s="5" t="inlineStr"/>
    </row>
    <row r="165">
      <c r="A165" s="10" t="inlineStr">
        <is>
          <t>UK-000258</t>
        </is>
      </c>
      <c r="B165" s="10" t="inlineStr">
        <is>
          <t>UK-000258-01</t>
        </is>
      </c>
      <c r="C165" s="10" t="inlineStr"/>
      <c r="D165" s="10" t="inlineStr">
        <is>
          <t>Jaan Lounge</t>
        </is>
      </c>
      <c r="E165" s="10" t="inlineStr">
        <is>
          <t>Jaan Lounge</t>
        </is>
      </c>
      <c r="F165" s="10" t="inlineStr"/>
      <c r="G165" s="10" t="inlineStr">
        <is>
          <t>Smoke / Shisha Shop</t>
        </is>
      </c>
      <c r="H165" s="10" t="inlineStr">
        <is>
          <t>Cafe and shisha lounge</t>
        </is>
      </c>
      <c r="I165" s="10" t="inlineStr">
        <is>
          <t>Independent</t>
        </is>
      </c>
      <c r="J165" s="10" t="inlineStr">
        <is>
          <t>1</t>
        </is>
      </c>
      <c r="K165" s="10" t="inlineStr">
        <is>
          <t>https://www.jaanlounge.com/</t>
        </is>
      </c>
      <c r="L165" s="10" t="inlineStr"/>
      <c r="M165" s="10" t="inlineStr"/>
      <c r="N165" s="10" t="inlineStr"/>
      <c r="O165" s="10" t="inlineStr"/>
      <c r="P165" s="10" t="inlineStr"/>
      <c r="Q165" s="10" t="inlineStr">
        <is>
          <t>Sheffield</t>
        </is>
      </c>
      <c r="R165" s="10" t="inlineStr">
        <is>
          <t>South Yorkshire</t>
        </is>
      </c>
      <c r="S165" s="10" t="inlineStr"/>
      <c r="T165" s="10" t="inlineStr">
        <is>
          <t>Yorkshire &amp; Humber</t>
        </is>
      </c>
      <c r="U165" s="10" t="inlineStr">
        <is>
          <t>England</t>
        </is>
      </c>
      <c r="V165" s="10" t="inlineStr"/>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shisha; fresh juices; cakes; cafe</t>
        </is>
      </c>
      <c r="AL165" s="10" t="inlineStr"/>
      <c r="AM165" s="10" t="inlineStr">
        <is>
          <t>Smoke / Shisha Shop</t>
        </is>
      </c>
      <c r="AN165" s="10" t="inlineStr"/>
      <c r="AO165" s="10" t="inlineStr">
        <is>
          <t>Independent cafe/shisha lounge in Sheffield. Own website found; street address/postcode not captured from search results.</t>
        </is>
      </c>
      <c r="AP165" s="10" t="inlineStr">
        <is>
          <t>Medium</t>
        </is>
      </c>
      <c r="AQ165" s="10" t="inlineStr">
        <is>
          <t>Independent retailer; Core relevant category; Active website</t>
        </is>
      </c>
      <c r="AR165" s="10" t="inlineStr">
        <is>
          <t>https://www.jaanlounge.com/</t>
        </is>
      </c>
      <c r="AS165" s="10" t="inlineStr"/>
      <c r="AT165" s="10" t="inlineStr">
        <is>
          <t>1</t>
        </is>
      </c>
      <c r="AU165" s="10" t="inlineStr">
        <is>
          <t>No</t>
        </is>
      </c>
      <c r="AV165" s="10" t="inlineStr">
        <is>
          <t>No</t>
        </is>
      </c>
      <c r="AW165" s="10" t="inlineStr">
        <is>
          <t>No</t>
        </is>
      </c>
      <c r="AX165" s="10" t="inlineStr">
        <is>
          <t>No</t>
        </is>
      </c>
      <c r="AY165" s="10" t="inlineStr">
        <is>
          <t>Not Found</t>
        </is>
      </c>
      <c r="AZ165" s="10" t="inlineStr">
        <is>
          <t>Website Found</t>
        </is>
      </c>
      <c r="BA165" s="10" t="inlineStr">
        <is>
          <t>2026-09-16</t>
        </is>
      </c>
      <c r="BB165" s="10" t="inlineStr">
        <is>
          <t>Requires Verification</t>
        </is>
      </c>
      <c r="BC165" s="10" t="inlineStr">
        <is>
          <t>Low</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2026-09-16</t>
        </is>
      </c>
      <c r="BJ165" s="10" t="inlineStr">
        <is>
          <t>New</t>
        </is>
      </c>
      <c r="BK165" s="10" t="inlineStr">
        <is>
          <t>2026-09-16</t>
        </is>
      </c>
      <c r="BL165" s="10" t="inlineStr"/>
      <c r="BM165" s="10" t="inlineStr"/>
      <c r="BN165" s="10" t="inlineStr"/>
      <c r="BO165" s="10" t="inlineStr"/>
      <c r="BP165" s="10" t="inlineStr"/>
      <c r="BQ165" s="10" t="inlineStr"/>
    </row>
    <row r="166">
      <c r="A166" s="5" t="inlineStr">
        <is>
          <t>UK-000259</t>
        </is>
      </c>
      <c r="B166" s="5" t="inlineStr">
        <is>
          <t>UK-000259-01</t>
        </is>
      </c>
      <c r="C166" s="5" t="inlineStr"/>
      <c r="D166" s="5" t="inlineStr">
        <is>
          <t>Jah's Off Licence</t>
        </is>
      </c>
      <c r="E166" s="5" t="inlineStr">
        <is>
          <t>Jah's Off Licence</t>
        </is>
      </c>
      <c r="F166" s="5" t="inlineStr"/>
      <c r="G166" s="5" t="inlineStr">
        <is>
          <t>Off-Licence</t>
        </is>
      </c>
      <c r="H166" s="5" t="inlineStr">
        <is>
          <t>Off-licence / convenience</t>
        </is>
      </c>
      <c r="I166" s="5" t="inlineStr">
        <is>
          <t>Independent</t>
        </is>
      </c>
      <c r="J166" s="5" t="inlineStr">
        <is>
          <t>1</t>
        </is>
      </c>
      <c r="K166" s="5" t="inlineStr"/>
      <c r="L166" s="5" t="inlineStr"/>
      <c r="M166" s="5" t="inlineStr"/>
      <c r="N166" s="5" t="inlineStr"/>
      <c r="O166" s="5" t="inlineStr">
        <is>
          <t>141 London Road</t>
        </is>
      </c>
      <c r="P166" s="5" t="inlineStr"/>
      <c r="Q166" s="5" t="inlineStr">
        <is>
          <t>Sheffield</t>
        </is>
      </c>
      <c r="R166" s="5" t="inlineStr">
        <is>
          <t>South Yorkshire</t>
        </is>
      </c>
      <c r="S166" s="5" t="inlineStr">
        <is>
          <t>S2 4LE</t>
        </is>
      </c>
      <c r="T166" s="5" t="inlineStr">
        <is>
          <t>Yorkshire &amp; Humber</t>
        </is>
      </c>
      <c r="U166" s="5" t="inlineStr">
        <is>
          <t>England</t>
        </is>
      </c>
      <c r="V166" s="5" t="inlineStr"/>
      <c r="W166" s="5" t="inlineStr"/>
      <c r="X166" s="5" t="inlineStr"/>
      <c r="Y166" s="5" t="inlineStr"/>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beer; wine; spirits; groceries</t>
        </is>
      </c>
      <c r="AL166" s="5" t="inlineStr"/>
      <c r="AM166" s="5" t="inlineStr">
        <is>
          <t>Off-Licence</t>
        </is>
      </c>
      <c r="AN166" s="5" t="inlineStr"/>
      <c r="AO166" s="5" t="inlineStr">
        <is>
          <t>Independent off-licence at 141 London Road, Sheffield. Address/postcode from Sheffield off-licence directory search snippet.</t>
        </is>
      </c>
      <c r="AP166" s="5" t="inlineStr">
        <is>
          <t>Low</t>
        </is>
      </c>
      <c r="AQ166" s="5" t="inlineStr">
        <is>
          <t>Independent retailer; Relevant category</t>
        </is>
      </c>
      <c r="AR166" s="5" t="inlineStr">
        <is>
          <t>https://www.locallife.co.uk/sheffield/off-licences.asp</t>
        </is>
      </c>
      <c r="AS166" s="5" t="inlineStr"/>
      <c r="AT166" s="5" t="inlineStr">
        <is>
          <t>1</t>
        </is>
      </c>
      <c r="AU166" s="5" t="inlineStr">
        <is>
          <t>No</t>
        </is>
      </c>
      <c r="AV166" s="5" t="inlineStr">
        <is>
          <t>No</t>
        </is>
      </c>
      <c r="AW166" s="5" t="inlineStr">
        <is>
          <t>No</t>
        </is>
      </c>
      <c r="AX166" s="5" t="inlineStr">
        <is>
          <t>No</t>
        </is>
      </c>
      <c r="AY166" s="5" t="inlineStr">
        <is>
          <t>Not Found</t>
        </is>
      </c>
      <c r="AZ166" s="5" t="inlineStr">
        <is>
          <t>Not Found</t>
        </is>
      </c>
      <c r="BA166" s="5" t="inlineStr">
        <is>
          <t>2026-09-16</t>
        </is>
      </c>
      <c r="BB166" s="5" t="inlineStr">
        <is>
          <t>Requires Verification</t>
        </is>
      </c>
      <c r="BC166" s="5" t="inlineStr">
        <is>
          <t>Low</t>
        </is>
      </c>
      <c r="BD166" s="5" t="inlineStr"/>
      <c r="BE166" s="5" t="inlineStr">
        <is>
          <t>Business (B2B)</t>
        </is>
      </c>
      <c r="BF166" s="5" t="inlineStr">
        <is>
          <t>Legitimate interest (B2B) - assess per campaign; PECR: corporate subscribers</t>
        </is>
      </c>
      <c r="BG166" s="5" t="inlineStr"/>
      <c r="BH166" s="5" t="inlineStr">
        <is>
          <t>No</t>
        </is>
      </c>
      <c r="BI166" s="5" t="inlineStr">
        <is>
          <t>2026-09-16</t>
        </is>
      </c>
      <c r="BJ166" s="5" t="inlineStr">
        <is>
          <t>New</t>
        </is>
      </c>
      <c r="BK166" s="5" t="inlineStr">
        <is>
          <t>2026-09-16</t>
        </is>
      </c>
      <c r="BL166" s="5" t="inlineStr"/>
      <c r="BM166" s="5" t="inlineStr"/>
      <c r="BN166" s="5" t="inlineStr"/>
      <c r="BO166" s="5" t="inlineStr"/>
      <c r="BP166" s="5" t="inlineStr"/>
      <c r="BQ166" s="5" t="inlineStr"/>
    </row>
    <row r="167">
      <c r="A167" s="10" t="inlineStr">
        <is>
          <t>WY-0100</t>
        </is>
      </c>
      <c r="B167" s="10" t="inlineStr">
        <is>
          <t>WY-0100-01</t>
        </is>
      </c>
      <c r="C167" s="10" t="inlineStr"/>
      <c r="D167" s="10" t="inlineStr">
        <is>
          <t>Javid Supermarket</t>
        </is>
      </c>
      <c r="E167" s="10" t="inlineStr">
        <is>
          <t>Javid Supermarket</t>
        </is>
      </c>
      <c r="F167" s="10" t="inlineStr"/>
      <c r="G167" s="10" t="inlineStr">
        <is>
          <t>Independent Supermarket</t>
        </is>
      </c>
      <c r="H167" s="10" t="inlineStr">
        <is>
          <t>Halal, Asian, Caribbean and world foods supermarket</t>
        </is>
      </c>
      <c r="I167" s="10" t="inlineStr">
        <is>
          <t>Independent</t>
        </is>
      </c>
      <c r="J167" s="10" t="inlineStr">
        <is>
          <t>1</t>
        </is>
      </c>
      <c r="K167" s="10" t="inlineStr">
        <is>
          <t>https://www.javidsupermarket.co.uk/</t>
        </is>
      </c>
      <c r="L167" s="10" t="inlineStr"/>
      <c r="M167" s="10" t="inlineStr">
        <is>
          <t>https://www.instagram.com/javidsupermarket/</t>
        </is>
      </c>
      <c r="N167" s="10" t="inlineStr"/>
      <c r="O167" s="10" t="inlineStr">
        <is>
          <t>177-179 Bradford Road</t>
        </is>
      </c>
      <c r="P167" s="10" t="inlineStr">
        <is>
          <t>Fartown</t>
        </is>
      </c>
      <c r="Q167" s="10" t="inlineStr">
        <is>
          <t>Huddersfield</t>
        </is>
      </c>
      <c r="R167" s="10" t="inlineStr">
        <is>
          <t>West Yorkshire</t>
        </is>
      </c>
      <c r="S167" s="10" t="inlineStr">
        <is>
          <t>HD1 6EQ</t>
        </is>
      </c>
      <c r="T167" s="10" t="inlineStr">
        <is>
          <t>Yorkshire &amp; Humber</t>
        </is>
      </c>
      <c r="U167" s="10" t="inlineStr">
        <is>
          <t>England</t>
        </is>
      </c>
      <c r="V167" s="10" t="inlineStr">
        <is>
          <t>01484 517411</t>
        </is>
      </c>
      <c r="W167" s="10" t="inlineStr"/>
      <c r="X167" s="10" t="inlineStr"/>
      <c r="Y167" s="10" t="inlineStr">
        <is>
          <t>contact@javidsupermarket.co.uk</t>
        </is>
      </c>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halal meat; poultry; fish; Caribbean, African, Middle Eastern, Polish and English groceries; fresh produce</t>
        </is>
      </c>
      <c r="AL167" s="10" t="inlineStr"/>
      <c r="AM167" s="10" t="inlineStr">
        <is>
          <t>Independent Supermarket</t>
        </is>
      </c>
      <c r="AN167" s="10" t="inlineStr"/>
      <c r="AO167" s="10" t="inlineStr">
        <is>
          <t>Address and phone cross-checked across Yelp, Britainfirm and own-site contact page surfaced in search results.</t>
        </is>
      </c>
      <c r="AP167" s="10" t="inlineStr">
        <is>
          <t>Medium</t>
        </is>
      </c>
      <c r="AQ167" s="10" t="inlineStr">
        <is>
          <t>Independent retailer; Relevant category; Public email available; Active website; Social presence</t>
        </is>
      </c>
      <c r="AR167" s="10" t="inlineStr">
        <is>
          <t>https://www.javidsupermarket.co.uk/contact/</t>
        </is>
      </c>
      <c r="AS167" s="10" t="inlineStr">
        <is>
          <t>https://www.instagram.com/javidsupermarket/</t>
        </is>
      </c>
      <c r="AT167" s="10" t="inlineStr">
        <is>
          <t>4</t>
        </is>
      </c>
      <c r="AU167" s="10" t="inlineStr">
        <is>
          <t>No</t>
        </is>
      </c>
      <c r="AV167" s="10" t="inlineStr">
        <is>
          <t>No</t>
        </is>
      </c>
      <c r="AW167" s="10" t="inlineStr">
        <is>
          <t>No</t>
        </is>
      </c>
      <c r="AX167" s="10" t="inlineStr">
        <is>
          <t>No</t>
        </is>
      </c>
      <c r="AY167" s="10" t="inlineStr">
        <is>
          <t>Verified directory</t>
        </is>
      </c>
      <c r="AZ167" s="10" t="inlineStr">
        <is>
          <t>Publicly Listed</t>
        </is>
      </c>
      <c r="BA167" s="10" t="inlineStr">
        <is>
          <t>2026-09-16</t>
        </is>
      </c>
      <c r="BB167" s="10" t="inlineStr">
        <is>
          <t>Requires Verification</t>
        </is>
      </c>
      <c r="BC167" s="10" t="inlineStr">
        <is>
          <t>Medium</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2026-09-16</t>
        </is>
      </c>
      <c r="BJ167" s="10" t="inlineStr">
        <is>
          <t>New</t>
        </is>
      </c>
      <c r="BK167" s="10" t="inlineStr">
        <is>
          <t>2026-09-16</t>
        </is>
      </c>
      <c r="BL167" s="10" t="inlineStr"/>
      <c r="BM167" s="10" t="inlineStr"/>
      <c r="BN167" s="10" t="inlineStr"/>
      <c r="BO167" s="10" t="inlineStr"/>
      <c r="BP167" s="10" t="inlineStr"/>
      <c r="BQ167" s="10" t="inlineStr"/>
    </row>
    <row r="168">
      <c r="A168" s="5" t="inlineStr">
        <is>
          <t>UK-000260</t>
        </is>
      </c>
      <c r="B168" s="5" t="inlineStr">
        <is>
          <t>UK-000260-01</t>
        </is>
      </c>
      <c r="C168" s="5" t="inlineStr"/>
      <c r="D168" s="5" t="inlineStr">
        <is>
          <t>Juice &amp; Coil Co</t>
        </is>
      </c>
      <c r="E168" s="5" t="inlineStr">
        <is>
          <t>Juice &amp; Coil Co</t>
        </is>
      </c>
      <c r="F168" s="5" t="inlineStr"/>
      <c r="G168" s="5" t="inlineStr">
        <is>
          <t>Vape Shop</t>
        </is>
      </c>
      <c r="H168" s="5" t="inlineStr">
        <is>
          <t>E-liquid and coil specialist</t>
        </is>
      </c>
      <c r="I168" s="5" t="inlineStr">
        <is>
          <t>Independent</t>
        </is>
      </c>
      <c r="J168" s="5" t="inlineStr">
        <is>
          <t>1</t>
        </is>
      </c>
      <c r="K168" s="5" t="inlineStr"/>
      <c r="L168" s="5" t="inlineStr"/>
      <c r="M168" s="5" t="inlineStr"/>
      <c r="N168" s="5" t="inlineStr"/>
      <c r="O168" s="5" t="inlineStr">
        <is>
          <t>851 Chesterfield Road</t>
        </is>
      </c>
      <c r="P168" s="5" t="inlineStr">
        <is>
          <t>Woodseats</t>
        </is>
      </c>
      <c r="Q168" s="5" t="inlineStr">
        <is>
          <t>Sheffield</t>
        </is>
      </c>
      <c r="R168" s="5" t="inlineStr">
        <is>
          <t>South Yorkshire</t>
        </is>
      </c>
      <c r="S168" s="5" t="inlineStr">
        <is>
          <t>S8 0SQ</t>
        </is>
      </c>
      <c r="T168" s="5" t="inlineStr">
        <is>
          <t>Yorkshire &amp; Humber</t>
        </is>
      </c>
      <c r="U168" s="5" t="inlineStr">
        <is>
          <t>England</t>
        </is>
      </c>
      <c r="V168" s="5" t="inlineStr"/>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e-liquids; coils; vape hardware; disposables</t>
        </is>
      </c>
      <c r="AL168" s="5" t="inlineStr"/>
      <c r="AM168" s="5" t="inlineStr">
        <is>
          <t>Vape Shop</t>
        </is>
      </c>
      <c r="AN168" s="5" t="inlineStr"/>
      <c r="AO168" s="5" t="inlineStr">
        <is>
          <t>Independent vape shop in Woodseats district. Details from Yelp / search snippet.</t>
        </is>
      </c>
      <c r="AP168" s="5" t="inlineStr">
        <is>
          <t>Medium</t>
        </is>
      </c>
      <c r="AQ168" s="5" t="inlineStr">
        <is>
          <t>Independent retailer; Core relevant category</t>
        </is>
      </c>
      <c r="AR168" s="5" t="inlineStr">
        <is>
          <t>https://www.yelp.com/search?cflt=vapeshops&amp;find_loc=Unit+12+Parkway+Close%2C+Sheffield+S9+4WJ%2C+United+Kingdom</t>
        </is>
      </c>
      <c r="AS168" s="5" t="inlineStr"/>
      <c r="AT168" s="5" t="inlineStr">
        <is>
          <t>1</t>
        </is>
      </c>
      <c r="AU168" s="5" t="inlineStr">
        <is>
          <t>No</t>
        </is>
      </c>
      <c r="AV168" s="5" t="inlineStr">
        <is>
          <t>No</t>
        </is>
      </c>
      <c r="AW168" s="5" t="inlineStr">
        <is>
          <t>No</t>
        </is>
      </c>
      <c r="AX168" s="5" t="inlineStr">
        <is>
          <t>No</t>
        </is>
      </c>
      <c r="AY168" s="5" t="inlineStr">
        <is>
          <t>Not Found</t>
        </is>
      </c>
      <c r="AZ168" s="5" t="inlineStr">
        <is>
          <t>Not Found</t>
        </is>
      </c>
      <c r="BA168" s="5" t="inlineStr">
        <is>
          <t>2026-09-16</t>
        </is>
      </c>
      <c r="BB168" s="5" t="inlineStr">
        <is>
          <t>Requires Verification</t>
        </is>
      </c>
      <c r="BC168" s="5" t="inlineStr">
        <is>
          <t>Low</t>
        </is>
      </c>
      <c r="BD168" s="5" t="inlineStr"/>
      <c r="BE168" s="5" t="inlineStr">
        <is>
          <t>Business (B2B)</t>
        </is>
      </c>
      <c r="BF168" s="5" t="inlineStr">
        <is>
          <t>Legitimate interest (B2B) - assess per campaign; PECR: corporate subscribers</t>
        </is>
      </c>
      <c r="BG168" s="5" t="inlineStr"/>
      <c r="BH168" s="5" t="inlineStr">
        <is>
          <t>No</t>
        </is>
      </c>
      <c r="BI168" s="5" t="inlineStr">
        <is>
          <t>2026-09-16</t>
        </is>
      </c>
      <c r="BJ168" s="5" t="inlineStr">
        <is>
          <t>New</t>
        </is>
      </c>
      <c r="BK168" s="5" t="inlineStr">
        <is>
          <t>2026-09-16</t>
        </is>
      </c>
      <c r="BL168" s="5" t="inlineStr"/>
      <c r="BM168" s="5" t="inlineStr"/>
      <c r="BN168" s="5" t="inlineStr"/>
      <c r="BO168" s="5" t="inlineStr"/>
      <c r="BP168" s="5" t="inlineStr"/>
      <c r="BQ168" s="5" t="inlineStr"/>
    </row>
    <row r="169">
      <c r="A169" s="10" t="inlineStr">
        <is>
          <t>WY-0101</t>
        </is>
      </c>
      <c r="B169" s="10" t="inlineStr">
        <is>
          <t>WY-0101-01</t>
        </is>
      </c>
      <c r="C169" s="10" t="inlineStr"/>
      <c r="D169" s="10" t="inlineStr">
        <is>
          <t>KV Convenience &amp; Off Licence</t>
        </is>
      </c>
      <c r="E169" s="10" t="inlineStr">
        <is>
          <t>KV Convenience &amp; Off Licence</t>
        </is>
      </c>
      <c r="F169" s="10" t="inlineStr"/>
      <c r="G169" s="10" t="inlineStr">
        <is>
          <t>Convenience Store</t>
        </is>
      </c>
      <c r="H169" s="10" t="inlineStr">
        <is>
          <t>24-hour convenience store and off-licence</t>
        </is>
      </c>
      <c r="I169" s="10" t="inlineStr">
        <is>
          <t>Independent</t>
        </is>
      </c>
      <c r="J169" s="10" t="inlineStr">
        <is>
          <t>1</t>
        </is>
      </c>
      <c r="K169" s="10" t="inlineStr"/>
      <c r="L169" s="10" t="inlineStr"/>
      <c r="M169" s="10" t="inlineStr"/>
      <c r="N169" s="10" t="inlineStr"/>
      <c r="O169" s="10" t="inlineStr">
        <is>
          <t>51-53 Market Street</t>
        </is>
      </c>
      <c r="P169" s="10" t="inlineStr">
        <is>
          <t>Milnsbridge</t>
        </is>
      </c>
      <c r="Q169" s="10" t="inlineStr">
        <is>
          <t>Huddersfield</t>
        </is>
      </c>
      <c r="R169" s="10" t="inlineStr">
        <is>
          <t>West Yorkshire</t>
        </is>
      </c>
      <c r="S169" s="10" t="inlineStr">
        <is>
          <t>HD3 4HZ</t>
        </is>
      </c>
      <c r="T169" s="10" t="inlineStr">
        <is>
          <t>Yorkshire &amp; Humber</t>
        </is>
      </c>
      <c r="U169" s="10" t="inlineStr">
        <is>
          <t>England</t>
        </is>
      </c>
      <c r="V169" s="10" t="inlineStr">
        <is>
          <t>01484 644192</t>
        </is>
      </c>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convenience goods; alcohol; groceries; snacks</t>
        </is>
      </c>
      <c r="AL169" s="10" t="inlineStr"/>
      <c r="AM169" s="10" t="inlineStr">
        <is>
          <t>Convenience Store</t>
        </is>
      </c>
      <c r="AN169" s="10" t="inlineStr"/>
      <c r="AO169" s="10" t="inlineStr">
        <is>
          <t>Granted a 24-hour alcohol licence in May 2024; sells via Snappy Shopper and Uber Eats for local delivery.</t>
        </is>
      </c>
      <c r="AP169" s="10" t="inlineStr">
        <is>
          <t>Low</t>
        </is>
      </c>
      <c r="AQ169" s="10" t="inlineStr">
        <is>
          <t>Independent retailer; Relevant category</t>
        </is>
      </c>
      <c r="AR169" s="10" t="inlineStr">
        <is>
          <t>https://www.yellowtom.co.uk/1452035</t>
        </is>
      </c>
      <c r="AS169" s="10" t="inlineStr">
        <is>
          <t>https://www.snappyshopper.co.uk/store/KV-Convenience-Off-Licence</t>
        </is>
      </c>
      <c r="AT169" s="10" t="inlineStr">
        <is>
          <t>3</t>
        </is>
      </c>
      <c r="AU169" s="10" t="inlineStr">
        <is>
          <t>No</t>
        </is>
      </c>
      <c r="AV169" s="10" t="inlineStr">
        <is>
          <t>No</t>
        </is>
      </c>
      <c r="AW169" s="10" t="inlineStr">
        <is>
          <t>No</t>
        </is>
      </c>
      <c r="AX169" s="10" t="inlineStr">
        <is>
          <t>No</t>
        </is>
      </c>
      <c r="AY169" s="10" t="inlineStr">
        <is>
          <t>Verified directory</t>
        </is>
      </c>
      <c r="AZ169" s="10" t="inlineStr">
        <is>
          <t>Not Found</t>
        </is>
      </c>
      <c r="BA169" s="10" t="inlineStr">
        <is>
          <t>2026-09-16</t>
        </is>
      </c>
      <c r="BB169" s="10" t="inlineStr">
        <is>
          <t>Requires Verification</t>
        </is>
      </c>
      <c r="BC169" s="10" t="inlineStr">
        <is>
          <t>Medium</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2026-09-16</t>
        </is>
      </c>
      <c r="BJ169" s="10" t="inlineStr">
        <is>
          <t>New</t>
        </is>
      </c>
      <c r="BK169" s="10" t="inlineStr">
        <is>
          <t>2026-09-16</t>
        </is>
      </c>
      <c r="BL169" s="10" t="inlineStr"/>
      <c r="BM169" s="10" t="inlineStr"/>
      <c r="BN169" s="10" t="inlineStr"/>
      <c r="BO169" s="10" t="inlineStr"/>
      <c r="BP169" s="10" t="inlineStr"/>
      <c r="BQ169" s="10" t="inlineStr"/>
    </row>
    <row r="170">
      <c r="A170" s="5" t="inlineStr">
        <is>
          <t>UK-000261</t>
        </is>
      </c>
      <c r="B170" s="5" t="inlineStr">
        <is>
          <t>UK-000261-01</t>
        </is>
      </c>
      <c r="C170" s="5" t="inlineStr"/>
      <c r="D170" s="5" t="inlineStr">
        <is>
          <t>Kaplan Fast Food Cash &amp; Carry</t>
        </is>
      </c>
      <c r="E170" s="5" t="inlineStr">
        <is>
          <t>Kaplan Fast Food Cash &amp; Carry</t>
        </is>
      </c>
      <c r="F170" s="5" t="inlineStr"/>
      <c r="G170" s="5" t="inlineStr">
        <is>
          <t>Cash &amp; Carry</t>
        </is>
      </c>
      <c r="H170" s="5" t="inlineStr">
        <is>
          <t>Foodservice wholesale</t>
        </is>
      </c>
      <c r="I170" s="5" t="inlineStr">
        <is>
          <t>Independent</t>
        </is>
      </c>
      <c r="J170" s="5" t="inlineStr">
        <is>
          <t>1</t>
        </is>
      </c>
      <c r="K170" s="5" t="inlineStr"/>
      <c r="L170" s="5" t="inlineStr">
        <is>
          <t>https://www.facebook.com/people/Kaplan-Fast-Food-Cash-Carry/61558997515973/</t>
        </is>
      </c>
      <c r="M170" s="5" t="inlineStr"/>
      <c r="N170" s="5" t="inlineStr"/>
      <c r="O170" s="5" t="inlineStr">
        <is>
          <t>7 Flinton Street</t>
        </is>
      </c>
      <c r="P170" s="5" t="inlineStr"/>
      <c r="Q170" s="5" t="inlineStr">
        <is>
          <t>Kingston upon Hull</t>
        </is>
      </c>
      <c r="R170" s="5" t="inlineStr">
        <is>
          <t>East Riding of Yorkshire</t>
        </is>
      </c>
      <c r="S170" s="5" t="inlineStr"/>
      <c r="T170" s="5" t="inlineStr">
        <is>
          <t>Yorkshire &amp; Humber</t>
        </is>
      </c>
      <c r="U170" s="5" t="inlineStr">
        <is>
          <t>England</t>
        </is>
      </c>
      <c r="V170" s="5" t="inlineStr"/>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fast food supplies; wholesale groceries; catering</t>
        </is>
      </c>
      <c r="AL170" s="5" t="inlineStr"/>
      <c r="AM170" s="5" t="inlineStr">
        <is>
          <t>Cash &amp; Carry</t>
        </is>
      </c>
      <c r="AN170" s="5" t="inlineStr"/>
      <c r="AO170" s="5" t="inlineStr">
        <is>
          <t>Cash &amp; carry supplying food wholesalers and restaurants, 7 Flinton Street, Hull. No postcode/phone in search results.</t>
        </is>
      </c>
      <c r="AP170" s="5" t="inlineStr">
        <is>
          <t>Medium</t>
        </is>
      </c>
      <c r="AQ170" s="5" t="inlineStr">
        <is>
          <t>Independent retailer; Core relevant category; Social presence</t>
        </is>
      </c>
      <c r="AR170" s="5" t="inlineStr">
        <is>
          <t>https://www.facebook.com/people/Kaplan-Fast-Food-Cash-Carry/61558997515973/</t>
        </is>
      </c>
      <c r="AS170" s="5" t="inlineStr"/>
      <c r="AT170" s="5" t="inlineStr">
        <is>
          <t>1</t>
        </is>
      </c>
      <c r="AU170" s="5" t="inlineStr">
        <is>
          <t>No</t>
        </is>
      </c>
      <c r="AV170" s="5" t="inlineStr">
        <is>
          <t>No</t>
        </is>
      </c>
      <c r="AW170" s="5" t="inlineStr">
        <is>
          <t>No</t>
        </is>
      </c>
      <c r="AX170" s="5" t="inlineStr">
        <is>
          <t>No</t>
        </is>
      </c>
      <c r="AY170" s="5" t="inlineStr">
        <is>
          <t>Not Found</t>
        </is>
      </c>
      <c r="AZ170" s="5" t="inlineStr">
        <is>
          <t>Not Found</t>
        </is>
      </c>
      <c r="BA170" s="5" t="inlineStr">
        <is>
          <t>2026-09-16</t>
        </is>
      </c>
      <c r="BB170" s="5" t="inlineStr">
        <is>
          <t>Requires Verification</t>
        </is>
      </c>
      <c r="BC170" s="5" t="inlineStr">
        <is>
          <t>Low</t>
        </is>
      </c>
      <c r="BD170" s="5" t="inlineStr"/>
      <c r="BE170" s="5" t="inlineStr">
        <is>
          <t>Business (B2B)</t>
        </is>
      </c>
      <c r="BF170" s="5" t="inlineStr">
        <is>
          <t>Legitimate interest (B2B) - assess per campaign; PECR: corporate subscribers</t>
        </is>
      </c>
      <c r="BG170" s="5" t="inlineStr"/>
      <c r="BH170" s="5" t="inlineStr">
        <is>
          <t>No</t>
        </is>
      </c>
      <c r="BI170" s="5" t="inlineStr">
        <is>
          <t>2026-09-16</t>
        </is>
      </c>
      <c r="BJ170" s="5" t="inlineStr">
        <is>
          <t>New</t>
        </is>
      </c>
      <c r="BK170" s="5" t="inlineStr">
        <is>
          <t>2026-09-16</t>
        </is>
      </c>
      <c r="BL170" s="5" t="inlineStr"/>
      <c r="BM170" s="5" t="inlineStr"/>
      <c r="BN170" s="5" t="inlineStr"/>
      <c r="BO170" s="5" t="inlineStr"/>
      <c r="BP170" s="5" t="inlineStr"/>
      <c r="BQ170" s="5" t="inlineStr"/>
    </row>
    <row r="171">
      <c r="A171" s="10" t="inlineStr">
        <is>
          <t>WY-0102</t>
        </is>
      </c>
      <c r="B171" s="10" t="inlineStr">
        <is>
          <t>WY-0102-01</t>
        </is>
      </c>
      <c r="C171" s="10" t="inlineStr"/>
      <c r="D171" s="10" t="inlineStr">
        <is>
          <t>Kasa Beeston Convenience Store</t>
        </is>
      </c>
      <c r="E171" s="10" t="inlineStr">
        <is>
          <t>Kasa Beeston</t>
        </is>
      </c>
      <c r="F171" s="10" t="inlineStr"/>
      <c r="G171" s="10" t="inlineStr">
        <is>
          <t>Convenience Store</t>
        </is>
      </c>
      <c r="H171" s="10" t="inlineStr">
        <is>
          <t>24-hour convenience store with off-licence and food-to-go</t>
        </is>
      </c>
      <c r="I171" s="10" t="inlineStr">
        <is>
          <t>Independent</t>
        </is>
      </c>
      <c r="J171" s="10" t="inlineStr">
        <is>
          <t>1</t>
        </is>
      </c>
      <c r="K171" s="10" t="inlineStr">
        <is>
          <t>https://kasabeeston.com/</t>
        </is>
      </c>
      <c r="L171" s="10" t="inlineStr">
        <is>
          <t>https://www.facebook.com/kasabeestonstore/</t>
        </is>
      </c>
      <c r="M171" s="10" t="inlineStr"/>
      <c r="N171" s="10" t="inlineStr"/>
      <c r="O171" s="10" t="inlineStr">
        <is>
          <t>334-336 Dewsbury Road</t>
        </is>
      </c>
      <c r="P171" s="10" t="inlineStr">
        <is>
          <t>Beeston</t>
        </is>
      </c>
      <c r="Q171" s="10" t="inlineStr">
        <is>
          <t>Leeds</t>
        </is>
      </c>
      <c r="R171" s="10" t="inlineStr">
        <is>
          <t>West Yorkshire</t>
        </is>
      </c>
      <c r="S171" s="10" t="inlineStr">
        <is>
          <t>LS11 7DJ</t>
        </is>
      </c>
      <c r="T171" s="10" t="inlineStr">
        <is>
          <t>Yorkshire &amp; Humber</t>
        </is>
      </c>
      <c r="U171" s="10" t="inlineStr">
        <is>
          <t>England</t>
        </is>
      </c>
      <c r="V171" s="10" t="inlineStr">
        <is>
          <t>0113 277 5757</t>
        </is>
      </c>
      <c r="W171" s="10" t="inlineStr"/>
      <c r="X171" s="10" t="inlineStr"/>
      <c r="Y171" s="10" t="inlineStr">
        <is>
          <t>info@kasabeeston.com</t>
        </is>
      </c>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groceries; alcohol; halal food-to-go; lottery; PayPoint</t>
        </is>
      </c>
      <c r="AL171" s="10" t="inlineStr"/>
      <c r="AM171" s="10" t="inlineStr">
        <is>
          <t>Convenience Store</t>
        </is>
      </c>
      <c r="AN171" s="10" t="inlineStr"/>
      <c r="AO171" s="10" t="inlineStr">
        <is>
          <t>Open 24/7; cash machine, halal deli counter, delivery offered.</t>
        </is>
      </c>
      <c r="AP171" s="10" t="inlineStr">
        <is>
          <t>Medium</t>
        </is>
      </c>
      <c r="AQ171" s="10" t="inlineStr">
        <is>
          <t>Independent retailer; Relevant category; Public email available; Active website; Social presence</t>
        </is>
      </c>
      <c r="AR171" s="10" t="inlineStr">
        <is>
          <t>https://kasabeeston.com/</t>
        </is>
      </c>
      <c r="AS171" s="10" t="inlineStr">
        <is>
          <t>https://www.bizseek.co.uk/kasa-beeston-convenience-store-0113-277-5757</t>
        </is>
      </c>
      <c r="AT171" s="10" t="inlineStr">
        <is>
          <t>3</t>
        </is>
      </c>
      <c r="AU171" s="10" t="inlineStr">
        <is>
          <t>No</t>
        </is>
      </c>
      <c r="AV171" s="10" t="inlineStr">
        <is>
          <t>No</t>
        </is>
      </c>
      <c r="AW171" s="10" t="inlineStr">
        <is>
          <t>Yes</t>
        </is>
      </c>
      <c r="AX171" s="10" t="inlineStr">
        <is>
          <t>No</t>
        </is>
      </c>
      <c r="AY171" s="10" t="inlineStr">
        <is>
          <t>Verified directory</t>
        </is>
      </c>
      <c r="AZ171" s="10" t="inlineStr">
        <is>
          <t>Website Found</t>
        </is>
      </c>
      <c r="BA171" s="10" t="inlineStr">
        <is>
          <t>2026-09-16</t>
        </is>
      </c>
      <c r="BB171" s="10" t="inlineStr">
        <is>
          <t>Partially Verified</t>
        </is>
      </c>
      <c r="BC171" s="10" t="inlineStr">
        <is>
          <t>Medium</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2026-09-16</t>
        </is>
      </c>
      <c r="BJ171" s="10" t="inlineStr">
        <is>
          <t>New</t>
        </is>
      </c>
      <c r="BK171" s="10" t="inlineStr">
        <is>
          <t>2026-09-16</t>
        </is>
      </c>
      <c r="BL171" s="10" t="inlineStr"/>
      <c r="BM171" s="10" t="inlineStr"/>
      <c r="BN171" s="10" t="inlineStr"/>
      <c r="BO171" s="10" t="inlineStr"/>
      <c r="BP171" s="10" t="inlineStr"/>
      <c r="BQ171" s="10" t="inlineStr"/>
    </row>
    <row r="172">
      <c r="A172" s="5" t="inlineStr">
        <is>
          <t>WY-0103</t>
        </is>
      </c>
      <c r="B172" s="5" t="inlineStr">
        <is>
          <t>WY-0103-01</t>
        </is>
      </c>
      <c r="C172" s="5" t="inlineStr"/>
      <c r="D172" s="5" t="inlineStr">
        <is>
          <t>Kash News &amp; Gifts</t>
        </is>
      </c>
      <c r="E172" s="5" t="inlineStr">
        <is>
          <t>Kash News</t>
        </is>
      </c>
      <c r="F172" s="5" t="inlineStr"/>
      <c r="G172" s="5" t="inlineStr">
        <is>
          <t>Newsagent</t>
        </is>
      </c>
      <c r="H172" s="5" t="inlineStr">
        <is>
          <t>Newsagent and gifts</t>
        </is>
      </c>
      <c r="I172" s="5" t="inlineStr">
        <is>
          <t>Independent</t>
        </is>
      </c>
      <c r="J172" s="5" t="inlineStr">
        <is>
          <t>1</t>
        </is>
      </c>
      <c r="K172" s="5" t="inlineStr"/>
      <c r="L172" s="5" t="inlineStr"/>
      <c r="M172" s="5" t="inlineStr"/>
      <c r="N172" s="5" t="inlineStr"/>
      <c r="O172" s="5" t="inlineStr">
        <is>
          <t>51 Commercial Street</t>
        </is>
      </c>
      <c r="P172" s="5" t="inlineStr"/>
      <c r="Q172" s="5" t="inlineStr">
        <is>
          <t>Brighouse</t>
        </is>
      </c>
      <c r="R172" s="5" t="inlineStr">
        <is>
          <t>West Yorkshire</t>
        </is>
      </c>
      <c r="S172" s="5" t="inlineStr">
        <is>
          <t>HD6 1AF</t>
        </is>
      </c>
      <c r="T172" s="5" t="inlineStr">
        <is>
          <t>Yorkshire &amp; Humber</t>
        </is>
      </c>
      <c r="U172" s="5" t="inlineStr">
        <is>
          <t>England</t>
        </is>
      </c>
      <c r="V172" s="5" t="inlineStr">
        <is>
          <t>01484 400405</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news; confectionery; gifts</t>
        </is>
      </c>
      <c r="AL172" s="5" t="inlineStr"/>
      <c r="AM172" s="5" t="inlineStr">
        <is>
          <t>Newsagent</t>
        </is>
      </c>
      <c r="AN172" s="5" t="inlineStr"/>
      <c r="AO172" s="5" t="inlineStr">
        <is>
          <t>Open 07:00-17:30 per directory listing.</t>
        </is>
      </c>
      <c r="AP172" s="5" t="inlineStr">
        <is>
          <t>Low</t>
        </is>
      </c>
      <c r="AQ172" s="5" t="inlineStr">
        <is>
          <t>Independent retailer; Relevant category</t>
        </is>
      </c>
      <c r="AR172" s="5" t="inlineStr">
        <is>
          <t>https://www.thomsonlocal.com/search/newsagents/halifax-brighouse-calderdale/kash-news-gifts/922805/01484400405</t>
        </is>
      </c>
      <c r="AS172" s="5" t="inlineStr">
        <is>
          <t>https://findit.batleynews.co.uk/company/437704624939008</t>
        </is>
      </c>
      <c r="AT172" s="5" t="inlineStr">
        <is>
          <t>3</t>
        </is>
      </c>
      <c r="AU172" s="5" t="inlineStr">
        <is>
          <t>No</t>
        </is>
      </c>
      <c r="AV172" s="5" t="inlineStr">
        <is>
          <t>No</t>
        </is>
      </c>
      <c r="AW172" s="5" t="inlineStr">
        <is>
          <t>No</t>
        </is>
      </c>
      <c r="AX172" s="5" t="inlineStr">
        <is>
          <t>No</t>
        </is>
      </c>
      <c r="AY172" s="5" t="inlineStr">
        <is>
          <t>Verified directory</t>
        </is>
      </c>
      <c r="AZ172" s="5" t="inlineStr">
        <is>
          <t>Not Found</t>
        </is>
      </c>
      <c r="BA172" s="5" t="inlineStr">
        <is>
          <t>2026-09-16</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2026-09-16</t>
        </is>
      </c>
      <c r="BJ172" s="5" t="inlineStr">
        <is>
          <t>New</t>
        </is>
      </c>
      <c r="BK172" s="5" t="inlineStr">
        <is>
          <t>2026-09-16</t>
        </is>
      </c>
      <c r="BL172" s="5" t="inlineStr"/>
      <c r="BM172" s="5" t="inlineStr"/>
      <c r="BN172" s="5" t="inlineStr"/>
      <c r="BO172" s="5" t="inlineStr"/>
      <c r="BP172" s="5" t="inlineStr"/>
      <c r="BQ172" s="5" t="inlineStr"/>
    </row>
    <row r="173">
      <c r="A173" s="10" t="inlineStr">
        <is>
          <t>WY-0104</t>
        </is>
      </c>
      <c r="B173" s="10" t="inlineStr">
        <is>
          <t>WY-0104-01</t>
        </is>
      </c>
      <c r="C173" s="10" t="inlineStr"/>
      <c r="D173" s="10" t="inlineStr">
        <is>
          <t>Keep In Touch</t>
        </is>
      </c>
      <c r="E173" s="10" t="inlineStr">
        <is>
          <t>Keep In Touch</t>
        </is>
      </c>
      <c r="F173" s="10" t="inlineStr"/>
      <c r="G173" s="10" t="inlineStr">
        <is>
          <t>Newsagent</t>
        </is>
      </c>
      <c r="H173" s="10" t="inlineStr">
        <is>
          <t>Newsagent</t>
        </is>
      </c>
      <c r="I173" s="10" t="inlineStr">
        <is>
          <t>Independent</t>
        </is>
      </c>
      <c r="J173" s="10" t="inlineStr">
        <is>
          <t>1</t>
        </is>
      </c>
      <c r="K173" s="10" t="inlineStr"/>
      <c r="L173" s="10" t="inlineStr"/>
      <c r="M173" s="10" t="inlineStr"/>
      <c r="N173" s="10" t="inlineStr"/>
      <c r="O173" s="10" t="inlineStr">
        <is>
          <t>5 Albion Street</t>
        </is>
      </c>
      <c r="P173" s="10" t="inlineStr"/>
      <c r="Q173" s="10" t="inlineStr">
        <is>
          <t>Castleford</t>
        </is>
      </c>
      <c r="R173" s="10" t="inlineStr">
        <is>
          <t>West Yorkshire</t>
        </is>
      </c>
      <c r="S173" s="10" t="inlineStr">
        <is>
          <t>WF10 1EG</t>
        </is>
      </c>
      <c r="T173" s="10" t="inlineStr">
        <is>
          <t>Yorkshire &amp; Humber</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news and magazines; confectionery; tobacco</t>
        </is>
      </c>
      <c r="AL173" s="10" t="inlineStr"/>
      <c r="AM173" s="10" t="inlineStr">
        <is>
          <t>Newsagent</t>
        </is>
      </c>
      <c r="AN173" s="10" t="inlineStr"/>
      <c r="AO173" s="10" t="inlineStr">
        <is>
          <t>Same street (Albion Street) as Tylor's Booze in Castleford town centre.</t>
        </is>
      </c>
      <c r="AP173" s="10" t="inlineStr">
        <is>
          <t>Low</t>
        </is>
      </c>
      <c r="AQ173" s="10" t="inlineStr">
        <is>
          <t>Independent retailer; Relevant category</t>
        </is>
      </c>
      <c r="AR173" s="10" t="inlineStr">
        <is>
          <t>https://www.192.com/atoz/business/castleford-wf10/newsagents/keep-in-touch/645f3ab15b4cb6acdbc0eb9ef27c5a71438678bb/ml/</t>
        </is>
      </c>
      <c r="AS173" s="10" t="inlineStr"/>
      <c r="AT173" s="10" t="inlineStr">
        <is>
          <t>1</t>
        </is>
      </c>
      <c r="AU173" s="10" t="inlineStr">
        <is>
          <t>No</t>
        </is>
      </c>
      <c r="AV173" s="10" t="inlineStr">
        <is>
          <t>No</t>
        </is>
      </c>
      <c r="AW173" s="10" t="inlineStr">
        <is>
          <t>No</t>
        </is>
      </c>
      <c r="AX173" s="10" t="inlineStr">
        <is>
          <t>No</t>
        </is>
      </c>
      <c r="AY173" s="10" t="inlineStr">
        <is>
          <t>Not Found</t>
        </is>
      </c>
      <c r="AZ173" s="10" t="inlineStr">
        <is>
          <t>Not Found</t>
        </is>
      </c>
      <c r="BA173" s="10" t="inlineStr">
        <is>
          <t>2026-09-16</t>
        </is>
      </c>
      <c r="BB173" s="10" t="inlineStr">
        <is>
          <t>Requires Verification</t>
        </is>
      </c>
      <c r="BC173" s="10" t="inlineStr">
        <is>
          <t>Low</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2026-09-16</t>
        </is>
      </c>
      <c r="BL173" s="10" t="inlineStr"/>
      <c r="BM173" s="10" t="inlineStr"/>
      <c r="BN173" s="10" t="inlineStr"/>
      <c r="BO173" s="10" t="inlineStr"/>
      <c r="BP173" s="10" t="inlineStr"/>
      <c r="BQ173" s="10" t="inlineStr"/>
    </row>
    <row r="174">
      <c r="A174" s="5" t="inlineStr">
        <is>
          <t>WY-0105</t>
        </is>
      </c>
      <c r="B174" s="5" t="inlineStr">
        <is>
          <t>WY-0105-01</t>
        </is>
      </c>
      <c r="C174" s="5" t="inlineStr"/>
      <c r="D174" s="5" t="inlineStr">
        <is>
          <t>Keighley Newsagent</t>
        </is>
      </c>
      <c r="E174" s="5" t="inlineStr">
        <is>
          <t>Keighley Newsagent</t>
        </is>
      </c>
      <c r="F174" s="5" t="inlineStr"/>
      <c r="G174" s="5" t="inlineStr">
        <is>
          <t>Newsagent</t>
        </is>
      </c>
      <c r="H174" s="5" t="inlineStr">
        <is>
          <t>Town-centre newsagent</t>
        </is>
      </c>
      <c r="I174" s="5" t="inlineStr">
        <is>
          <t>Independent</t>
        </is>
      </c>
      <c r="J174" s="5" t="inlineStr">
        <is>
          <t>1</t>
        </is>
      </c>
      <c r="K174" s="5" t="inlineStr"/>
      <c r="L174" s="5" t="inlineStr"/>
      <c r="M174" s="5" t="inlineStr"/>
      <c r="N174" s="5" t="inlineStr"/>
      <c r="O174" s="5" t="inlineStr">
        <is>
          <t>125 North Street</t>
        </is>
      </c>
      <c r="P174" s="5" t="inlineStr"/>
      <c r="Q174" s="5" t="inlineStr">
        <is>
          <t>Keighley</t>
        </is>
      </c>
      <c r="R174" s="5" t="inlineStr">
        <is>
          <t>West Yorkshire</t>
        </is>
      </c>
      <c r="S174" s="5" t="inlineStr">
        <is>
          <t>BD21 3AD</t>
        </is>
      </c>
      <c r="T174" s="5" t="inlineStr">
        <is>
          <t>Yorkshire &amp; Humber</t>
        </is>
      </c>
      <c r="U174" s="5" t="inlineStr">
        <is>
          <t>England</t>
        </is>
      </c>
      <c r="V174" s="5" t="inlineStr"/>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news; magazines; tobacco; convenience lines</t>
        </is>
      </c>
      <c r="AL174" s="5" t="inlineStr"/>
      <c r="AM174" s="5" t="inlineStr">
        <is>
          <t>Newsagent</t>
        </is>
      </c>
      <c r="AN174" s="5" t="inlineStr"/>
      <c r="AO174" s="5" t="inlineStr">
        <is>
          <t>Directory-listed newsagent at 125 North Street (also appears spelled 'Kieghly Newsagent' in one directory).</t>
        </is>
      </c>
      <c r="AP174" s="5" t="inlineStr">
        <is>
          <t>Low</t>
        </is>
      </c>
      <c r="AQ174" s="5" t="inlineStr">
        <is>
          <t>Independent retailer; Relevant category</t>
        </is>
      </c>
      <c r="AR174" s="5" t="inlineStr">
        <is>
          <t>https://directory.bradfordpages.co.uk/company/504571861241856</t>
        </is>
      </c>
      <c r="AS174" s="5" t="inlineStr"/>
      <c r="AT174" s="5" t="inlineStr">
        <is>
          <t>1</t>
        </is>
      </c>
      <c r="AU174" s="5" t="inlineStr">
        <is>
          <t>No</t>
        </is>
      </c>
      <c r="AV174" s="5" t="inlineStr">
        <is>
          <t>No</t>
        </is>
      </c>
      <c r="AW174" s="5" t="inlineStr">
        <is>
          <t>No</t>
        </is>
      </c>
      <c r="AX174" s="5" t="inlineStr">
        <is>
          <t>No</t>
        </is>
      </c>
      <c r="AY174" s="5" t="inlineStr">
        <is>
          <t>Not Found</t>
        </is>
      </c>
      <c r="AZ174" s="5" t="inlineStr">
        <is>
          <t>Not Found</t>
        </is>
      </c>
      <c r="BA174" s="5" t="inlineStr">
        <is>
          <t>2026-09-16</t>
        </is>
      </c>
      <c r="BB174" s="5" t="inlineStr">
        <is>
          <t>Requires Verification</t>
        </is>
      </c>
      <c r="BC174" s="5" t="inlineStr">
        <is>
          <t>Low</t>
        </is>
      </c>
      <c r="BD174" s="5" t="inlineStr"/>
      <c r="BE174" s="5" t="inlineStr">
        <is>
          <t>Business (B2B)</t>
        </is>
      </c>
      <c r="BF174" s="5" t="inlineStr">
        <is>
          <t>Legitimate interest (B2B) - assess per campaign; PECR: corporate subscribers</t>
        </is>
      </c>
      <c r="BG174" s="5" t="inlineStr"/>
      <c r="BH174" s="5" t="inlineStr">
        <is>
          <t>No</t>
        </is>
      </c>
      <c r="BI174" s="5" t="inlineStr">
        <is>
          <t>2026-09-16</t>
        </is>
      </c>
      <c r="BJ174" s="5" t="inlineStr">
        <is>
          <t>New</t>
        </is>
      </c>
      <c r="BK174" s="5" t="inlineStr">
        <is>
          <t>2026-09-16</t>
        </is>
      </c>
      <c r="BL174" s="5" t="inlineStr"/>
      <c r="BM174" s="5" t="inlineStr"/>
      <c r="BN174" s="5" t="inlineStr"/>
      <c r="BO174" s="5" t="inlineStr"/>
      <c r="BP174" s="5" t="inlineStr"/>
      <c r="BQ174" s="5" t="inlineStr"/>
    </row>
    <row r="175">
      <c r="A175" s="10" t="inlineStr">
        <is>
          <t>WY-0106</t>
        </is>
      </c>
      <c r="B175" s="10" t="inlineStr">
        <is>
          <t>WY-0106-01</t>
        </is>
      </c>
      <c r="C175" s="10" t="inlineStr"/>
      <c r="D175" s="10" t="inlineStr">
        <is>
          <t>Khadim Supersave</t>
        </is>
      </c>
      <c r="E175" s="10" t="inlineStr">
        <is>
          <t>Khadim Supersave</t>
        </is>
      </c>
      <c r="F175" s="10" t="inlineStr"/>
      <c r="G175" s="10" t="inlineStr">
        <is>
          <t>Independent Supermarket</t>
        </is>
      </c>
      <c r="H175" s="10" t="inlineStr">
        <is>
          <t>Halal grocery store</t>
        </is>
      </c>
      <c r="I175" s="10" t="inlineStr">
        <is>
          <t>Independent</t>
        </is>
      </c>
      <c r="J175" s="10" t="inlineStr">
        <is>
          <t>1</t>
        </is>
      </c>
      <c r="K175" s="10" t="inlineStr"/>
      <c r="L175" s="10" t="inlineStr"/>
      <c r="M175" s="10" t="inlineStr"/>
      <c r="N175" s="10" t="inlineStr"/>
      <c r="O175" s="10" t="inlineStr">
        <is>
          <t>1 Blacker Road</t>
        </is>
      </c>
      <c r="P175" s="10" t="inlineStr">
        <is>
          <t>Birkby</t>
        </is>
      </c>
      <c r="Q175" s="10" t="inlineStr">
        <is>
          <t>Huddersfield</t>
        </is>
      </c>
      <c r="R175" s="10" t="inlineStr">
        <is>
          <t>West Yorkshire</t>
        </is>
      </c>
      <c r="S175" s="10" t="inlineStr">
        <is>
          <t>HD1 5HU</t>
        </is>
      </c>
      <c r="T175" s="10" t="inlineStr">
        <is>
          <t>Yorkshire &amp; Humber</t>
        </is>
      </c>
      <c r="U175" s="10" t="inlineStr">
        <is>
          <t>England</t>
        </is>
      </c>
      <c r="V175" s="10" t="inlineStr">
        <is>
          <t>01484 360513</t>
        </is>
      </c>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HMC halal meat; groceries; fresh produce</t>
        </is>
      </c>
      <c r="AL175" s="10" t="inlineStr"/>
      <c r="AM175" s="10" t="inlineStr">
        <is>
          <t>Independent Supermarket</t>
        </is>
      </c>
      <c r="AN175" s="10" t="inlineStr"/>
      <c r="AO175" s="10" t="inlineStr"/>
      <c r="AP175" s="10" t="inlineStr">
        <is>
          <t>Low</t>
        </is>
      </c>
      <c r="AQ175" s="10" t="inlineStr">
        <is>
          <t>Independent retailer; Relevant category</t>
        </is>
      </c>
      <c r="AR175" s="10" t="inlineStr">
        <is>
          <t>https://no-divide.co.uk/khadim-supersave/</t>
        </is>
      </c>
      <c r="AS175" s="10" t="inlineStr"/>
      <c r="AT175" s="10" t="inlineStr">
        <is>
          <t>1</t>
        </is>
      </c>
      <c r="AU175" s="10" t="inlineStr">
        <is>
          <t>No</t>
        </is>
      </c>
      <c r="AV175" s="10" t="inlineStr">
        <is>
          <t>No</t>
        </is>
      </c>
      <c r="AW175" s="10" t="inlineStr">
        <is>
          <t>No</t>
        </is>
      </c>
      <c r="AX175" s="10" t="inlineStr">
        <is>
          <t>No</t>
        </is>
      </c>
      <c r="AY175" s="10" t="inlineStr">
        <is>
          <t>Verified directory</t>
        </is>
      </c>
      <c r="AZ175" s="10" t="inlineStr">
        <is>
          <t>Not Found</t>
        </is>
      </c>
      <c r="BA175" s="10" t="inlineStr">
        <is>
          <t>2026-09-16</t>
        </is>
      </c>
      <c r="BB175" s="10" t="inlineStr">
        <is>
          <t>Requires Verification</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2026-09-16</t>
        </is>
      </c>
      <c r="BJ175" s="10" t="inlineStr">
        <is>
          <t>New</t>
        </is>
      </c>
      <c r="BK175" s="10" t="inlineStr">
        <is>
          <t>2026-09-16</t>
        </is>
      </c>
      <c r="BL175" s="10" t="inlineStr"/>
      <c r="BM175" s="10" t="inlineStr"/>
      <c r="BN175" s="10" t="inlineStr"/>
      <c r="BO175" s="10" t="inlineStr"/>
      <c r="BP175" s="10" t="inlineStr"/>
      <c r="BQ175" s="10" t="inlineStr"/>
    </row>
    <row r="176">
      <c r="A176" s="5" t="inlineStr">
        <is>
          <t>UK-000262</t>
        </is>
      </c>
      <c r="B176" s="5" t="inlineStr">
        <is>
          <t>UK-000262-01</t>
        </is>
      </c>
      <c r="C176" s="5" t="inlineStr"/>
      <c r="D176" s="5" t="inlineStr">
        <is>
          <t>Kick Ash Vapes Cleethorpes</t>
        </is>
      </c>
      <c r="E176" s="5" t="inlineStr">
        <is>
          <t>Kick Ash Vapes</t>
        </is>
      </c>
      <c r="F176" s="5" t="inlineStr"/>
      <c r="G176" s="5" t="inlineStr">
        <is>
          <t>Vape Shop</t>
        </is>
      </c>
      <c r="H176" s="5" t="inlineStr">
        <is>
          <t>Vape shop</t>
        </is>
      </c>
      <c r="I176" s="5" t="inlineStr">
        <is>
          <t>Independent</t>
        </is>
      </c>
      <c r="J176" s="5" t="inlineStr">
        <is>
          <t>1</t>
        </is>
      </c>
      <c r="K176" s="5" t="inlineStr"/>
      <c r="L176" s="5" t="inlineStr"/>
      <c r="M176" s="5" t="inlineStr"/>
      <c r="N176" s="5" t="inlineStr"/>
      <c r="O176" s="5" t="inlineStr">
        <is>
          <t>201 Grimsby Road</t>
        </is>
      </c>
      <c r="P176" s="5" t="inlineStr"/>
      <c r="Q176" s="5" t="inlineStr">
        <is>
          <t>Cleethorpes</t>
        </is>
      </c>
      <c r="R176" s="5" t="inlineStr">
        <is>
          <t>Lincolnshire</t>
        </is>
      </c>
      <c r="S176" s="5" t="inlineStr">
        <is>
          <t>DN35 7HB</t>
        </is>
      </c>
      <c r="T176" s="5" t="inlineStr">
        <is>
          <t>Yorkshire &amp; Humber</t>
        </is>
      </c>
      <c r="U176" s="5" t="inlineStr">
        <is>
          <t>England</t>
        </is>
      </c>
      <c r="V176" s="5" t="inlineStr"/>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vape hardware; e-liquids; disposables</t>
        </is>
      </c>
      <c r="AL176" s="5" t="inlineStr"/>
      <c r="AM176" s="5" t="inlineStr">
        <is>
          <t>Vape Shop</t>
        </is>
      </c>
      <c r="AN176" s="5" t="inlineStr"/>
      <c r="AO176" s="5" t="inlineStr">
        <is>
          <t>Independent vape shop on Grimsby Road, Cleethorpes. No phone published in search results.</t>
        </is>
      </c>
      <c r="AP176" s="5" t="inlineStr">
        <is>
          <t>Medium</t>
        </is>
      </c>
      <c r="AQ176" s="5" t="inlineStr">
        <is>
          <t>Independent retailer; Core relevant category</t>
        </is>
      </c>
      <c r="AR176" s="5" t="inlineStr">
        <is>
          <t>https://kick-ash-vapes-cleethorpes.wheree.com/</t>
        </is>
      </c>
      <c r="AS176" s="5" t="inlineStr"/>
      <c r="AT176" s="5" t="inlineStr">
        <is>
          <t>1</t>
        </is>
      </c>
      <c r="AU176" s="5" t="inlineStr">
        <is>
          <t>No</t>
        </is>
      </c>
      <c r="AV176" s="5" t="inlineStr">
        <is>
          <t>No</t>
        </is>
      </c>
      <c r="AW176" s="5" t="inlineStr">
        <is>
          <t>No</t>
        </is>
      </c>
      <c r="AX176" s="5" t="inlineStr">
        <is>
          <t>No</t>
        </is>
      </c>
      <c r="AY176" s="5" t="inlineStr">
        <is>
          <t>Not Found</t>
        </is>
      </c>
      <c r="AZ176" s="5" t="inlineStr">
        <is>
          <t>Not Found</t>
        </is>
      </c>
      <c r="BA176" s="5" t="inlineStr">
        <is>
          <t>2026-09-16</t>
        </is>
      </c>
      <c r="BB176" s="5" t="inlineStr">
        <is>
          <t>Requires Verification</t>
        </is>
      </c>
      <c r="BC176" s="5" t="inlineStr">
        <is>
          <t>Low</t>
        </is>
      </c>
      <c r="BD176" s="5" t="inlineStr"/>
      <c r="BE176" s="5" t="inlineStr">
        <is>
          <t>Business (B2B)</t>
        </is>
      </c>
      <c r="BF176" s="5" t="inlineStr">
        <is>
          <t>Legitimate interest (B2B) - assess per campaign; PECR: corporate subscribers</t>
        </is>
      </c>
      <c r="BG176" s="5" t="inlineStr"/>
      <c r="BH176" s="5" t="inlineStr">
        <is>
          <t>No</t>
        </is>
      </c>
      <c r="BI176" s="5" t="inlineStr">
        <is>
          <t>2026-09-16</t>
        </is>
      </c>
      <c r="BJ176" s="5" t="inlineStr">
        <is>
          <t>New</t>
        </is>
      </c>
      <c r="BK176" s="5" t="inlineStr">
        <is>
          <t>2026-09-16</t>
        </is>
      </c>
      <c r="BL176" s="5" t="inlineStr"/>
      <c r="BM176" s="5" t="inlineStr"/>
      <c r="BN176" s="5" t="inlineStr"/>
      <c r="BO176" s="5" t="inlineStr"/>
      <c r="BP176" s="5" t="inlineStr"/>
      <c r="BQ176" s="5" t="inlineStr"/>
    </row>
    <row r="177">
      <c r="A177" s="10" t="inlineStr">
        <is>
          <t>UK-000263</t>
        </is>
      </c>
      <c r="B177" s="10" t="inlineStr">
        <is>
          <t>UK-000263-01</t>
        </is>
      </c>
      <c r="C177" s="10" t="inlineStr"/>
      <c r="D177" s="10" t="inlineStr">
        <is>
          <t>Kings Lites Acomb</t>
        </is>
      </c>
      <c r="E177" s="10" t="inlineStr">
        <is>
          <t>Kings Lites</t>
        </is>
      </c>
      <c r="F177" s="10" t="inlineStr"/>
      <c r="G177" s="10" t="inlineStr">
        <is>
          <t>Vape Shop</t>
        </is>
      </c>
      <c r="H177" s="10" t="inlineStr">
        <is>
          <t>Vaping specialist</t>
        </is>
      </c>
      <c r="I177" s="10" t="inlineStr">
        <is>
          <t>Independent</t>
        </is>
      </c>
      <c r="J177" s="10" t="inlineStr">
        <is>
          <t>1</t>
        </is>
      </c>
      <c r="K177" s="10" t="inlineStr">
        <is>
          <t>https://www.kingslites.co.uk/acomb</t>
        </is>
      </c>
      <c r="L177" s="10" t="inlineStr"/>
      <c r="M177" s="10" t="inlineStr"/>
      <c r="N177" s="10" t="inlineStr"/>
      <c r="O177" s="10" t="inlineStr"/>
      <c r="P177" s="10" t="inlineStr"/>
      <c r="Q177" s="10" t="inlineStr">
        <is>
          <t>York</t>
        </is>
      </c>
      <c r="R177" s="10" t="inlineStr">
        <is>
          <t>North Yorkshire</t>
        </is>
      </c>
      <c r="S177" s="10" t="inlineStr"/>
      <c r="T177" s="10" t="inlineStr">
        <is>
          <t>Yorkshire &amp; Humber</t>
        </is>
      </c>
      <c r="U177" s="10" t="inlineStr">
        <is>
          <t>England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vape hardware; e-liquids</t>
        </is>
      </c>
      <c r="AL177" s="10" t="inlineStr"/>
      <c r="AM177" s="10" t="inlineStr">
        <is>
          <t>Vape Shop</t>
        </is>
      </c>
      <c r="AN177" s="10" t="inlineStr"/>
      <c r="AO177" s="10" t="inlineStr">
        <is>
          <t>Vaping shop in the market place of Acomb (west York suburb), own website kingslites.co.uk/acomb. Exact street address/postcode and phone not surfaced in search snippets; direct fetch blocked. Located with direct access from the A64 per directory description.</t>
        </is>
      </c>
      <c r="AP177" s="10" t="inlineStr">
        <is>
          <t>Medium</t>
        </is>
      </c>
      <c r="AQ177" s="10" t="inlineStr">
        <is>
          <t>Independent retailer; Core relevant category; Active website</t>
        </is>
      </c>
      <c r="AR177" s="10" t="inlineStr">
        <is>
          <t>https://www.kingslites.co.uk/acomb</t>
        </is>
      </c>
      <c r="AS177" s="10" t="inlineStr">
        <is>
          <t>https://york.cylex-uk.co.uk/company/kings-lites-acomb-27065896.html</t>
        </is>
      </c>
      <c r="AT177" s="10" t="inlineStr">
        <is>
          <t>2</t>
        </is>
      </c>
      <c r="AU177" s="10" t="inlineStr">
        <is>
          <t>No</t>
        </is>
      </c>
      <c r="AV177" s="10" t="inlineStr">
        <is>
          <t>No</t>
        </is>
      </c>
      <c r="AW177" s="10" t="inlineStr">
        <is>
          <t>No</t>
        </is>
      </c>
      <c r="AX177" s="10" t="inlineStr">
        <is>
          <t>No</t>
        </is>
      </c>
      <c r="AY177" s="10" t="inlineStr">
        <is>
          <t>Not Found</t>
        </is>
      </c>
      <c r="AZ177" s="10" t="inlineStr">
        <is>
          <t>Website Found</t>
        </is>
      </c>
      <c r="BA177" s="10" t="inlineStr">
        <is>
          <t>2026-09-16</t>
        </is>
      </c>
      <c r="BB177" s="10" t="inlineStr">
        <is>
          <t>Requires Verification</t>
        </is>
      </c>
      <c r="BC177" s="10" t="inlineStr">
        <is>
          <t>Low</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2026-09-16</t>
        </is>
      </c>
      <c r="BJ177" s="10" t="inlineStr">
        <is>
          <t>New</t>
        </is>
      </c>
      <c r="BK177" s="10" t="inlineStr">
        <is>
          <t>2026-09-16</t>
        </is>
      </c>
      <c r="BL177" s="10" t="inlineStr"/>
      <c r="BM177" s="10" t="inlineStr"/>
      <c r="BN177" s="10" t="inlineStr"/>
      <c r="BO177" s="10" t="inlineStr"/>
      <c r="BP177" s="10" t="inlineStr"/>
      <c r="BQ177" s="10" t="inlineStr"/>
    </row>
    <row r="178">
      <c r="A178" s="5" t="inlineStr">
        <is>
          <t>WY-0107</t>
        </is>
      </c>
      <c r="B178" s="5" t="inlineStr">
        <is>
          <t>WY-0107-01</t>
        </is>
      </c>
      <c r="C178" s="5" t="inlineStr"/>
      <c r="D178" s="5" t="inlineStr">
        <is>
          <t>Kubus International Food</t>
        </is>
      </c>
      <c r="E178" s="5" t="inlineStr">
        <is>
          <t>Kubus International Food</t>
        </is>
      </c>
      <c r="F178" s="5" t="inlineStr"/>
      <c r="G178" s="5" t="inlineStr">
        <is>
          <t>Convenience Store</t>
        </is>
      </c>
      <c r="H178" s="5" t="inlineStr">
        <is>
          <t>International / Eastern European grocery and convenience</t>
        </is>
      </c>
      <c r="I178" s="5" t="inlineStr">
        <is>
          <t>Independent</t>
        </is>
      </c>
      <c r="J178" s="5" t="inlineStr">
        <is>
          <t>1</t>
        </is>
      </c>
      <c r="K178" s="5" t="inlineStr"/>
      <c r="L178" s="5" t="inlineStr"/>
      <c r="M178" s="5" t="inlineStr"/>
      <c r="N178" s="5" t="inlineStr"/>
      <c r="O178" s="5" t="inlineStr">
        <is>
          <t>86 Kirkgate</t>
        </is>
      </c>
      <c r="P178" s="5" t="inlineStr"/>
      <c r="Q178" s="5" t="inlineStr">
        <is>
          <t>Wakefield</t>
        </is>
      </c>
      <c r="R178" s="5" t="inlineStr">
        <is>
          <t>West Yorkshire</t>
        </is>
      </c>
      <c r="S178" s="5" t="inlineStr"/>
      <c r="T178" s="5" t="inlineStr">
        <is>
          <t>Yorkshire &amp; Humber</t>
        </is>
      </c>
      <c r="U178" s="5" t="inlineStr">
        <is>
          <t>England</t>
        </is>
      </c>
      <c r="V178" s="5" t="inlineStr"/>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international grocery (Eastern European focus); beers and alcohol; convenience</t>
        </is>
      </c>
      <c r="AL178" s="5" t="inlineStr"/>
      <c r="AM178" s="5" t="inlineStr">
        <is>
          <t>Convenience Store</t>
        </is>
      </c>
      <c r="AN178" s="5" t="inlineStr"/>
      <c r="AO178" s="5" t="inlineStr">
        <is>
          <t>Open late (to 11pm Mon-Sat). Good alcohol range per Yorkshire.com profile.</t>
        </is>
      </c>
      <c r="AP178" s="5" t="inlineStr">
        <is>
          <t>Low</t>
        </is>
      </c>
      <c r="AQ178" s="5" t="inlineStr">
        <is>
          <t>Independent retailer; Relevant category</t>
        </is>
      </c>
      <c r="AR178" s="5" t="inlineStr">
        <is>
          <t>https://www.yorkshire.com/wakefield/shopping/corner-shops/kubus-international-food</t>
        </is>
      </c>
      <c r="AS178" s="5" t="inlineStr"/>
      <c r="AT178" s="5" t="inlineStr">
        <is>
          <t>1</t>
        </is>
      </c>
      <c r="AU178" s="5" t="inlineStr">
        <is>
          <t>No</t>
        </is>
      </c>
      <c r="AV178" s="5" t="inlineStr">
        <is>
          <t>No</t>
        </is>
      </c>
      <c r="AW178" s="5" t="inlineStr">
        <is>
          <t>No</t>
        </is>
      </c>
      <c r="AX178" s="5" t="inlineStr">
        <is>
          <t>No</t>
        </is>
      </c>
      <c r="AY178" s="5" t="inlineStr">
        <is>
          <t>Not Found</t>
        </is>
      </c>
      <c r="AZ178" s="5" t="inlineStr">
        <is>
          <t>Not Found</t>
        </is>
      </c>
      <c r="BA178" s="5" t="inlineStr">
        <is>
          <t>2026-09-16</t>
        </is>
      </c>
      <c r="BB178" s="5" t="inlineStr">
        <is>
          <t>Requires Verification</t>
        </is>
      </c>
      <c r="BC178" s="5" t="inlineStr">
        <is>
          <t>Low</t>
        </is>
      </c>
      <c r="BD178" s="5" t="inlineStr"/>
      <c r="BE178" s="5" t="inlineStr">
        <is>
          <t>Business (B2B)</t>
        </is>
      </c>
      <c r="BF178" s="5" t="inlineStr">
        <is>
          <t>Legitimate interest (B2B) - assess per campaign; PECR: corporate subscribers</t>
        </is>
      </c>
      <c r="BG178" s="5" t="inlineStr"/>
      <c r="BH178" s="5" t="inlineStr">
        <is>
          <t>No</t>
        </is>
      </c>
      <c r="BI178" s="5" t="inlineStr">
        <is>
          <t>2026-09-16</t>
        </is>
      </c>
      <c r="BJ178" s="5" t="inlineStr">
        <is>
          <t>New</t>
        </is>
      </c>
      <c r="BK178" s="5" t="inlineStr">
        <is>
          <t>2026-09-16</t>
        </is>
      </c>
      <c r="BL178" s="5" t="inlineStr"/>
      <c r="BM178" s="5" t="inlineStr"/>
      <c r="BN178" s="5" t="inlineStr"/>
      <c r="BO178" s="5" t="inlineStr"/>
      <c r="BP178" s="5" t="inlineStr"/>
      <c r="BQ178" s="5" t="inlineStr"/>
    </row>
    <row r="179">
      <c r="A179" s="10" t="inlineStr">
        <is>
          <t>UK-000264</t>
        </is>
      </c>
      <c r="B179" s="10" t="inlineStr">
        <is>
          <t>UK-000264-01</t>
        </is>
      </c>
      <c r="C179" s="10" t="inlineStr"/>
      <c r="D179" s="10" t="inlineStr">
        <is>
          <t>La Vana Restaurant &amp; Shisha</t>
        </is>
      </c>
      <c r="E179" s="10" t="inlineStr">
        <is>
          <t>La Vana</t>
        </is>
      </c>
      <c r="F179" s="10" t="inlineStr"/>
      <c r="G179" s="10" t="inlineStr">
        <is>
          <t>Smoke / Shisha Shop</t>
        </is>
      </c>
      <c r="H179" s="10" t="inlineStr">
        <is>
          <t>Restaurant and shisha lounge</t>
        </is>
      </c>
      <c r="I179" s="10" t="inlineStr">
        <is>
          <t>Independent</t>
        </is>
      </c>
      <c r="J179" s="10" t="inlineStr">
        <is>
          <t>1</t>
        </is>
      </c>
      <c r="K179" s="10" t="inlineStr"/>
      <c r="L179" s="10" t="inlineStr">
        <is>
          <t>https://www.facebook.com/LaVanaShisha/</t>
        </is>
      </c>
      <c r="M179" s="10" t="inlineStr"/>
      <c r="N179" s="10" t="inlineStr"/>
      <c r="O179" s="10" t="inlineStr"/>
      <c r="P179" s="10" t="inlineStr"/>
      <c r="Q179" s="10" t="inlineStr">
        <is>
          <t>Kingston upon Hull</t>
        </is>
      </c>
      <c r="R179" s="10" t="inlineStr">
        <is>
          <t>East Riding of Yorkshire</t>
        </is>
      </c>
      <c r="S179" s="10" t="inlineStr"/>
      <c r="T179" s="10" t="inlineStr">
        <is>
          <t>Yorkshire &amp; Humber</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shisha; hookah; restaurant</t>
        </is>
      </c>
      <c r="AL179" s="10" t="inlineStr"/>
      <c r="AM179" s="10" t="inlineStr">
        <is>
          <t>Smoke / Shisha Shop</t>
        </is>
      </c>
      <c r="AN179" s="10" t="inlineStr"/>
      <c r="AO179" s="10" t="inlineStr">
        <is>
          <t>Restaurant and shisha lounge in Hull. No street address/phone in search results.</t>
        </is>
      </c>
      <c r="AP179" s="10" t="inlineStr">
        <is>
          <t>Medium</t>
        </is>
      </c>
      <c r="AQ179" s="10" t="inlineStr">
        <is>
          <t>Independent retailer; Core relevant category; Social presence</t>
        </is>
      </c>
      <c r="AR179" s="10" t="inlineStr">
        <is>
          <t>https://www.facebook.com/LaVanaShisha/</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2026-09-16</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2026-09-16</t>
        </is>
      </c>
      <c r="BL179" s="10" t="inlineStr"/>
      <c r="BM179" s="10" t="inlineStr"/>
      <c r="BN179" s="10" t="inlineStr"/>
      <c r="BO179" s="10" t="inlineStr"/>
      <c r="BP179" s="10" t="inlineStr"/>
      <c r="BQ179" s="10" t="inlineStr"/>
    </row>
    <row r="180">
      <c r="A180" s="5" t="inlineStr">
        <is>
          <t>WY-0108</t>
        </is>
      </c>
      <c r="B180" s="5" t="inlineStr">
        <is>
          <t>WY-0108-01</t>
        </is>
      </c>
      <c r="C180" s="5" t="inlineStr"/>
      <c r="D180" s="5" t="inlineStr">
        <is>
          <t>Latitude Wine &amp; Liquor Merchant</t>
        </is>
      </c>
      <c r="E180" s="5" t="inlineStr">
        <is>
          <t>Latitude Wine &amp; Liquor Merchant</t>
        </is>
      </c>
      <c r="F180" s="5" t="inlineStr"/>
      <c r="G180" s="5" t="inlineStr">
        <is>
          <t>Off-Licence</t>
        </is>
      </c>
      <c r="H180" s="5" t="inlineStr">
        <is>
          <t>Specialist wine and spirits merchant</t>
        </is>
      </c>
      <c r="I180" s="5" t="inlineStr">
        <is>
          <t>Independent</t>
        </is>
      </c>
      <c r="J180" s="5" t="inlineStr">
        <is>
          <t>1</t>
        </is>
      </c>
      <c r="K180" s="5" t="inlineStr">
        <is>
          <t>https://latitudewine.co.uk/</t>
        </is>
      </c>
      <c r="L180" s="5" t="inlineStr"/>
      <c r="M180" s="5" t="inlineStr"/>
      <c r="N180" s="5" t="inlineStr"/>
      <c r="O180" s="5" t="inlineStr">
        <is>
          <t>5 Cherry Tree Walk</t>
        </is>
      </c>
      <c r="P180" s="5" t="inlineStr">
        <is>
          <t>The Calls, City Centre</t>
        </is>
      </c>
      <c r="Q180" s="5" t="inlineStr">
        <is>
          <t>Leeds</t>
        </is>
      </c>
      <c r="R180" s="5" t="inlineStr">
        <is>
          <t>West Yorkshire</t>
        </is>
      </c>
      <c r="S180" s="5" t="inlineStr">
        <is>
          <t>LS2 7EB</t>
        </is>
      </c>
      <c r="T180" s="5" t="inlineStr">
        <is>
          <t>Yorkshire &amp; Humber</t>
        </is>
      </c>
      <c r="U180" s="5" t="inlineStr">
        <is>
          <t>England</t>
        </is>
      </c>
      <c r="V180" s="5" t="inlineStr">
        <is>
          <t>0113 245 3393</t>
        </is>
      </c>
      <c r="W180" s="5" t="inlineStr"/>
      <c r="X180" s="5" t="inlineStr"/>
      <c r="Y180" s="5" t="inlineStr"/>
      <c r="Z180" s="5" t="inlineStr">
        <is>
          <t>sales@latitudewine.co.uk</t>
        </is>
      </c>
      <c r="AA180" s="5" t="inlineStr"/>
      <c r="AB180" s="5" t="inlineStr"/>
      <c r="AC180" s="5" t="inlineStr"/>
      <c r="AD180" s="5" t="inlineStr"/>
      <c r="AE180" s="5" t="inlineStr"/>
      <c r="AF180" s="5" t="inlineStr"/>
      <c r="AG180" s="5" t="inlineStr"/>
      <c r="AH180" s="5" t="inlineStr"/>
      <c r="AI180" s="5" t="inlineStr"/>
      <c r="AJ180" s="5" t="inlineStr"/>
      <c r="AK180" s="5" t="inlineStr">
        <is>
          <t>wine; spirits; craft beer</t>
        </is>
      </c>
      <c r="AL180" s="5" t="inlineStr"/>
      <c r="AM180" s="5" t="inlineStr">
        <is>
          <t>Off-Licence</t>
        </is>
      </c>
      <c r="AN180" s="5" t="inlineStr"/>
      <c r="AO180" s="5" t="inlineStr">
        <is>
          <t>Independent city-centre wine and spirits merchant; Mon-Sat 10:00-19:00.</t>
        </is>
      </c>
      <c r="AP180" s="5" t="inlineStr">
        <is>
          <t>Medium</t>
        </is>
      </c>
      <c r="AQ180" s="5" t="inlineStr">
        <is>
          <t>Independent retailer; Relevant category; Public trade/sales contact; Active website</t>
        </is>
      </c>
      <c r="AR180" s="5" t="inlineStr">
        <is>
          <t>https://latitudewine.co.uk/</t>
        </is>
      </c>
      <c r="AS180" s="5" t="inlineStr">
        <is>
          <t>https://latitudewine.co.uk/pages/contact-us</t>
        </is>
      </c>
      <c r="AT180" s="5" t="inlineStr">
        <is>
          <t>3</t>
        </is>
      </c>
      <c r="AU180" s="5" t="inlineStr">
        <is>
          <t>No</t>
        </is>
      </c>
      <c r="AV180" s="5" t="inlineStr">
        <is>
          <t>No</t>
        </is>
      </c>
      <c r="AW180" s="5" t="inlineStr">
        <is>
          <t>Yes</t>
        </is>
      </c>
      <c r="AX180" s="5" t="inlineStr">
        <is>
          <t>No</t>
        </is>
      </c>
      <c r="AY180" s="5" t="inlineStr">
        <is>
          <t>Verified directory</t>
        </is>
      </c>
      <c r="AZ180" s="5" t="inlineStr">
        <is>
          <t>Website Found</t>
        </is>
      </c>
      <c r="BA180" s="5" t="inlineStr">
        <is>
          <t>2026-09-16</t>
        </is>
      </c>
      <c r="BB180" s="5" t="inlineStr">
        <is>
          <t>Partially Verified</t>
        </is>
      </c>
      <c r="BC180" s="5" t="inlineStr">
        <is>
          <t>Medium</t>
        </is>
      </c>
      <c r="BD180" s="5" t="inlineStr"/>
      <c r="BE180" s="5" t="inlineStr">
        <is>
          <t>Business (B2B)</t>
        </is>
      </c>
      <c r="BF180" s="5" t="inlineStr">
        <is>
          <t>Legitimate interest (B2B) - assess per campaign; PECR: corporate subscribers</t>
        </is>
      </c>
      <c r="BG180" s="5" t="inlineStr"/>
      <c r="BH180" s="5" t="inlineStr">
        <is>
          <t>No</t>
        </is>
      </c>
      <c r="BI180" s="5" t="inlineStr">
        <is>
          <t>2026-09-16</t>
        </is>
      </c>
      <c r="BJ180" s="5" t="inlineStr">
        <is>
          <t>New</t>
        </is>
      </c>
      <c r="BK180" s="5" t="inlineStr">
        <is>
          <t>2026-09-16</t>
        </is>
      </c>
      <c r="BL180" s="5" t="inlineStr"/>
      <c r="BM180" s="5" t="inlineStr"/>
      <c r="BN180" s="5" t="inlineStr"/>
      <c r="BO180" s="5" t="inlineStr"/>
      <c r="BP180" s="5" t="inlineStr"/>
      <c r="BQ180" s="5" t="inlineStr"/>
    </row>
    <row r="181">
      <c r="A181" s="10" t="inlineStr">
        <is>
          <t>WY-0109</t>
        </is>
      </c>
      <c r="B181" s="10" t="inlineStr">
        <is>
          <t>WY-0109-01</t>
        </is>
      </c>
      <c r="C181" s="10" t="inlineStr"/>
      <c r="D181" s="10" t="inlineStr">
        <is>
          <t>Leeds Shisha Wholesale</t>
        </is>
      </c>
      <c r="E181" s="10" t="inlineStr">
        <is>
          <t>Leeds Shisha Wholesale</t>
        </is>
      </c>
      <c r="F181" s="10" t="inlineStr"/>
      <c r="G181" s="10" t="inlineStr">
        <is>
          <t>Smoke / Shisha Shop</t>
        </is>
      </c>
      <c r="H181" s="10" t="inlineStr">
        <is>
          <t>Shisha wholesale and retail supplier</t>
        </is>
      </c>
      <c r="I181" s="10" t="inlineStr">
        <is>
          <t>Independent</t>
        </is>
      </c>
      <c r="J181" s="10" t="inlineStr">
        <is>
          <t>1</t>
        </is>
      </c>
      <c r="K181" s="10" t="inlineStr"/>
      <c r="L181" s="10" t="inlineStr">
        <is>
          <t>https://www.facebook.com/p/Leeds-Shisha-Wholesale-100066917521496/</t>
        </is>
      </c>
      <c r="M181" s="10" t="inlineStr"/>
      <c r="N181" s="10" t="inlineStr"/>
      <c r="O181" s="10" t="inlineStr"/>
      <c r="P181" s="10" t="inlineStr"/>
      <c r="Q181" s="10" t="inlineStr">
        <is>
          <t>Leeds</t>
        </is>
      </c>
      <c r="R181" s="10" t="inlineStr">
        <is>
          <t>West Yorkshire</t>
        </is>
      </c>
      <c r="S181" s="10" t="inlineStr"/>
      <c r="T181" s="10" t="inlineStr">
        <is>
          <t>Yorkshire &amp; Humber</t>
        </is>
      </c>
      <c r="U181" s="10" t="inlineStr">
        <is>
          <t>England</t>
        </is>
      </c>
      <c r="V181" s="10" t="inlineStr"/>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shisha pipes; shisha flavours; coals; accessories</t>
        </is>
      </c>
      <c r="AL181" s="10" t="inlineStr"/>
      <c r="AM181" s="10" t="inlineStr">
        <is>
          <t>Smoke / Shisha Shop</t>
        </is>
      </c>
      <c r="AN181" s="10" t="inlineStr"/>
      <c r="AO181" s="10" t="inlineStr">
        <is>
          <t>Leeds-based wholesale and retail shisha supplier, delivers UK-wide; street address not published in sources found.</t>
        </is>
      </c>
      <c r="AP181" s="10" t="inlineStr">
        <is>
          <t>Medium</t>
        </is>
      </c>
      <c r="AQ181" s="10" t="inlineStr">
        <is>
          <t>Independent retailer; Core relevant category; Social presence</t>
        </is>
      </c>
      <c r="AR181" s="10" t="inlineStr">
        <is>
          <t>https://www.facebook.com/p/Leeds-Shisha-Wholesale-100066917521496/</t>
        </is>
      </c>
      <c r="AS181" s="10" t="inlineStr">
        <is>
          <t>https://leeds.cylex-uk.co.uk/company/leeds-shisha-wholesale-27498601.html</t>
        </is>
      </c>
      <c r="AT181" s="10" t="inlineStr">
        <is>
          <t>2</t>
        </is>
      </c>
      <c r="AU181" s="10" t="inlineStr">
        <is>
          <t>No</t>
        </is>
      </c>
      <c r="AV181" s="10" t="inlineStr">
        <is>
          <t>No</t>
        </is>
      </c>
      <c r="AW181" s="10" t="inlineStr">
        <is>
          <t>No</t>
        </is>
      </c>
      <c r="AX181" s="10" t="inlineStr">
        <is>
          <t>No</t>
        </is>
      </c>
      <c r="AY181" s="10" t="inlineStr">
        <is>
          <t>Not Found</t>
        </is>
      </c>
      <c r="AZ181" s="10" t="inlineStr">
        <is>
          <t>Not Found</t>
        </is>
      </c>
      <c r="BA181" s="10" t="inlineStr">
        <is>
          <t>2026-09-16</t>
        </is>
      </c>
      <c r="BB181" s="10" t="inlineStr">
        <is>
          <t>Requires Verification</t>
        </is>
      </c>
      <c r="BC181" s="10" t="inlineStr">
        <is>
          <t>Low</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2026-09-16</t>
        </is>
      </c>
      <c r="BJ181" s="10" t="inlineStr">
        <is>
          <t>New</t>
        </is>
      </c>
      <c r="BK181" s="10" t="inlineStr">
        <is>
          <t>2026-09-16</t>
        </is>
      </c>
      <c r="BL181" s="10" t="inlineStr"/>
      <c r="BM181" s="10" t="inlineStr"/>
      <c r="BN181" s="10" t="inlineStr"/>
      <c r="BO181" s="10" t="inlineStr"/>
      <c r="BP181" s="10" t="inlineStr"/>
      <c r="BQ181" s="10" t="inlineStr"/>
    </row>
    <row r="182">
      <c r="A182" s="5" t="inlineStr">
        <is>
          <t>WY-0110</t>
        </is>
      </c>
      <c r="B182" s="5" t="inlineStr">
        <is>
          <t>WY-0110-01</t>
        </is>
      </c>
      <c r="C182" s="5" t="inlineStr"/>
      <c r="D182" s="5" t="inlineStr">
        <is>
          <t>Liquid Mafia The King of Vapes</t>
        </is>
      </c>
      <c r="E182" s="5" t="inlineStr">
        <is>
          <t>Liquid Mafia</t>
        </is>
      </c>
      <c r="F182" s="5" t="inlineStr"/>
      <c r="G182" s="5" t="inlineStr">
        <is>
          <t>Vape Shop</t>
        </is>
      </c>
      <c r="H182" s="5" t="inlineStr">
        <is>
          <t>Vape retailer</t>
        </is>
      </c>
      <c r="I182" s="5" t="inlineStr">
        <is>
          <t>Independent</t>
        </is>
      </c>
      <c r="J182" s="5" t="inlineStr">
        <is>
          <t>1</t>
        </is>
      </c>
      <c r="K182" s="5" t="inlineStr"/>
      <c r="L182" s="5" t="inlineStr"/>
      <c r="M182" s="5" t="inlineStr">
        <is>
          <t>https://www.instagram.com/liquidmafiaofficial/</t>
        </is>
      </c>
      <c r="N182" s="5" t="inlineStr"/>
      <c r="O182" s="5" t="inlineStr">
        <is>
          <t>506 Huddersfield Road</t>
        </is>
      </c>
      <c r="P182" s="5" t="inlineStr">
        <is>
          <t>Ravensthorpe</t>
        </is>
      </c>
      <c r="Q182" s="5" t="inlineStr">
        <is>
          <t>Dewsbury</t>
        </is>
      </c>
      <c r="R182" s="5" t="inlineStr">
        <is>
          <t>West Yorkshire</t>
        </is>
      </c>
      <c r="S182" s="5" t="inlineStr">
        <is>
          <t>WF13 3ET</t>
        </is>
      </c>
      <c r="T182" s="5" t="inlineStr">
        <is>
          <t>Yorkshire &amp; Humber</t>
        </is>
      </c>
      <c r="U182" s="5" t="inlineStr">
        <is>
          <t>England</t>
        </is>
      </c>
      <c r="V182" s="5" t="inlineStr">
        <is>
          <t>07512 340800</t>
        </is>
      </c>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vape hardware; e-liquids; disposable vapes</t>
        </is>
      </c>
      <c r="AL182" s="5" t="inlineStr"/>
      <c r="AM182" s="5" t="inlineStr">
        <is>
          <t>Vape Shop</t>
        </is>
      </c>
      <c r="AN182" s="5" t="inlineStr"/>
      <c r="AO182" s="5" t="inlineStr">
        <is>
          <t>Open 10:30-22:00 daily. Instagram bio lists an alternative mobile 07746 183134.</t>
        </is>
      </c>
      <c r="AP182" s="5" t="inlineStr">
        <is>
          <t>Medium</t>
        </is>
      </c>
      <c r="AQ182" s="5" t="inlineStr">
        <is>
          <t>Independent retailer; Core relevant category; Social presence</t>
        </is>
      </c>
      <c r="AR182" s="5" t="inlineStr">
        <is>
          <t>https://www.instagram.com/liquidmafiaofficial/</t>
        </is>
      </c>
      <c r="AS182" s="5" t="inlineStr">
        <is>
          <t>https://vapemaps.co/england/west-yorkshire/dewsbury/liquid-mafia-the-king-of-vapes/8788</t>
        </is>
      </c>
      <c r="AT182" s="5" t="inlineStr">
        <is>
          <t>3</t>
        </is>
      </c>
      <c r="AU182" s="5" t="inlineStr">
        <is>
          <t>No</t>
        </is>
      </c>
      <c r="AV182" s="5" t="inlineStr">
        <is>
          <t>No</t>
        </is>
      </c>
      <c r="AW182" s="5" t="inlineStr">
        <is>
          <t>No</t>
        </is>
      </c>
      <c r="AX182" s="5" t="inlineStr">
        <is>
          <t>No</t>
        </is>
      </c>
      <c r="AY182" s="5" t="inlineStr">
        <is>
          <t>Verified directory</t>
        </is>
      </c>
      <c r="AZ182" s="5" t="inlineStr">
        <is>
          <t>Not Found</t>
        </is>
      </c>
      <c r="BA182" s="5" t="inlineStr">
        <is>
          <t>2026-09-16</t>
        </is>
      </c>
      <c r="BB182" s="5" t="inlineStr">
        <is>
          <t>Requires Verification</t>
        </is>
      </c>
      <c r="BC182" s="5" t="inlineStr">
        <is>
          <t>Medium</t>
        </is>
      </c>
      <c r="BD182" s="5" t="inlineStr"/>
      <c r="BE182" s="5" t="inlineStr">
        <is>
          <t>Business (B2B)</t>
        </is>
      </c>
      <c r="BF182" s="5" t="inlineStr">
        <is>
          <t>Legitimate interest (B2B) - assess per campaign; PECR: corporate subscribers</t>
        </is>
      </c>
      <c r="BG182" s="5" t="inlineStr"/>
      <c r="BH182" s="5" t="inlineStr">
        <is>
          <t>No</t>
        </is>
      </c>
      <c r="BI182" s="5" t="inlineStr">
        <is>
          <t>2026-09-16</t>
        </is>
      </c>
      <c r="BJ182" s="5" t="inlineStr">
        <is>
          <t>New</t>
        </is>
      </c>
      <c r="BK182" s="5" t="inlineStr">
        <is>
          <t>2026-09-16</t>
        </is>
      </c>
      <c r="BL182" s="5" t="inlineStr"/>
      <c r="BM182" s="5" t="inlineStr"/>
      <c r="BN182" s="5" t="inlineStr"/>
      <c r="BO182" s="5" t="inlineStr"/>
      <c r="BP182" s="5" t="inlineStr"/>
      <c r="BQ182" s="5" t="inlineStr"/>
    </row>
    <row r="183">
      <c r="A183" s="10" t="inlineStr">
        <is>
          <t>WY-0111</t>
        </is>
      </c>
      <c r="B183" s="10" t="inlineStr">
        <is>
          <t>WY-0111-01</t>
        </is>
      </c>
      <c r="C183" s="10" t="inlineStr"/>
      <c r="D183" s="10" t="inlineStr">
        <is>
          <t>Local Convenience Store (Elsinore Avenue)</t>
        </is>
      </c>
      <c r="E183" s="10" t="inlineStr">
        <is>
          <t>Local Convenience Store</t>
        </is>
      </c>
      <c r="F183" s="10" t="inlineStr"/>
      <c r="G183" s="10" t="inlineStr">
        <is>
          <t>Convenience Store</t>
        </is>
      </c>
      <c r="H183" s="10" t="inlineStr"/>
      <c r="I183" s="10" t="inlineStr">
        <is>
          <t>Independent</t>
        </is>
      </c>
      <c r="J183" s="10" t="inlineStr">
        <is>
          <t>1</t>
        </is>
      </c>
      <c r="K183" s="10" t="inlineStr"/>
      <c r="L183" s="10" t="inlineStr"/>
      <c r="M183" s="10" t="inlineStr"/>
      <c r="N183" s="10" t="inlineStr"/>
      <c r="O183" s="10" t="inlineStr">
        <is>
          <t>12 Elsinore Avenue</t>
        </is>
      </c>
      <c r="P183" s="10" t="inlineStr"/>
      <c r="Q183" s="10" t="inlineStr">
        <is>
          <t>Elland</t>
        </is>
      </c>
      <c r="R183" s="10" t="inlineStr">
        <is>
          <t>West Yorkshire</t>
        </is>
      </c>
      <c r="S183" s="10" t="inlineStr">
        <is>
          <t>HX5 0LT</t>
        </is>
      </c>
      <c r="T183" s="10" t="inlineStr">
        <is>
          <t>Yorkshire &amp; Humber</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convenience; food and wine</t>
        </is>
      </c>
      <c r="AL183" s="10" t="inlineStr"/>
      <c r="AM183" s="10" t="inlineStr">
        <is>
          <t>Convenience Store</t>
        </is>
      </c>
      <c r="AN183" s="10" t="inlineStr"/>
      <c r="AO183" s="10" t="inlineStr">
        <is>
          <t>Directory listing gives only the generic name 'Local Convenience Store'; actual trading name may differ - verify on the ground.</t>
        </is>
      </c>
      <c r="AP183" s="10" t="inlineStr">
        <is>
          <t>Low</t>
        </is>
      </c>
      <c r="AQ183" s="10" t="inlineStr">
        <is>
          <t>Independent retailer; Relevant category</t>
        </is>
      </c>
      <c r="AR183" s="10" t="inlineStr">
        <is>
          <t>https://www.yorkshire.com/elland/shopping/corner-shops</t>
        </is>
      </c>
      <c r="AS183" s="10" t="inlineStr"/>
      <c r="AT183" s="10" t="inlineStr">
        <is>
          <t>1</t>
        </is>
      </c>
      <c r="AU183" s="10" t="inlineStr">
        <is>
          <t>No</t>
        </is>
      </c>
      <c r="AV183" s="10" t="inlineStr">
        <is>
          <t>No</t>
        </is>
      </c>
      <c r="AW183" s="10" t="inlineStr">
        <is>
          <t>No</t>
        </is>
      </c>
      <c r="AX183" s="10" t="inlineStr">
        <is>
          <t>No</t>
        </is>
      </c>
      <c r="AY183" s="10" t="inlineStr">
        <is>
          <t>Not Found</t>
        </is>
      </c>
      <c r="AZ183" s="10" t="inlineStr">
        <is>
          <t>Not Found</t>
        </is>
      </c>
      <c r="BA183" s="10" t="inlineStr">
        <is>
          <t>2026-09-16</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2026-09-16</t>
        </is>
      </c>
      <c r="BJ183" s="10" t="inlineStr">
        <is>
          <t>New</t>
        </is>
      </c>
      <c r="BK183" s="10" t="inlineStr">
        <is>
          <t>2026-09-16</t>
        </is>
      </c>
      <c r="BL183" s="10" t="inlineStr"/>
      <c r="BM183" s="10" t="inlineStr"/>
      <c r="BN183" s="10" t="inlineStr"/>
      <c r="BO183" s="10" t="inlineStr"/>
      <c r="BP183" s="10" t="inlineStr"/>
      <c r="BQ183" s="10" t="inlineStr"/>
    </row>
    <row r="184">
      <c r="A184" s="5" t="inlineStr">
        <is>
          <t>WY-0112</t>
        </is>
      </c>
      <c r="B184" s="5" t="inlineStr">
        <is>
          <t>WY-0112-01</t>
        </is>
      </c>
      <c r="C184" s="5" t="inlineStr"/>
      <c r="D184" s="5" t="inlineStr">
        <is>
          <t>Local Express Off Licence</t>
        </is>
      </c>
      <c r="E184" s="5" t="inlineStr">
        <is>
          <t>Local Express Off Licence</t>
        </is>
      </c>
      <c r="F184" s="5" t="inlineStr"/>
      <c r="G184" s="5" t="inlineStr">
        <is>
          <t>Off-Licence</t>
        </is>
      </c>
      <c r="H184" s="5" t="inlineStr">
        <is>
          <t>Off-licence / beer store</t>
        </is>
      </c>
      <c r="I184" s="5" t="inlineStr">
        <is>
          <t>Independent</t>
        </is>
      </c>
      <c r="J184" s="5" t="inlineStr">
        <is>
          <t>1</t>
        </is>
      </c>
      <c r="K184" s="5" t="inlineStr"/>
      <c r="L184" s="5" t="inlineStr"/>
      <c r="M184" s="5" t="inlineStr"/>
      <c r="N184" s="5" t="inlineStr"/>
      <c r="O184" s="5" t="inlineStr">
        <is>
          <t>30 Common Road</t>
        </is>
      </c>
      <c r="P184" s="5" t="inlineStr"/>
      <c r="Q184" s="5" t="inlineStr">
        <is>
          <t>Batley</t>
        </is>
      </c>
      <c r="R184" s="5" t="inlineStr">
        <is>
          <t>West Yorkshire</t>
        </is>
      </c>
      <c r="S184" s="5" t="inlineStr"/>
      <c r="T184" s="5" t="inlineStr">
        <is>
          <t>Yorkshire &amp; Humber</t>
        </is>
      </c>
      <c r="U184" s="5" t="inlineStr">
        <is>
          <t>England</t>
        </is>
      </c>
      <c r="V184" s="5" t="inlineStr"/>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alcohol; convenience goods</t>
        </is>
      </c>
      <c r="AL184" s="5" t="inlineStr"/>
      <c r="AM184" s="5" t="inlineStr">
        <is>
          <t>Off-Licence</t>
        </is>
      </c>
      <c r="AN184" s="5" t="inlineStr"/>
      <c r="AO184" s="5" t="inlineStr"/>
      <c r="AP184" s="5" t="inlineStr">
        <is>
          <t>Low</t>
        </is>
      </c>
      <c r="AQ184" s="5" t="inlineStr">
        <is>
          <t>Independent retailer; Relevant category</t>
        </is>
      </c>
      <c r="AR184" s="5" t="inlineStr">
        <is>
          <t>https://www.bigreddirectory.com/local-express-off-licence-batley</t>
        </is>
      </c>
      <c r="AS184" s="5" t="inlineStr"/>
      <c r="AT184" s="5" t="inlineStr">
        <is>
          <t>1</t>
        </is>
      </c>
      <c r="AU184" s="5" t="inlineStr">
        <is>
          <t>No</t>
        </is>
      </c>
      <c r="AV184" s="5" t="inlineStr">
        <is>
          <t>No</t>
        </is>
      </c>
      <c r="AW184" s="5" t="inlineStr">
        <is>
          <t>No</t>
        </is>
      </c>
      <c r="AX184" s="5" t="inlineStr">
        <is>
          <t>No</t>
        </is>
      </c>
      <c r="AY184" s="5" t="inlineStr">
        <is>
          <t>Not Found</t>
        </is>
      </c>
      <c r="AZ184" s="5" t="inlineStr">
        <is>
          <t>Not Found</t>
        </is>
      </c>
      <c r="BA184" s="5" t="inlineStr">
        <is>
          <t>2026-09-16</t>
        </is>
      </c>
      <c r="BB184" s="5" t="inlineStr">
        <is>
          <t>Requires Verification</t>
        </is>
      </c>
      <c r="BC184" s="5" t="inlineStr">
        <is>
          <t>Low</t>
        </is>
      </c>
      <c r="BD184" s="5" t="inlineStr"/>
      <c r="BE184" s="5" t="inlineStr">
        <is>
          <t>Business (B2B)</t>
        </is>
      </c>
      <c r="BF184" s="5" t="inlineStr">
        <is>
          <t>Legitimate interest (B2B) - assess per campaign; PECR: corporate subscribers</t>
        </is>
      </c>
      <c r="BG184" s="5" t="inlineStr"/>
      <c r="BH184" s="5" t="inlineStr">
        <is>
          <t>No</t>
        </is>
      </c>
      <c r="BI184" s="5" t="inlineStr">
        <is>
          <t>2026-09-16</t>
        </is>
      </c>
      <c r="BJ184" s="5" t="inlineStr">
        <is>
          <t>New</t>
        </is>
      </c>
      <c r="BK184" s="5" t="inlineStr">
        <is>
          <t>2026-09-16</t>
        </is>
      </c>
      <c r="BL184" s="5" t="inlineStr"/>
      <c r="BM184" s="5" t="inlineStr"/>
      <c r="BN184" s="5" t="inlineStr"/>
      <c r="BO184" s="5" t="inlineStr"/>
      <c r="BP184" s="5" t="inlineStr"/>
      <c r="BQ184" s="5" t="inlineStr"/>
    </row>
    <row r="185">
      <c r="A185" s="10" t="inlineStr">
        <is>
          <t>WY-0113</t>
        </is>
      </c>
      <c r="B185" s="10" t="inlineStr">
        <is>
          <t>WY-0113-01</t>
        </is>
      </c>
      <c r="C185" s="10" t="inlineStr"/>
      <c r="D185" s="10" t="inlineStr">
        <is>
          <t>Londis Normanton (313 Castleford Road)</t>
        </is>
      </c>
      <c r="E185" s="10" t="inlineStr">
        <is>
          <t>Londis</t>
        </is>
      </c>
      <c r="F185" s="10" t="inlineStr"/>
      <c r="G185" s="10" t="inlineStr">
        <is>
          <t>Convenience Store</t>
        </is>
      </c>
      <c r="H185" s="10" t="inlineStr">
        <is>
          <t>Convenience store with off-licence</t>
        </is>
      </c>
      <c r="I185" s="10" t="inlineStr">
        <is>
          <t>Franchise / Symbol Group</t>
        </is>
      </c>
      <c r="J185" s="10" t="inlineStr">
        <is>
          <t>1</t>
        </is>
      </c>
      <c r="K185" s="10" t="inlineStr">
        <is>
          <t>https://www.londis.co.uk/our-stores/londis-normanton</t>
        </is>
      </c>
      <c r="L185" s="10" t="inlineStr"/>
      <c r="M185" s="10" t="inlineStr"/>
      <c r="N185" s="10" t="inlineStr"/>
      <c r="O185" s="10" t="inlineStr">
        <is>
          <t>313 Castleford Road</t>
        </is>
      </c>
      <c r="P185" s="10" t="inlineStr"/>
      <c r="Q185" s="10" t="inlineStr">
        <is>
          <t>Normanton</t>
        </is>
      </c>
      <c r="R185" s="10" t="inlineStr">
        <is>
          <t>West Yorkshire</t>
        </is>
      </c>
      <c r="S185" s="10" t="inlineStr">
        <is>
          <t>WF6 2HL</t>
        </is>
      </c>
      <c r="T185" s="10" t="inlineStr">
        <is>
          <t>Yorkshire &amp; Humber</t>
        </is>
      </c>
      <c r="U185" s="10" t="inlineStr">
        <is>
          <t>England</t>
        </is>
      </c>
      <c r="V185" s="10" t="inlineStr">
        <is>
          <t>01924 892113</t>
        </is>
      </c>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grocery; confectionery; beers, wines and spirits; food to go</t>
        </is>
      </c>
      <c r="AL185" s="10" t="inlineStr"/>
      <c r="AM185" s="10" t="inlineStr">
        <is>
          <t>Convenience Store</t>
        </is>
      </c>
      <c r="AN185" s="10" t="inlineStr">
        <is>
          <t>Londis symbol group (Booker/Tesco supply)</t>
        </is>
      </c>
      <c r="AO185" s="10" t="inlineStr">
        <is>
          <t>Independently owned symbol-group store. NOTE: a second Londis store page exists for Castleford Road, Normanton WF6 2DW (separate record) - both appear on the Londis official store finder with different postcodes and phone numbers.</t>
        </is>
      </c>
      <c r="AP185" s="10" t="inlineStr">
        <is>
          <t>Medium</t>
        </is>
      </c>
      <c r="AQ185" s="10" t="inlineStr">
        <is>
          <t>Independent retailer; Relevant category; Active website; Phone verified on official website</t>
        </is>
      </c>
      <c r="AR185" s="10" t="inlineStr">
        <is>
          <t>https://www.londis.co.uk/our-stores/londis-normanton</t>
        </is>
      </c>
      <c r="AS185" s="10" t="inlineStr"/>
      <c r="AT185" s="10" t="inlineStr">
        <is>
          <t>1</t>
        </is>
      </c>
      <c r="AU185" s="10" t="inlineStr">
        <is>
          <t>No</t>
        </is>
      </c>
      <c r="AV185" s="10" t="inlineStr">
        <is>
          <t>No</t>
        </is>
      </c>
      <c r="AW185" s="10" t="inlineStr">
        <is>
          <t>No</t>
        </is>
      </c>
      <c r="AX185" s="10" t="inlineStr">
        <is>
          <t>No</t>
        </is>
      </c>
      <c r="AY185" s="10" t="inlineStr">
        <is>
          <t>Verified on official website</t>
        </is>
      </c>
      <c r="AZ185" s="10" t="inlineStr">
        <is>
          <t>Not Found</t>
        </is>
      </c>
      <c r="BA185" s="10" t="inlineStr">
        <is>
          <t>2026-09-16</t>
        </is>
      </c>
      <c r="BB185" s="10" t="inlineStr">
        <is>
          <t>Requires Verification</t>
        </is>
      </c>
      <c r="BC185" s="10" t="inlineStr">
        <is>
          <t>Medium</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2026-09-16</t>
        </is>
      </c>
      <c r="BL185" s="10" t="inlineStr"/>
      <c r="BM185" s="10" t="inlineStr"/>
      <c r="BN185" s="10" t="inlineStr"/>
      <c r="BO185" s="10" t="inlineStr"/>
      <c r="BP185" s="10" t="inlineStr"/>
      <c r="BQ185" s="10" t="inlineStr"/>
    </row>
    <row r="186">
      <c r="A186" s="5" t="inlineStr">
        <is>
          <t>WY-0114</t>
        </is>
      </c>
      <c r="B186" s="5" t="inlineStr">
        <is>
          <t>WY-0114-01</t>
        </is>
      </c>
      <c r="C186" s="5" t="inlineStr"/>
      <c r="D186" s="5" t="inlineStr">
        <is>
          <t>Londis Normanton (Castleford Road, WF6 2DW)</t>
        </is>
      </c>
      <c r="E186" s="5" t="inlineStr">
        <is>
          <t>Londis</t>
        </is>
      </c>
      <c r="F186" s="5" t="inlineStr"/>
      <c r="G186" s="5" t="inlineStr">
        <is>
          <t>Convenience Store</t>
        </is>
      </c>
      <c r="H186" s="5" t="inlineStr">
        <is>
          <t>Convenience store with off-licence</t>
        </is>
      </c>
      <c r="I186" s="5" t="inlineStr">
        <is>
          <t>Franchise / Symbol Group</t>
        </is>
      </c>
      <c r="J186" s="5" t="inlineStr">
        <is>
          <t>1</t>
        </is>
      </c>
      <c r="K186" s="5" t="inlineStr">
        <is>
          <t>https://www.londis.co.uk/our-stores/normanton</t>
        </is>
      </c>
      <c r="L186" s="5" t="inlineStr"/>
      <c r="M186" s="5" t="inlineStr"/>
      <c r="N186" s="5" t="inlineStr"/>
      <c r="O186" s="5" t="inlineStr">
        <is>
          <t>Castleford Road</t>
        </is>
      </c>
      <c r="P186" s="5" t="inlineStr"/>
      <c r="Q186" s="5" t="inlineStr">
        <is>
          <t>Normanton</t>
        </is>
      </c>
      <c r="R186" s="5" t="inlineStr">
        <is>
          <t>West Yorkshire</t>
        </is>
      </c>
      <c r="S186" s="5" t="inlineStr">
        <is>
          <t>WF6 2DW</t>
        </is>
      </c>
      <c r="T186" s="5" t="inlineStr">
        <is>
          <t>Yorkshire &amp; Humber</t>
        </is>
      </c>
      <c r="U186" s="5" t="inlineStr">
        <is>
          <t>England</t>
        </is>
      </c>
      <c r="V186" s="5" t="inlineStr">
        <is>
          <t>01924 890438</t>
        </is>
      </c>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grocery; confectionery; beers, wines and spirits; fresh produce; food to go</t>
        </is>
      </c>
      <c r="AL186" s="5" t="inlineStr"/>
      <c r="AM186" s="5" t="inlineStr">
        <is>
          <t>Convenience Store</t>
        </is>
      </c>
      <c r="AN186" s="5" t="inlineStr">
        <is>
          <t>Londis symbol group (Booker/Tesco supply)</t>
        </is>
      </c>
      <c r="AO186" s="5" t="inlineStr">
        <is>
          <t>Independently owned symbol-group store. Listed on the Londis official store finder separately from the 313 Castleford Road WF6 2HL store; different postcode and phone. Flag for dedupe check on merge.</t>
        </is>
      </c>
      <c r="AP186" s="5" t="inlineStr">
        <is>
          <t>Medium</t>
        </is>
      </c>
      <c r="AQ186" s="5" t="inlineStr">
        <is>
          <t>Independent retailer; Relevant category; Active website; Phone verified on official website</t>
        </is>
      </c>
      <c r="AR186" s="5" t="inlineStr">
        <is>
          <t>https://www.londis.co.uk/our-stores/normanton</t>
        </is>
      </c>
      <c r="AS186" s="5" t="inlineStr"/>
      <c r="AT186" s="5" t="inlineStr">
        <is>
          <t>1</t>
        </is>
      </c>
      <c r="AU186" s="5" t="inlineStr">
        <is>
          <t>No</t>
        </is>
      </c>
      <c r="AV186" s="5" t="inlineStr">
        <is>
          <t>No</t>
        </is>
      </c>
      <c r="AW186" s="5" t="inlineStr">
        <is>
          <t>No</t>
        </is>
      </c>
      <c r="AX186" s="5" t="inlineStr">
        <is>
          <t>No</t>
        </is>
      </c>
      <c r="AY186" s="5" t="inlineStr">
        <is>
          <t>Verified on official website</t>
        </is>
      </c>
      <c r="AZ186" s="5" t="inlineStr">
        <is>
          <t>Not Found</t>
        </is>
      </c>
      <c r="BA186" s="5" t="inlineStr">
        <is>
          <t>2026-09-16</t>
        </is>
      </c>
      <c r="BB186" s="5" t="inlineStr">
        <is>
          <t>Requires Verification</t>
        </is>
      </c>
      <c r="BC186" s="5" t="inlineStr">
        <is>
          <t>Medium</t>
        </is>
      </c>
      <c r="BD186" s="5" t="inlineStr"/>
      <c r="BE186" s="5" t="inlineStr">
        <is>
          <t>Business (B2B)</t>
        </is>
      </c>
      <c r="BF186" s="5" t="inlineStr">
        <is>
          <t>Legitimate interest (B2B) - assess per campaign; PECR: corporate subscribers</t>
        </is>
      </c>
      <c r="BG186" s="5" t="inlineStr"/>
      <c r="BH186" s="5" t="inlineStr">
        <is>
          <t>No</t>
        </is>
      </c>
      <c r="BI186" s="5" t="inlineStr">
        <is>
          <t>2026-09-16</t>
        </is>
      </c>
      <c r="BJ186" s="5" t="inlineStr">
        <is>
          <t>New</t>
        </is>
      </c>
      <c r="BK186" s="5" t="inlineStr">
        <is>
          <t>2026-09-16</t>
        </is>
      </c>
      <c r="BL186" s="5" t="inlineStr"/>
      <c r="BM186" s="5" t="inlineStr"/>
      <c r="BN186" s="5" t="inlineStr"/>
      <c r="BO186" s="5" t="inlineStr"/>
      <c r="BP186" s="5" t="inlineStr"/>
      <c r="BQ186" s="5" t="inlineStr"/>
    </row>
    <row r="187">
      <c r="A187" s="10" t="inlineStr">
        <is>
          <t>WY-0115</t>
        </is>
      </c>
      <c r="B187" s="10" t="inlineStr">
        <is>
          <t>WY-0115-01</t>
        </is>
      </c>
      <c r="C187" s="10" t="inlineStr"/>
      <c r="D187" s="10" t="inlineStr">
        <is>
          <t>Londis Ravensthorpe</t>
        </is>
      </c>
      <c r="E187" s="10" t="inlineStr">
        <is>
          <t>Londis Ravensthorpe</t>
        </is>
      </c>
      <c r="F187" s="10" t="inlineStr"/>
      <c r="G187" s="10" t="inlineStr">
        <is>
          <t>Convenience Store</t>
        </is>
      </c>
      <c r="H187" s="10" t="inlineStr">
        <is>
          <t>Londis symbol group convenience store</t>
        </is>
      </c>
      <c r="I187" s="10" t="inlineStr">
        <is>
          <t>Franchise / Symbol Group</t>
        </is>
      </c>
      <c r="J187" s="10" t="inlineStr">
        <is>
          <t>1</t>
        </is>
      </c>
      <c r="K187" s="10" t="inlineStr">
        <is>
          <t>https://www.londis.co.uk/our-stores/londis-ravensthorpe</t>
        </is>
      </c>
      <c r="L187" s="10" t="inlineStr"/>
      <c r="M187" s="10" t="inlineStr"/>
      <c r="N187" s="10" t="inlineStr"/>
      <c r="O187" s="10" t="inlineStr"/>
      <c r="P187" s="10" t="inlineStr">
        <is>
          <t>Ravensthorpe</t>
        </is>
      </c>
      <c r="Q187" s="10" t="inlineStr">
        <is>
          <t>Dewsbury</t>
        </is>
      </c>
      <c r="R187" s="10" t="inlineStr">
        <is>
          <t>West Yorkshire</t>
        </is>
      </c>
      <c r="S187" s="10" t="inlineStr">
        <is>
          <t>WF13 3JE</t>
        </is>
      </c>
      <c r="T187" s="10" t="inlineStr">
        <is>
          <t>Yorkshire &amp; Humber</t>
        </is>
      </c>
      <c r="U187" s="10" t="inlineStr">
        <is>
          <t>England</t>
        </is>
      </c>
      <c r="V187" s="10" t="inlineStr">
        <is>
          <t>01924 461300</t>
        </is>
      </c>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convenience goods; alcohol; tobacco; groceries</t>
        </is>
      </c>
      <c r="AL187" s="10" t="inlineStr"/>
      <c r="AM187" s="10" t="inlineStr">
        <is>
          <t>Convenience Store</t>
        </is>
      </c>
      <c r="AN187" s="10" t="inlineStr">
        <is>
          <t>Londis (Booker) symbol group</t>
        </is>
      </c>
      <c r="AO187" s="10" t="inlineStr">
        <is>
          <t>Independently owned store under the Londis fascia, listed on the official Londis store locator for Ravensthorpe, Dewsbury; street address not captured (page fetch blocked).</t>
        </is>
      </c>
      <c r="AP187" s="10" t="inlineStr">
        <is>
          <t>Medium</t>
        </is>
      </c>
      <c r="AQ187" s="10" t="inlineStr">
        <is>
          <t>Independent retailer; Relevant category; Active website</t>
        </is>
      </c>
      <c r="AR187" s="10" t="inlineStr">
        <is>
          <t>https://www.londis.co.uk/our-stores/londis-ravensthorpe</t>
        </is>
      </c>
      <c r="AS187" s="10" t="inlineStr">
        <is>
          <t>https://directory.gazettelive.co.uk/company/999b46611b8a8afc4d77d779e9c8dcf7</t>
        </is>
      </c>
      <c r="AT187" s="10" t="inlineStr">
        <is>
          <t>2</t>
        </is>
      </c>
      <c r="AU187" s="10" t="inlineStr">
        <is>
          <t>No</t>
        </is>
      </c>
      <c r="AV187" s="10" t="inlineStr">
        <is>
          <t>No</t>
        </is>
      </c>
      <c r="AW187" s="10" t="inlineStr">
        <is>
          <t>No</t>
        </is>
      </c>
      <c r="AX187" s="10" t="inlineStr">
        <is>
          <t>No</t>
        </is>
      </c>
      <c r="AY187" s="10" t="inlineStr">
        <is>
          <t>Verified directory</t>
        </is>
      </c>
      <c r="AZ187" s="10" t="inlineStr">
        <is>
          <t>Not Found</t>
        </is>
      </c>
      <c r="BA187" s="10" t="inlineStr">
        <is>
          <t>2026-09-16</t>
        </is>
      </c>
      <c r="BB187" s="10" t="inlineStr">
        <is>
          <t>Requires Verification</t>
        </is>
      </c>
      <c r="BC187" s="10" t="inlineStr">
        <is>
          <t>Medium</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2026-09-16</t>
        </is>
      </c>
      <c r="BJ187" s="10" t="inlineStr">
        <is>
          <t>New</t>
        </is>
      </c>
      <c r="BK187" s="10" t="inlineStr">
        <is>
          <t>2026-09-16</t>
        </is>
      </c>
      <c r="BL187" s="10" t="inlineStr"/>
      <c r="BM187" s="10" t="inlineStr"/>
      <c r="BN187" s="10" t="inlineStr"/>
      <c r="BO187" s="10" t="inlineStr"/>
      <c r="BP187" s="10" t="inlineStr"/>
      <c r="BQ187" s="10" t="inlineStr"/>
    </row>
    <row r="188">
      <c r="A188" s="5" t="inlineStr">
        <is>
          <t>UK-000265</t>
        </is>
      </c>
      <c r="B188" s="5" t="inlineStr">
        <is>
          <t>UK-000265-01</t>
        </is>
      </c>
      <c r="C188" s="5" t="inlineStr"/>
      <c r="D188" s="5" t="inlineStr">
        <is>
          <t>Lounge 418</t>
        </is>
      </c>
      <c r="E188" s="5" t="inlineStr">
        <is>
          <t>Lounge 418</t>
        </is>
      </c>
      <c r="F188" s="5" t="inlineStr"/>
      <c r="G188" s="5" t="inlineStr">
        <is>
          <t>Smoke / Shisha Shop</t>
        </is>
      </c>
      <c r="H188" s="5" t="inlineStr">
        <is>
          <t>Middle Eastern restaurant and shisha bar</t>
        </is>
      </c>
      <c r="I188" s="5" t="inlineStr">
        <is>
          <t>Independent</t>
        </is>
      </c>
      <c r="J188" s="5" t="inlineStr">
        <is>
          <t>1</t>
        </is>
      </c>
      <c r="K188" s="5" t="inlineStr">
        <is>
          <t>https://www.lounge418.co.uk/</t>
        </is>
      </c>
      <c r="L188" s="5" t="inlineStr"/>
      <c r="M188" s="5" t="inlineStr"/>
      <c r="N188" s="5" t="inlineStr"/>
      <c r="O188" s="5" t="inlineStr"/>
      <c r="P188" s="5" t="inlineStr"/>
      <c r="Q188" s="5" t="inlineStr">
        <is>
          <t>Sheffield</t>
        </is>
      </c>
      <c r="R188" s="5" t="inlineStr">
        <is>
          <t>South Yorkshire</t>
        </is>
      </c>
      <c r="S188" s="5" t="inlineStr"/>
      <c r="T188" s="5" t="inlineStr">
        <is>
          <t>Yorkshire &amp; Humber</t>
        </is>
      </c>
      <c r="U188" s="5" t="inlineStr">
        <is>
          <t>England</t>
        </is>
      </c>
      <c r="V188" s="5" t="inlineStr"/>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shisha; cocktails; Middle Eastern food</t>
        </is>
      </c>
      <c r="AL188" s="5" t="inlineStr"/>
      <c r="AM188" s="5" t="inlineStr">
        <is>
          <t>Smoke / Shisha Shop</t>
        </is>
      </c>
      <c r="AN188" s="5" t="inlineStr"/>
      <c r="AO188" s="5" t="inlineStr">
        <is>
          <t>Independent Middle Eastern restaurant and bar offering shisha, Sheffield. Own website found; address/postcode not captured.</t>
        </is>
      </c>
      <c r="AP188" s="5" t="inlineStr">
        <is>
          <t>Medium</t>
        </is>
      </c>
      <c r="AQ188" s="5" t="inlineStr">
        <is>
          <t>Independent retailer; Core relevant category; Active website</t>
        </is>
      </c>
      <c r="AR188" s="5" t="inlineStr">
        <is>
          <t>https://www.lounge418.co.uk/</t>
        </is>
      </c>
      <c r="AS188" s="5" t="inlineStr"/>
      <c r="AT188" s="5" t="inlineStr">
        <is>
          <t>1</t>
        </is>
      </c>
      <c r="AU188" s="5" t="inlineStr">
        <is>
          <t>No</t>
        </is>
      </c>
      <c r="AV188" s="5" t="inlineStr">
        <is>
          <t>No</t>
        </is>
      </c>
      <c r="AW188" s="5" t="inlineStr">
        <is>
          <t>No</t>
        </is>
      </c>
      <c r="AX188" s="5" t="inlineStr">
        <is>
          <t>No</t>
        </is>
      </c>
      <c r="AY188" s="5" t="inlineStr">
        <is>
          <t>Not Found</t>
        </is>
      </c>
      <c r="AZ188" s="5" t="inlineStr">
        <is>
          <t>Website Found</t>
        </is>
      </c>
      <c r="BA188" s="5" t="inlineStr">
        <is>
          <t>2026-09-16</t>
        </is>
      </c>
      <c r="BB188" s="5" t="inlineStr">
        <is>
          <t>Requires Verification</t>
        </is>
      </c>
      <c r="BC188" s="5" t="inlineStr">
        <is>
          <t>Low</t>
        </is>
      </c>
      <c r="BD188" s="5" t="inlineStr"/>
      <c r="BE188" s="5" t="inlineStr">
        <is>
          <t>Business (B2B)</t>
        </is>
      </c>
      <c r="BF188" s="5" t="inlineStr">
        <is>
          <t>Legitimate interest (B2B) - assess per campaign; PECR: corporate subscribers</t>
        </is>
      </c>
      <c r="BG188" s="5" t="inlineStr"/>
      <c r="BH188" s="5" t="inlineStr">
        <is>
          <t>No</t>
        </is>
      </c>
      <c r="BI188" s="5" t="inlineStr">
        <is>
          <t>2026-09-16</t>
        </is>
      </c>
      <c r="BJ188" s="5" t="inlineStr">
        <is>
          <t>New</t>
        </is>
      </c>
      <c r="BK188" s="5" t="inlineStr">
        <is>
          <t>2026-09-16</t>
        </is>
      </c>
      <c r="BL188" s="5" t="inlineStr"/>
      <c r="BM188" s="5" t="inlineStr"/>
      <c r="BN188" s="5" t="inlineStr"/>
      <c r="BO188" s="5" t="inlineStr"/>
      <c r="BP188" s="5" t="inlineStr"/>
      <c r="BQ188" s="5" t="inlineStr"/>
    </row>
    <row r="189">
      <c r="A189" s="10" t="inlineStr">
        <is>
          <t>WY-0116</t>
        </is>
      </c>
      <c r="B189" s="10" t="inlineStr">
        <is>
          <t>WY-0116-01</t>
        </is>
      </c>
      <c r="C189" s="10" t="inlineStr"/>
      <c r="D189" s="10" t="inlineStr">
        <is>
          <t>Low Lane Convenience Store (Premier)</t>
        </is>
      </c>
      <c r="E189" s="10" t="inlineStr">
        <is>
          <t>Low Lane Convenience Store</t>
        </is>
      </c>
      <c r="F189" s="10" t="inlineStr"/>
      <c r="G189" s="10" t="inlineStr">
        <is>
          <t>Convenience Store</t>
        </is>
      </c>
      <c r="H189" s="10" t="inlineStr">
        <is>
          <t>Premier symbol group convenience store</t>
        </is>
      </c>
      <c r="I189" s="10" t="inlineStr">
        <is>
          <t>Franchise / Symbol Group</t>
        </is>
      </c>
      <c r="J189" s="10" t="inlineStr">
        <is>
          <t>1</t>
        </is>
      </c>
      <c r="K189" s="10" t="inlineStr">
        <is>
          <t>https://www.premier-stores.co.uk/our-stores/low-lane-convenience-store</t>
        </is>
      </c>
      <c r="L189" s="10" t="inlineStr"/>
      <c r="M189" s="10" t="inlineStr"/>
      <c r="N189" s="10" t="inlineStr"/>
      <c r="O189" s="10" t="inlineStr">
        <is>
          <t>6 Low Lane</t>
        </is>
      </c>
      <c r="P189" s="10" t="inlineStr">
        <is>
          <t>Birstall</t>
        </is>
      </c>
      <c r="Q189" s="10" t="inlineStr">
        <is>
          <t>Batley</t>
        </is>
      </c>
      <c r="R189" s="10" t="inlineStr">
        <is>
          <t>West Yorkshire</t>
        </is>
      </c>
      <c r="S189" s="10" t="inlineStr">
        <is>
          <t>WF17 9EY</t>
        </is>
      </c>
      <c r="T189" s="10" t="inlineStr">
        <is>
          <t>Yorkshire &amp; Humber</t>
        </is>
      </c>
      <c r="U189" s="10" t="inlineStr">
        <is>
          <t>England</t>
        </is>
      </c>
      <c r="V189" s="10" t="inlineStr"/>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convenience goods; alcohol; tobacco; groceries</t>
        </is>
      </c>
      <c r="AL189" s="10" t="inlineStr"/>
      <c r="AM189" s="10" t="inlineStr">
        <is>
          <t>Convenience Store</t>
        </is>
      </c>
      <c r="AN189" s="10" t="inlineStr">
        <is>
          <t>Premier (Booker) symbol group</t>
        </is>
      </c>
      <c r="AO189" s="10" t="inlineStr">
        <is>
          <t>Independently owned store trading under the Premier fascia; listed on the official Premier Stores locator.</t>
        </is>
      </c>
      <c r="AP189" s="10" t="inlineStr">
        <is>
          <t>Medium</t>
        </is>
      </c>
      <c r="AQ189" s="10" t="inlineStr">
        <is>
          <t>Independent retailer; Relevant category; Active website</t>
        </is>
      </c>
      <c r="AR189" s="10" t="inlineStr">
        <is>
          <t>https://www.premier-stores.co.uk/our-stores/low-lane-convenience-store</t>
        </is>
      </c>
      <c r="AS189" s="10" t="inlineStr"/>
      <c r="AT189" s="10" t="inlineStr">
        <is>
          <t>1</t>
        </is>
      </c>
      <c r="AU189" s="10" t="inlineStr">
        <is>
          <t>No</t>
        </is>
      </c>
      <c r="AV189" s="10" t="inlineStr">
        <is>
          <t>No</t>
        </is>
      </c>
      <c r="AW189" s="10" t="inlineStr">
        <is>
          <t>No</t>
        </is>
      </c>
      <c r="AX189" s="10" t="inlineStr">
        <is>
          <t>No</t>
        </is>
      </c>
      <c r="AY189" s="10" t="inlineStr">
        <is>
          <t>Not Found</t>
        </is>
      </c>
      <c r="AZ189" s="10" t="inlineStr">
        <is>
          <t>Not Found</t>
        </is>
      </c>
      <c r="BA189" s="10" t="inlineStr">
        <is>
          <t>2026-09-16</t>
        </is>
      </c>
      <c r="BB189" s="10" t="inlineStr">
        <is>
          <t>Requires Verification</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2026-09-16</t>
        </is>
      </c>
      <c r="BJ189" s="10" t="inlineStr">
        <is>
          <t>New</t>
        </is>
      </c>
      <c r="BK189" s="10" t="inlineStr">
        <is>
          <t>2026-09-16</t>
        </is>
      </c>
      <c r="BL189" s="10" t="inlineStr"/>
      <c r="BM189" s="10" t="inlineStr"/>
      <c r="BN189" s="10" t="inlineStr"/>
      <c r="BO189" s="10" t="inlineStr"/>
      <c r="BP189" s="10" t="inlineStr"/>
      <c r="BQ189" s="10" t="inlineStr"/>
    </row>
    <row r="190">
      <c r="A190" s="5" t="inlineStr">
        <is>
          <t>WY-0117</t>
        </is>
      </c>
      <c r="B190" s="5" t="inlineStr">
        <is>
          <t>WY-0117-01</t>
        </is>
      </c>
      <c r="C190" s="5" t="inlineStr"/>
      <c r="D190" s="5" t="inlineStr">
        <is>
          <t>Mace News &amp; Off Licence</t>
        </is>
      </c>
      <c r="E190" s="5" t="inlineStr">
        <is>
          <t>Mace News &amp; Off Licence</t>
        </is>
      </c>
      <c r="F190" s="5" t="inlineStr"/>
      <c r="G190" s="5" t="inlineStr">
        <is>
          <t>Newsagent</t>
        </is>
      </c>
      <c r="H190" s="5" t="inlineStr">
        <is>
          <t>Newsagent with off-licence</t>
        </is>
      </c>
      <c r="I190" s="5" t="inlineStr">
        <is>
          <t>Franchise / Symbol Group</t>
        </is>
      </c>
      <c r="J190" s="5" t="inlineStr">
        <is>
          <t>1</t>
        </is>
      </c>
      <c r="K190" s="5" t="inlineStr"/>
      <c r="L190" s="5" t="inlineStr"/>
      <c r="M190" s="5" t="inlineStr"/>
      <c r="N190" s="5" t="inlineStr"/>
      <c r="O190" s="5" t="inlineStr">
        <is>
          <t>Otley Road</t>
        </is>
      </c>
      <c r="P190" s="5" t="inlineStr">
        <is>
          <t>Baildon</t>
        </is>
      </c>
      <c r="Q190" s="5" t="inlineStr">
        <is>
          <t>Shipley</t>
        </is>
      </c>
      <c r="R190" s="5" t="inlineStr">
        <is>
          <t>West Yorkshire</t>
        </is>
      </c>
      <c r="S190" s="5" t="inlineStr"/>
      <c r="T190" s="5" t="inlineStr">
        <is>
          <t>Yorkshire &amp; Humber</t>
        </is>
      </c>
      <c r="U190" s="5" t="inlineStr">
        <is>
          <t>England</t>
        </is>
      </c>
      <c r="V190" s="5" t="inlineStr"/>
      <c r="W190" s="5" t="inlineStr"/>
      <c r="X190" s="5" t="inlineStr"/>
      <c r="Y190" s="5" t="inlineStr"/>
      <c r="Z190" s="5" t="inlineStr"/>
      <c r="AA190" s="5" t="inlineStr"/>
      <c r="AB190" s="5" t="inlineStr"/>
      <c r="AC190" s="5" t="inlineStr"/>
      <c r="AD190" s="5" t="inlineStr"/>
      <c r="AE190" s="5" t="inlineStr"/>
      <c r="AF190" s="5" t="inlineStr"/>
      <c r="AG190" s="5" t="inlineStr"/>
      <c r="AH190" s="5" t="inlineStr"/>
      <c r="AI190" s="5" t="inlineStr"/>
      <c r="AJ190" s="5" t="inlineStr"/>
      <c r="AK190" s="5" t="inlineStr">
        <is>
          <t>news; magazines; alcohol; convenience lines</t>
        </is>
      </c>
      <c r="AL190" s="5" t="inlineStr"/>
      <c r="AM190" s="5" t="inlineStr">
        <is>
          <t>Newsagent</t>
        </is>
      </c>
      <c r="AN190" s="5" t="inlineStr"/>
      <c r="AO190" s="5" t="inlineStr">
        <is>
          <t>Independently owned Mace symbol-group newsagent/off-licence on Otley Road, Baildon. Open daily 9am-9pm per listing snippet.</t>
        </is>
      </c>
      <c r="AP190" s="5" t="inlineStr">
        <is>
          <t>Low</t>
        </is>
      </c>
      <c r="AQ190" s="5" t="inlineStr">
        <is>
          <t>Independent retailer; Relevant category</t>
        </is>
      </c>
      <c r="AR190" s="5" t="inlineStr">
        <is>
          <t>https://www.yorkshire.com/shipley/shopping/off-license/mace-news-off-licence</t>
        </is>
      </c>
      <c r="AS190" s="5" t="inlineStr"/>
      <c r="AT190" s="5" t="inlineStr">
        <is>
          <t>1</t>
        </is>
      </c>
      <c r="AU190" s="5" t="inlineStr">
        <is>
          <t>No</t>
        </is>
      </c>
      <c r="AV190" s="5" t="inlineStr">
        <is>
          <t>No</t>
        </is>
      </c>
      <c r="AW190" s="5" t="inlineStr">
        <is>
          <t>No</t>
        </is>
      </c>
      <c r="AX190" s="5" t="inlineStr">
        <is>
          <t>No</t>
        </is>
      </c>
      <c r="AY190" s="5" t="inlineStr">
        <is>
          <t>Not Found</t>
        </is>
      </c>
      <c r="AZ190" s="5" t="inlineStr">
        <is>
          <t>Not Found</t>
        </is>
      </c>
      <c r="BA190" s="5" t="inlineStr">
        <is>
          <t>2026-09-16</t>
        </is>
      </c>
      <c r="BB190" s="5" t="inlineStr">
        <is>
          <t>Requires Verification</t>
        </is>
      </c>
      <c r="BC190" s="5" t="inlineStr">
        <is>
          <t>Low</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2026-09-16</t>
        </is>
      </c>
      <c r="BL190" s="5" t="inlineStr"/>
      <c r="BM190" s="5" t="inlineStr"/>
      <c r="BN190" s="5" t="inlineStr"/>
      <c r="BO190" s="5" t="inlineStr"/>
      <c r="BP190" s="5" t="inlineStr"/>
      <c r="BQ190" s="5" t="inlineStr"/>
    </row>
    <row r="191">
      <c r="A191" s="10" t="inlineStr">
        <is>
          <t>WY-0118</t>
        </is>
      </c>
      <c r="B191" s="10" t="inlineStr">
        <is>
          <t>WY-0118-01</t>
        </is>
      </c>
      <c r="C191" s="10" t="inlineStr"/>
      <c r="D191" s="10" t="inlineStr">
        <is>
          <t>Martinez Wines</t>
        </is>
      </c>
      <c r="E191" s="10" t="inlineStr">
        <is>
          <t>Martinez Wines</t>
        </is>
      </c>
      <c r="F191" s="10" t="inlineStr"/>
      <c r="G191" s="10" t="inlineStr">
        <is>
          <t>Off-Licence</t>
        </is>
      </c>
      <c r="H191" s="10" t="inlineStr">
        <is>
          <t>Independent fine wine merchant (with cellar wine bar)</t>
        </is>
      </c>
      <c r="I191" s="10" t="inlineStr">
        <is>
          <t>Independent</t>
        </is>
      </c>
      <c r="J191" s="10" t="inlineStr">
        <is>
          <t>1</t>
        </is>
      </c>
      <c r="K191" s="10" t="inlineStr">
        <is>
          <t>https://martinez.co.uk/</t>
        </is>
      </c>
      <c r="L191" s="10" t="inlineStr"/>
      <c r="M191" s="10" t="inlineStr">
        <is>
          <t>https://www.instagram.com/martinezwines/</t>
        </is>
      </c>
      <c r="N191" s="10" t="inlineStr">
        <is>
          <t>https://x.com/martinezwines</t>
        </is>
      </c>
      <c r="O191" s="10" t="inlineStr">
        <is>
          <t>35 The Grove</t>
        </is>
      </c>
      <c r="P191" s="10" t="inlineStr"/>
      <c r="Q191" s="10" t="inlineStr">
        <is>
          <t>Ilkley</t>
        </is>
      </c>
      <c r="R191" s="10" t="inlineStr">
        <is>
          <t>West Yorkshire</t>
        </is>
      </c>
      <c r="S191" s="10" t="inlineStr">
        <is>
          <t>LS29 9NJ</t>
        </is>
      </c>
      <c r="T191" s="10" t="inlineStr">
        <is>
          <t>Yorkshire &amp; Humber</t>
        </is>
      </c>
      <c r="U191" s="10" t="inlineStr">
        <is>
          <t>England</t>
        </is>
      </c>
      <c r="V191" s="10" t="inlineStr">
        <is>
          <t>01943 600000</t>
        </is>
      </c>
      <c r="W191" s="10" t="inlineStr"/>
      <c r="X191" s="10" t="inlineStr"/>
      <c r="Y191" s="10" t="inlineStr">
        <is>
          <t>shop@martinez.co.uk</t>
        </is>
      </c>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fine wine; spirits; beer</t>
        </is>
      </c>
      <c r="AL191" s="10" t="inlineStr"/>
      <c r="AM191" s="10" t="inlineStr">
        <is>
          <t>Off-Licence</t>
        </is>
      </c>
      <c r="AN191" s="10" t="inlineStr"/>
      <c r="AO191" s="10" t="inlineStr">
        <is>
          <t>Long-established independent wine merchant in Ilkley; listed in the Harpers directory as 'Martinez Fine Wines'. Phone and email as summarised from its own contact page (martinez.co.uk/shop-services/contact/) in search results.</t>
        </is>
      </c>
      <c r="AP191" s="10" t="inlineStr">
        <is>
          <t>High</t>
        </is>
      </c>
      <c r="AQ191" s="10" t="inlineStr">
        <is>
          <t>Independent retailer; Relevant category; Public email available; Active website; Social presence; Phone verified on official website</t>
        </is>
      </c>
      <c r="AR191" s="10" t="inlineStr">
        <is>
          <t>https://martinez.co.uk/shop-services/contact/</t>
        </is>
      </c>
      <c r="AS191" s="10" t="inlineStr">
        <is>
          <t>https://www.instagram.com/martinezwines/</t>
        </is>
      </c>
      <c r="AT191" s="10" t="inlineStr">
        <is>
          <t>3</t>
        </is>
      </c>
      <c r="AU191" s="10" t="inlineStr">
        <is>
          <t>No</t>
        </is>
      </c>
      <c r="AV191" s="10" t="inlineStr">
        <is>
          <t>No</t>
        </is>
      </c>
      <c r="AW191" s="10" t="inlineStr">
        <is>
          <t>No</t>
        </is>
      </c>
      <c r="AX191" s="10" t="inlineStr">
        <is>
          <t>No</t>
        </is>
      </c>
      <c r="AY191" s="10" t="inlineStr">
        <is>
          <t>Verified on official website</t>
        </is>
      </c>
      <c r="AZ191" s="10" t="inlineStr">
        <is>
          <t>Publicly Listed</t>
        </is>
      </c>
      <c r="BA191" s="10" t="inlineStr">
        <is>
          <t>2026-09-16</t>
        </is>
      </c>
      <c r="BB191" s="10" t="inlineStr">
        <is>
          <t>Requires Verification</t>
        </is>
      </c>
      <c r="BC191" s="10" t="inlineStr">
        <is>
          <t>Medium</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2026-09-16</t>
        </is>
      </c>
      <c r="BJ191" s="10" t="inlineStr">
        <is>
          <t>New</t>
        </is>
      </c>
      <c r="BK191" s="10" t="inlineStr">
        <is>
          <t>2026-09-16</t>
        </is>
      </c>
      <c r="BL191" s="10" t="inlineStr"/>
      <c r="BM191" s="10" t="inlineStr"/>
      <c r="BN191" s="10" t="inlineStr"/>
      <c r="BO191" s="10" t="inlineStr"/>
      <c r="BP191" s="10" t="inlineStr"/>
      <c r="BQ191" s="10" t="inlineStr"/>
    </row>
    <row r="192">
      <c r="A192" s="5" t="inlineStr">
        <is>
          <t>WY-0119</t>
        </is>
      </c>
      <c r="B192" s="5" t="inlineStr">
        <is>
          <t>WY-0119-01</t>
        </is>
      </c>
      <c r="C192" s="5" t="inlineStr"/>
      <c r="D192" s="5" t="inlineStr">
        <is>
          <t>Matharu Newsagents</t>
        </is>
      </c>
      <c r="E192" s="5" t="inlineStr">
        <is>
          <t>Matharu Newsagents</t>
        </is>
      </c>
      <c r="F192" s="5" t="inlineStr"/>
      <c r="G192" s="5" t="inlineStr">
        <is>
          <t>Newsagent</t>
        </is>
      </c>
      <c r="H192" s="5" t="inlineStr"/>
      <c r="I192" s="5" t="inlineStr">
        <is>
          <t>Independent</t>
        </is>
      </c>
      <c r="J192" s="5" t="inlineStr">
        <is>
          <t>1</t>
        </is>
      </c>
      <c r="K192" s="5" t="inlineStr"/>
      <c r="L192" s="5" t="inlineStr"/>
      <c r="M192" s="5" t="inlineStr"/>
      <c r="N192" s="5" t="inlineStr"/>
      <c r="O192" s="5" t="inlineStr">
        <is>
          <t>46 Monk Bridge Road</t>
        </is>
      </c>
      <c r="P192" s="5" t="inlineStr">
        <is>
          <t>Meanwood</t>
        </is>
      </c>
      <c r="Q192" s="5" t="inlineStr">
        <is>
          <t>Leeds</t>
        </is>
      </c>
      <c r="R192" s="5" t="inlineStr">
        <is>
          <t>West Yorkshire</t>
        </is>
      </c>
      <c r="S192" s="5" t="inlineStr">
        <is>
          <t>LS6 4ER</t>
        </is>
      </c>
      <c r="T192" s="5" t="inlineStr">
        <is>
          <t>Yorkshire &amp; Humber</t>
        </is>
      </c>
      <c r="U192" s="5" t="inlineStr">
        <is>
          <t>England</t>
        </is>
      </c>
      <c r="V192" s="5" t="inlineStr">
        <is>
          <t>0113 275 1851</t>
        </is>
      </c>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newspapers; magazines; confectionery; tobacco</t>
        </is>
      </c>
      <c r="AL192" s="5" t="inlineStr"/>
      <c r="AM192" s="5" t="inlineStr">
        <is>
          <t>Newsagent</t>
        </is>
      </c>
      <c r="AN192" s="5" t="inlineStr"/>
      <c r="AO192" s="5" t="inlineStr"/>
      <c r="AP192" s="5" t="inlineStr">
        <is>
          <t>Low</t>
        </is>
      </c>
      <c r="AQ192" s="5" t="inlineStr">
        <is>
          <t>Independent retailer; Relevant category</t>
        </is>
      </c>
      <c r="AR192" s="5" t="inlineStr">
        <is>
          <t>https://findit.yorkshireeveningpost.co.uk/search/leeds/newsagent</t>
        </is>
      </c>
      <c r="AS192" s="5" t="inlineStr"/>
      <c r="AT192" s="5" t="inlineStr">
        <is>
          <t>1</t>
        </is>
      </c>
      <c r="AU192" s="5" t="inlineStr">
        <is>
          <t>No</t>
        </is>
      </c>
      <c r="AV192" s="5" t="inlineStr">
        <is>
          <t>No</t>
        </is>
      </c>
      <c r="AW192" s="5" t="inlineStr">
        <is>
          <t>No</t>
        </is>
      </c>
      <c r="AX192" s="5" t="inlineStr">
        <is>
          <t>No</t>
        </is>
      </c>
      <c r="AY192" s="5" t="inlineStr">
        <is>
          <t>Verified directory</t>
        </is>
      </c>
      <c r="AZ192" s="5" t="inlineStr">
        <is>
          <t>Not Found</t>
        </is>
      </c>
      <c r="BA192" s="5" t="inlineStr">
        <is>
          <t>2026-09-16</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2026-09-16</t>
        </is>
      </c>
      <c r="BJ192" s="5" t="inlineStr">
        <is>
          <t>New</t>
        </is>
      </c>
      <c r="BK192" s="5" t="inlineStr">
        <is>
          <t>2026-09-16</t>
        </is>
      </c>
      <c r="BL192" s="5" t="inlineStr"/>
      <c r="BM192" s="5" t="inlineStr"/>
      <c r="BN192" s="5" t="inlineStr"/>
      <c r="BO192" s="5" t="inlineStr"/>
      <c r="BP192" s="5" t="inlineStr"/>
      <c r="BQ192" s="5" t="inlineStr"/>
    </row>
    <row r="193">
      <c r="A193" s="10" t="inlineStr">
        <is>
          <t>WY-0120</t>
        </is>
      </c>
      <c r="B193" s="10" t="inlineStr">
        <is>
          <t>WY-0120-01</t>
        </is>
      </c>
      <c r="C193" s="10" t="inlineStr"/>
      <c r="D193" s="10" t="inlineStr">
        <is>
          <t>Meltham Convenience Store</t>
        </is>
      </c>
      <c r="E193" s="10" t="inlineStr">
        <is>
          <t>Meltham Convenience Store</t>
        </is>
      </c>
      <c r="F193" s="10" t="inlineStr"/>
      <c r="G193" s="10" t="inlineStr">
        <is>
          <t>Convenience Store</t>
        </is>
      </c>
      <c r="H193" s="10" t="inlineStr">
        <is>
          <t>Convenience store and off-licence</t>
        </is>
      </c>
      <c r="I193" s="10" t="inlineStr">
        <is>
          <t>Independent</t>
        </is>
      </c>
      <c r="J193" s="10" t="inlineStr">
        <is>
          <t>1</t>
        </is>
      </c>
      <c r="K193" s="10" t="inlineStr"/>
      <c r="L193" s="10" t="inlineStr"/>
      <c r="M193" s="10" t="inlineStr"/>
      <c r="N193" s="10" t="inlineStr"/>
      <c r="O193" s="10" t="inlineStr">
        <is>
          <t>30 Meltham Mills Road</t>
        </is>
      </c>
      <c r="P193" s="10" t="inlineStr"/>
      <c r="Q193" s="10" t="inlineStr">
        <is>
          <t>Meltham</t>
        </is>
      </c>
      <c r="R193" s="10" t="inlineStr">
        <is>
          <t>West Yorkshire</t>
        </is>
      </c>
      <c r="S193" s="10" t="inlineStr">
        <is>
          <t>HD9 4EJ</t>
        </is>
      </c>
      <c r="T193" s="10" t="inlineStr">
        <is>
          <t>Yorkshire &amp; Humber</t>
        </is>
      </c>
      <c r="U193" s="10" t="inlineStr">
        <is>
          <t>England</t>
        </is>
      </c>
      <c r="V193" s="10" t="inlineStr">
        <is>
          <t>01484 618211</t>
        </is>
      </c>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convenience goods; alcohol; tobacco; newspapers</t>
        </is>
      </c>
      <c r="AL193" s="10" t="inlineStr"/>
      <c r="AM193" s="10" t="inlineStr">
        <is>
          <t>Convenience Store</t>
        </is>
      </c>
      <c r="AN193" s="10" t="inlineStr"/>
      <c r="AO193" s="10" t="inlineStr">
        <is>
          <t>Listed under Off Licences on Yell and as a convenience store on Gazette Live directory with matching address and phone.</t>
        </is>
      </c>
      <c r="AP193" s="10" t="inlineStr">
        <is>
          <t>Low</t>
        </is>
      </c>
      <c r="AQ193" s="10" t="inlineStr">
        <is>
          <t>Independent retailer; Relevant category</t>
        </is>
      </c>
      <c r="AR193" s="10" t="inlineStr">
        <is>
          <t>https://www.yell.com/biz/meltham-convenience-store-holmfirth-9079746/</t>
        </is>
      </c>
      <c r="AS193" s="10" t="inlineStr">
        <is>
          <t>https://directory.gazettelive.co.uk/company/d9f72795f940854d6693354206b3bc2d</t>
        </is>
      </c>
      <c r="AT193" s="10" t="inlineStr">
        <is>
          <t>2</t>
        </is>
      </c>
      <c r="AU193" s="10" t="inlineStr">
        <is>
          <t>No</t>
        </is>
      </c>
      <c r="AV193" s="10" t="inlineStr">
        <is>
          <t>No</t>
        </is>
      </c>
      <c r="AW193" s="10" t="inlineStr">
        <is>
          <t>No</t>
        </is>
      </c>
      <c r="AX193" s="10" t="inlineStr">
        <is>
          <t>No</t>
        </is>
      </c>
      <c r="AY193" s="10" t="inlineStr">
        <is>
          <t>Verified directory</t>
        </is>
      </c>
      <c r="AZ193" s="10" t="inlineStr">
        <is>
          <t>Not Found</t>
        </is>
      </c>
      <c r="BA193" s="10" t="inlineStr">
        <is>
          <t>2026-09-16</t>
        </is>
      </c>
      <c r="BB193" s="10" t="inlineStr">
        <is>
          <t>Requires Verification</t>
        </is>
      </c>
      <c r="BC193" s="10" t="inlineStr">
        <is>
          <t>Medium</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2026-09-16</t>
        </is>
      </c>
      <c r="BJ193" s="10" t="inlineStr">
        <is>
          <t>New</t>
        </is>
      </c>
      <c r="BK193" s="10" t="inlineStr">
        <is>
          <t>2026-09-16</t>
        </is>
      </c>
      <c r="BL193" s="10" t="inlineStr"/>
      <c r="BM193" s="10" t="inlineStr"/>
      <c r="BN193" s="10" t="inlineStr"/>
      <c r="BO193" s="10" t="inlineStr"/>
      <c r="BP193" s="10" t="inlineStr"/>
      <c r="BQ193" s="10" t="inlineStr"/>
    </row>
    <row r="194">
      <c r="A194" s="5" t="inlineStr">
        <is>
          <t>WY-0121</t>
        </is>
      </c>
      <c r="B194" s="5" t="inlineStr">
        <is>
          <t>WY-0121-01</t>
        </is>
      </c>
      <c r="C194" s="5" t="inlineStr"/>
      <c r="D194" s="5" t="inlineStr">
        <is>
          <t>Mister Motivaper</t>
        </is>
      </c>
      <c r="E194" s="5" t="inlineStr">
        <is>
          <t>Mister Motivaper</t>
        </is>
      </c>
      <c r="F194" s="5" t="inlineStr"/>
      <c r="G194" s="5" t="inlineStr">
        <is>
          <t>Vape Shop</t>
        </is>
      </c>
      <c r="H194" s="5" t="inlineStr">
        <is>
          <t>Vape retailer</t>
        </is>
      </c>
      <c r="I194" s="5" t="inlineStr">
        <is>
          <t>Independent</t>
        </is>
      </c>
      <c r="J194" s="5" t="inlineStr">
        <is>
          <t>1</t>
        </is>
      </c>
      <c r="K194" s="5" t="inlineStr"/>
      <c r="L194" s="5" t="inlineStr"/>
      <c r="M194" s="5" t="inlineStr"/>
      <c r="N194" s="5" t="inlineStr"/>
      <c r="O194" s="5" t="inlineStr">
        <is>
          <t>7 Horse Fair</t>
        </is>
      </c>
      <c r="P194" s="5" t="inlineStr"/>
      <c r="Q194" s="5" t="inlineStr">
        <is>
          <t>Pontefract</t>
        </is>
      </c>
      <c r="R194" s="5" t="inlineStr">
        <is>
          <t>West Yorkshire</t>
        </is>
      </c>
      <c r="S194" s="5" t="inlineStr"/>
      <c r="T194" s="5" t="inlineStr">
        <is>
          <t>Yorkshire &amp; Humber</t>
        </is>
      </c>
      <c r="U194" s="5" t="inlineStr">
        <is>
          <t>England</t>
        </is>
      </c>
      <c r="V194" s="5" t="inlineStr">
        <is>
          <t>01274 987430</t>
        </is>
      </c>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vape hardware; e-liquids</t>
        </is>
      </c>
      <c r="AL194" s="5" t="inlineStr"/>
      <c r="AM194" s="5" t="inlineStr">
        <is>
          <t>Vape Shop</t>
        </is>
      </c>
      <c r="AN194" s="5" t="inlineStr"/>
      <c r="AO194" s="5" t="inlineStr">
        <is>
          <t>Next door to Vaperites on Horse Fair. Listed phone is a Bradford (01274) number, suggesting possible link to a Bradford-based operator - unconfirmed.</t>
        </is>
      </c>
      <c r="AP194" s="5" t="inlineStr">
        <is>
          <t>Medium</t>
        </is>
      </c>
      <c r="AQ194" s="5" t="inlineStr">
        <is>
          <t>Independent retailer; Core relevant category</t>
        </is>
      </c>
      <c r="AR194" s="5" t="inlineStr">
        <is>
          <t>https://ecigdirectory.co.uk/vape-shop/listing/mister-motivaper-pontefract</t>
        </is>
      </c>
      <c r="AS194" s="5" t="inlineStr"/>
      <c r="AT194" s="5" t="inlineStr">
        <is>
          <t>1</t>
        </is>
      </c>
      <c r="AU194" s="5" t="inlineStr">
        <is>
          <t>No</t>
        </is>
      </c>
      <c r="AV194" s="5" t="inlineStr">
        <is>
          <t>No</t>
        </is>
      </c>
      <c r="AW194" s="5" t="inlineStr">
        <is>
          <t>No</t>
        </is>
      </c>
      <c r="AX194" s="5" t="inlineStr">
        <is>
          <t>No</t>
        </is>
      </c>
      <c r="AY194" s="5" t="inlineStr">
        <is>
          <t>Verified directory</t>
        </is>
      </c>
      <c r="AZ194" s="5" t="inlineStr">
        <is>
          <t>Not Found</t>
        </is>
      </c>
      <c r="BA194" s="5" t="inlineStr">
        <is>
          <t>2026-09-16</t>
        </is>
      </c>
      <c r="BB194" s="5" t="inlineStr">
        <is>
          <t>Requires Verification</t>
        </is>
      </c>
      <c r="BC194" s="5" t="inlineStr">
        <is>
          <t>Low</t>
        </is>
      </c>
      <c r="BD194" s="5" t="inlineStr"/>
      <c r="BE194" s="5" t="inlineStr">
        <is>
          <t>Business (B2B)</t>
        </is>
      </c>
      <c r="BF194" s="5" t="inlineStr">
        <is>
          <t>Legitimate interest (B2B) - assess per campaign; PECR: corporate subscribers</t>
        </is>
      </c>
      <c r="BG194" s="5" t="inlineStr"/>
      <c r="BH194" s="5" t="inlineStr">
        <is>
          <t>No</t>
        </is>
      </c>
      <c r="BI194" s="5" t="inlineStr">
        <is>
          <t>2026-09-16</t>
        </is>
      </c>
      <c r="BJ194" s="5" t="inlineStr">
        <is>
          <t>New</t>
        </is>
      </c>
      <c r="BK194" s="5" t="inlineStr">
        <is>
          <t>2026-09-16</t>
        </is>
      </c>
      <c r="BL194" s="5" t="inlineStr"/>
      <c r="BM194" s="5" t="inlineStr"/>
      <c r="BN194" s="5" t="inlineStr"/>
      <c r="BO194" s="5" t="inlineStr"/>
      <c r="BP194" s="5" t="inlineStr"/>
      <c r="BQ194" s="5" t="inlineStr"/>
    </row>
    <row r="195">
      <c r="A195" s="10" t="inlineStr">
        <is>
          <t>WY-0122</t>
        </is>
      </c>
      <c r="B195" s="10" t="inlineStr">
        <is>
          <t>WY-0122-01</t>
        </is>
      </c>
      <c r="C195" s="10" t="inlineStr"/>
      <c r="D195" s="10" t="inlineStr">
        <is>
          <t>Mount Pellon Newsagent</t>
        </is>
      </c>
      <c r="E195" s="10" t="inlineStr">
        <is>
          <t>Mount Pellon Newsagent</t>
        </is>
      </c>
      <c r="F195" s="10" t="inlineStr"/>
      <c r="G195" s="10" t="inlineStr">
        <is>
          <t>Newsagent</t>
        </is>
      </c>
      <c r="H195" s="10" t="inlineStr">
        <is>
          <t>Corner shop newsagent with Royal Mail parcel services</t>
        </is>
      </c>
      <c r="I195" s="10" t="inlineStr">
        <is>
          <t>Independent</t>
        </is>
      </c>
      <c r="J195" s="10" t="inlineStr">
        <is>
          <t>1</t>
        </is>
      </c>
      <c r="K195" s="10" t="inlineStr"/>
      <c r="L195" s="10" t="inlineStr"/>
      <c r="M195" s="10" t="inlineStr"/>
      <c r="N195" s="10" t="inlineStr"/>
      <c r="O195" s="10" t="inlineStr">
        <is>
          <t>Cross Street West</t>
        </is>
      </c>
      <c r="P195" s="10" t="inlineStr">
        <is>
          <t>Mount Pellon</t>
        </is>
      </c>
      <c r="Q195" s="10" t="inlineStr">
        <is>
          <t>Halifax</t>
        </is>
      </c>
      <c r="R195" s="10" t="inlineStr">
        <is>
          <t>West Yorkshire</t>
        </is>
      </c>
      <c r="S195" s="10" t="inlineStr">
        <is>
          <t>HX2 0HA</t>
        </is>
      </c>
      <c r="T195" s="10" t="inlineStr">
        <is>
          <t>Yorkshire &amp; Humber</t>
        </is>
      </c>
      <c r="U195" s="10" t="inlineStr">
        <is>
          <t>England</t>
        </is>
      </c>
      <c r="V195" s="10" t="inlineStr">
        <is>
          <t>01422 361609</t>
        </is>
      </c>
      <c r="W195" s="10" t="inlineStr"/>
      <c r="X195" s="10" t="inlineStr"/>
      <c r="Y195" s="10" t="inlineStr"/>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news; convenience; parcel services</t>
        </is>
      </c>
      <c r="AL195" s="10" t="inlineStr"/>
      <c r="AM195" s="10" t="inlineStr">
        <is>
          <t>Newsagent</t>
        </is>
      </c>
      <c r="AN195" s="10" t="inlineStr"/>
      <c r="AO195" s="10" t="inlineStr"/>
      <c r="AP195" s="10" t="inlineStr">
        <is>
          <t>Low</t>
        </is>
      </c>
      <c r="AQ195" s="10" t="inlineStr">
        <is>
          <t>Independent retailer; Relevant category</t>
        </is>
      </c>
      <c r="AR195" s="10" t="inlineStr">
        <is>
          <t>https://www.misterwhat.co.uk/company/573371-mount-pellon-newsagent-halifax</t>
        </is>
      </c>
      <c r="AS195" s="10" t="inlineStr">
        <is>
          <t>https://www.yorkshire.com/halifax/shopping/corner-shops/mount-pellon-newsagent</t>
        </is>
      </c>
      <c r="AT195" s="10" t="inlineStr">
        <is>
          <t>2</t>
        </is>
      </c>
      <c r="AU195" s="10" t="inlineStr">
        <is>
          <t>No</t>
        </is>
      </c>
      <c r="AV195" s="10" t="inlineStr">
        <is>
          <t>No</t>
        </is>
      </c>
      <c r="AW195" s="10" t="inlineStr">
        <is>
          <t>No</t>
        </is>
      </c>
      <c r="AX195" s="10" t="inlineStr">
        <is>
          <t>No</t>
        </is>
      </c>
      <c r="AY195" s="10" t="inlineStr">
        <is>
          <t>Verified directory</t>
        </is>
      </c>
      <c r="AZ195" s="10" t="inlineStr">
        <is>
          <t>Not Found</t>
        </is>
      </c>
      <c r="BA195" s="10" t="inlineStr">
        <is>
          <t>2026-09-16</t>
        </is>
      </c>
      <c r="BB195" s="10" t="inlineStr">
        <is>
          <t>Requires Verification</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2026-09-16</t>
        </is>
      </c>
      <c r="BJ195" s="10" t="inlineStr">
        <is>
          <t>New</t>
        </is>
      </c>
      <c r="BK195" s="10" t="inlineStr">
        <is>
          <t>2026-09-16</t>
        </is>
      </c>
      <c r="BL195" s="10" t="inlineStr"/>
      <c r="BM195" s="10" t="inlineStr"/>
      <c r="BN195" s="10" t="inlineStr"/>
      <c r="BO195" s="10" t="inlineStr"/>
      <c r="BP195" s="10" t="inlineStr"/>
      <c r="BQ195" s="10" t="inlineStr"/>
    </row>
    <row r="196">
      <c r="A196" s="5" t="inlineStr">
        <is>
          <t>WY-0123</t>
        </is>
      </c>
      <c r="B196" s="5" t="inlineStr">
        <is>
          <t>WY-0123-01</t>
        </is>
      </c>
      <c r="C196" s="5" t="inlineStr"/>
      <c r="D196" s="5" t="inlineStr">
        <is>
          <t>Mount Vapes</t>
        </is>
      </c>
      <c r="E196" s="5" t="inlineStr">
        <is>
          <t>Mount Vapes</t>
        </is>
      </c>
      <c r="F196" s="5" t="inlineStr"/>
      <c r="G196" s="5" t="inlineStr">
        <is>
          <t>Vape Shop</t>
        </is>
      </c>
      <c r="H196" s="5" t="inlineStr"/>
      <c r="I196" s="5" t="inlineStr">
        <is>
          <t>Independent</t>
        </is>
      </c>
      <c r="J196" s="5" t="inlineStr">
        <is>
          <t>1</t>
        </is>
      </c>
      <c r="K196" s="5" t="inlineStr">
        <is>
          <t>https://mountvapes.co.uk/</t>
        </is>
      </c>
      <c r="L196" s="5" t="inlineStr">
        <is>
          <t>https://www.facebook.com/MountVapes/</t>
        </is>
      </c>
      <c r="M196" s="5" t="inlineStr"/>
      <c r="N196" s="5" t="inlineStr"/>
      <c r="O196" s="5" t="inlineStr"/>
      <c r="P196" s="5" t="inlineStr">
        <is>
          <t>Boothtown</t>
        </is>
      </c>
      <c r="Q196" s="5" t="inlineStr">
        <is>
          <t>Halifax</t>
        </is>
      </c>
      <c r="R196" s="5" t="inlineStr">
        <is>
          <t>West Yorkshire</t>
        </is>
      </c>
      <c r="S196" s="5" t="inlineStr">
        <is>
          <t>HX3 6EE</t>
        </is>
      </c>
      <c r="T196" s="5" t="inlineStr">
        <is>
          <t>Yorkshire &amp; Humber</t>
        </is>
      </c>
      <c r="U196" s="5" t="inlineStr">
        <is>
          <t>England</t>
        </is>
      </c>
      <c r="V196" s="5" t="inlineStr">
        <is>
          <t>07843 846154</t>
        </is>
      </c>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vape hardware; e-liquids</t>
        </is>
      </c>
      <c r="AL196" s="5" t="inlineStr"/>
      <c r="AM196" s="5" t="inlineStr">
        <is>
          <t>Vape Shop</t>
        </is>
      </c>
      <c r="AN196" s="5" t="inlineStr"/>
      <c r="AO196" s="5" t="inlineStr">
        <is>
          <t>Shop in the Boothtown area of Halifax with its own website and Facebook page; street address not obtainable (website fetch blocked by network egress proxy).</t>
        </is>
      </c>
      <c r="AP196" s="5" t="inlineStr">
        <is>
          <t>Medium</t>
        </is>
      </c>
      <c r="AQ196" s="5" t="inlineStr">
        <is>
          <t>Independent retailer; Core relevant category; Active website; Social presence</t>
        </is>
      </c>
      <c r="AR196" s="5" t="inlineStr">
        <is>
          <t>https://mountvapes.co.uk/</t>
        </is>
      </c>
      <c r="AS196" s="5" t="inlineStr">
        <is>
          <t>https://vapeshops.puffingbird.com/yorkshire-and-the-humber/halifax/mount-vapes</t>
        </is>
      </c>
      <c r="AT196" s="5" t="inlineStr">
        <is>
          <t>3</t>
        </is>
      </c>
      <c r="AU196" s="5" t="inlineStr">
        <is>
          <t>No</t>
        </is>
      </c>
      <c r="AV196" s="5" t="inlineStr">
        <is>
          <t>No</t>
        </is>
      </c>
      <c r="AW196" s="5" t="inlineStr">
        <is>
          <t>No</t>
        </is>
      </c>
      <c r="AX196" s="5" t="inlineStr">
        <is>
          <t>No</t>
        </is>
      </c>
      <c r="AY196" s="5" t="inlineStr">
        <is>
          <t>Verified directory</t>
        </is>
      </c>
      <c r="AZ196" s="5" t="inlineStr">
        <is>
          <t>Website Found</t>
        </is>
      </c>
      <c r="BA196" s="5" t="inlineStr">
        <is>
          <t>2026-09-16</t>
        </is>
      </c>
      <c r="BB196" s="5" t="inlineStr">
        <is>
          <t>Requires Verification</t>
        </is>
      </c>
      <c r="BC196" s="5" t="inlineStr">
        <is>
          <t>Medium</t>
        </is>
      </c>
      <c r="BD196" s="5" t="inlineStr"/>
      <c r="BE196" s="5" t="inlineStr">
        <is>
          <t>Business (B2B)</t>
        </is>
      </c>
      <c r="BF196" s="5" t="inlineStr">
        <is>
          <t>Legitimate interest (B2B) - assess per campaign; PECR: corporate subscribers</t>
        </is>
      </c>
      <c r="BG196" s="5" t="inlineStr"/>
      <c r="BH196" s="5" t="inlineStr">
        <is>
          <t>No</t>
        </is>
      </c>
      <c r="BI196" s="5" t="inlineStr">
        <is>
          <t>2026-09-16</t>
        </is>
      </c>
      <c r="BJ196" s="5" t="inlineStr">
        <is>
          <t>New</t>
        </is>
      </c>
      <c r="BK196" s="5" t="inlineStr">
        <is>
          <t>2026-09-16</t>
        </is>
      </c>
      <c r="BL196" s="5" t="inlineStr"/>
      <c r="BM196" s="5" t="inlineStr"/>
      <c r="BN196" s="5" t="inlineStr"/>
      <c r="BO196" s="5" t="inlineStr"/>
      <c r="BP196" s="5" t="inlineStr"/>
      <c r="BQ196" s="5" t="inlineStr"/>
    </row>
    <row r="197">
      <c r="A197" s="10" t="inlineStr">
        <is>
          <t>WY-0124</t>
        </is>
      </c>
      <c r="B197" s="10" t="inlineStr">
        <is>
          <t>WY-0124-01</t>
        </is>
      </c>
      <c r="C197" s="10" t="inlineStr"/>
      <c r="D197" s="10" t="inlineStr">
        <is>
          <t>Mytholmroyd Post Office</t>
        </is>
      </c>
      <c r="E197" s="10" t="inlineStr">
        <is>
          <t>Mytholmroyd Post Office</t>
        </is>
      </c>
      <c r="F197" s="10" t="inlineStr"/>
      <c r="G197" s="10" t="inlineStr">
        <is>
          <t>Convenience Store</t>
        </is>
      </c>
      <c r="H197" s="10" t="inlineStr">
        <is>
          <t>Post office and newsagent counter</t>
        </is>
      </c>
      <c r="I197" s="10" t="inlineStr">
        <is>
          <t>Independent</t>
        </is>
      </c>
      <c r="J197" s="10" t="inlineStr">
        <is>
          <t>1</t>
        </is>
      </c>
      <c r="K197" s="10" t="inlineStr"/>
      <c r="L197" s="10" t="inlineStr"/>
      <c r="M197" s="10" t="inlineStr"/>
      <c r="N197" s="10" t="inlineStr"/>
      <c r="O197" s="10" t="inlineStr">
        <is>
          <t>Grange Dene, Burnley Road</t>
        </is>
      </c>
      <c r="P197" s="10" t="inlineStr">
        <is>
          <t>Mytholmroyd</t>
        </is>
      </c>
      <c r="Q197" s="10" t="inlineStr">
        <is>
          <t>Mytholmroyd</t>
        </is>
      </c>
      <c r="R197" s="10" t="inlineStr">
        <is>
          <t>West Yorkshire</t>
        </is>
      </c>
      <c r="S197" s="10" t="inlineStr">
        <is>
          <t>HX7 5LF</t>
        </is>
      </c>
      <c r="T197" s="10" t="inlineStr">
        <is>
          <t>Yorkshire &amp; Humber</t>
        </is>
      </c>
      <c r="U197" s="10" t="inlineStr">
        <is>
          <t>England</t>
        </is>
      </c>
      <c r="V197" s="10" t="inlineStr"/>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convenience; news; post office services</t>
        </is>
      </c>
      <c r="AL197" s="10" t="inlineStr"/>
      <c r="AM197" s="10" t="inlineStr">
        <is>
          <t>Convenience Store</t>
        </is>
      </c>
      <c r="AN197" s="10" t="inlineStr"/>
      <c r="AO197" s="10" t="inlineStr">
        <is>
          <t>Early-opening village post office/shop (06:30 weekdays). Post office counter is franchised; retail side independently run.</t>
        </is>
      </c>
      <c r="AP197" s="10" t="inlineStr">
        <is>
          <t>Low</t>
        </is>
      </c>
      <c r="AQ197" s="10" t="inlineStr">
        <is>
          <t>Independent retailer; Relevant category</t>
        </is>
      </c>
      <c r="AR197" s="10" t="inlineStr">
        <is>
          <t>https://www.postoffice.co.uk/branch-finder/6314589/mytholmroyd</t>
        </is>
      </c>
      <c r="AS197" s="10" t="inlineStr">
        <is>
          <t>https://findit.halifaxcourier.co.uk/company/1235285678424065</t>
        </is>
      </c>
      <c r="AT197" s="10" t="inlineStr">
        <is>
          <t>2</t>
        </is>
      </c>
      <c r="AU197" s="10" t="inlineStr">
        <is>
          <t>No</t>
        </is>
      </c>
      <c r="AV197" s="10" t="inlineStr">
        <is>
          <t>No</t>
        </is>
      </c>
      <c r="AW197" s="10" t="inlineStr">
        <is>
          <t>No</t>
        </is>
      </c>
      <c r="AX197" s="10" t="inlineStr">
        <is>
          <t>No</t>
        </is>
      </c>
      <c r="AY197" s="10" t="inlineStr">
        <is>
          <t>Not Found</t>
        </is>
      </c>
      <c r="AZ197" s="10" t="inlineStr">
        <is>
          <t>Not Found</t>
        </is>
      </c>
      <c r="BA197" s="10" t="inlineStr">
        <is>
          <t>2026-09-16</t>
        </is>
      </c>
      <c r="BB197" s="10" t="inlineStr">
        <is>
          <t>Requires Verification</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2026-09-16</t>
        </is>
      </c>
      <c r="BJ197" s="10" t="inlineStr">
        <is>
          <t>New</t>
        </is>
      </c>
      <c r="BK197" s="10" t="inlineStr">
        <is>
          <t>2026-09-16</t>
        </is>
      </c>
      <c r="BL197" s="10" t="inlineStr"/>
      <c r="BM197" s="10" t="inlineStr"/>
      <c r="BN197" s="10" t="inlineStr"/>
      <c r="BO197" s="10" t="inlineStr"/>
      <c r="BP197" s="10" t="inlineStr"/>
      <c r="BQ197" s="10" t="inlineStr"/>
    </row>
    <row r="198">
      <c r="A198" s="5" t="inlineStr">
        <is>
          <t>UK-000266</t>
        </is>
      </c>
      <c r="B198" s="5" t="inlineStr">
        <is>
          <t>UK-000266-01</t>
        </is>
      </c>
      <c r="C198" s="5" t="inlineStr"/>
      <c r="D198" s="5" t="inlineStr">
        <is>
          <t>Ninnsi</t>
        </is>
      </c>
      <c r="E198" s="5" t="inlineStr">
        <is>
          <t>Ninnsi</t>
        </is>
      </c>
      <c r="F198" s="5" t="inlineStr"/>
      <c r="G198" s="5" t="inlineStr">
        <is>
          <t>Independent Supermarket</t>
        </is>
      </c>
      <c r="H198" s="5" t="inlineStr">
        <is>
          <t>Oriental / Asian store</t>
        </is>
      </c>
      <c r="I198" s="5" t="inlineStr">
        <is>
          <t>Independent</t>
        </is>
      </c>
      <c r="J198" s="5" t="inlineStr">
        <is>
          <t>1</t>
        </is>
      </c>
      <c r="K198" s="5" t="inlineStr">
        <is>
          <t>https://ninnsi.co.uk</t>
        </is>
      </c>
      <c r="L198" s="5" t="inlineStr"/>
      <c r="M198" s="5" t="inlineStr"/>
      <c r="N198" s="5" t="inlineStr"/>
      <c r="O198" s="5" t="inlineStr"/>
      <c r="P198" s="5" t="inlineStr"/>
      <c r="Q198" s="5" t="inlineStr">
        <is>
          <t>Kingston upon Hull</t>
        </is>
      </c>
      <c r="R198" s="5" t="inlineStr">
        <is>
          <t>East Riding of Yorkshire</t>
        </is>
      </c>
      <c r="S198" s="5" t="inlineStr"/>
      <c r="T198" s="5" t="inlineStr">
        <is>
          <t>Yorkshire &amp; Humber</t>
        </is>
      </c>
      <c r="U198" s="5" t="inlineStr">
        <is>
          <t>England</t>
        </is>
      </c>
      <c r="V198" s="5" t="inlineStr"/>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Asian ingredients; snacks; bubble tea supplies</t>
        </is>
      </c>
      <c r="AL198" s="5" t="inlineStr"/>
      <c r="AM198" s="5" t="inlineStr">
        <is>
          <t>Independent Supermarket</t>
        </is>
      </c>
      <c r="AN198" s="5" t="inlineStr"/>
      <c r="AO198" s="5" t="inlineStr">
        <is>
          <t>Hull-based oriental store (own website ninnsi.co.uk). No street address/phone in search results.</t>
        </is>
      </c>
      <c r="AP198" s="5" t="inlineStr">
        <is>
          <t>Medium</t>
        </is>
      </c>
      <c r="AQ198" s="5" t="inlineStr">
        <is>
          <t>Independent retailer; Relevant category; Active website</t>
        </is>
      </c>
      <c r="AR198" s="5" t="inlineStr">
        <is>
          <t>https://ninnsi.co.uk/</t>
        </is>
      </c>
      <c r="AS198" s="5" t="inlineStr"/>
      <c r="AT198" s="5" t="inlineStr">
        <is>
          <t>1</t>
        </is>
      </c>
      <c r="AU198" s="5" t="inlineStr">
        <is>
          <t>Yes</t>
        </is>
      </c>
      <c r="AV198" s="5" t="inlineStr">
        <is>
          <t>No</t>
        </is>
      </c>
      <c r="AW198" s="5" t="inlineStr">
        <is>
          <t>No</t>
        </is>
      </c>
      <c r="AX198" s="5" t="inlineStr">
        <is>
          <t>No</t>
        </is>
      </c>
      <c r="AY198" s="5" t="inlineStr">
        <is>
          <t>Not Found</t>
        </is>
      </c>
      <c r="AZ198" s="5" t="inlineStr">
        <is>
          <t>Not Found</t>
        </is>
      </c>
      <c r="BA198" s="5" t="inlineStr">
        <is>
          <t>2026-09-16</t>
        </is>
      </c>
      <c r="BB198" s="5" t="inlineStr">
        <is>
          <t>Partially Verified</t>
        </is>
      </c>
      <c r="BC198" s="5" t="inlineStr">
        <is>
          <t>Low</t>
        </is>
      </c>
      <c r="BD198" s="5" t="inlineStr"/>
      <c r="BE198" s="5" t="inlineStr">
        <is>
          <t>Business (B2B)</t>
        </is>
      </c>
      <c r="BF198" s="5" t="inlineStr">
        <is>
          <t>Legitimate interest (B2B) - assess per campaign; PECR: corporate subscribers</t>
        </is>
      </c>
      <c r="BG198" s="5" t="inlineStr"/>
      <c r="BH198" s="5" t="inlineStr">
        <is>
          <t>No</t>
        </is>
      </c>
      <c r="BI198" s="5" t="inlineStr">
        <is>
          <t>2026-09-16</t>
        </is>
      </c>
      <c r="BJ198" s="5" t="inlineStr">
        <is>
          <t>New</t>
        </is>
      </c>
      <c r="BK198" s="5" t="inlineStr">
        <is>
          <t>2026-09-16</t>
        </is>
      </c>
      <c r="BL198" s="5" t="inlineStr"/>
      <c r="BM198" s="5" t="inlineStr"/>
      <c r="BN198" s="5" t="inlineStr"/>
      <c r="BO198" s="5" t="inlineStr"/>
      <c r="BP198" s="5" t="inlineStr"/>
      <c r="BQ198" s="5" t="inlineStr"/>
    </row>
    <row r="199">
      <c r="A199" s="10" t="inlineStr">
        <is>
          <t>WY-0125</t>
        </is>
      </c>
      <c r="B199" s="10" t="inlineStr">
        <is>
          <t>WY-0125-01</t>
        </is>
      </c>
      <c r="C199" s="10" t="inlineStr"/>
      <c r="D199" s="10" t="inlineStr">
        <is>
          <t>Nisa Local Knottingley</t>
        </is>
      </c>
      <c r="E199" s="10" t="inlineStr">
        <is>
          <t>Nisa Local</t>
        </is>
      </c>
      <c r="F199" s="10" t="inlineStr"/>
      <c r="G199" s="10" t="inlineStr">
        <is>
          <t>Convenience Store</t>
        </is>
      </c>
      <c r="H199" s="10" t="inlineStr">
        <is>
          <t>Symbol group convenience store</t>
        </is>
      </c>
      <c r="I199" s="10" t="inlineStr">
        <is>
          <t>Franchise / Symbol Group</t>
        </is>
      </c>
      <c r="J199" s="10" t="inlineStr">
        <is>
          <t>1</t>
        </is>
      </c>
      <c r="K199" s="10" t="inlineStr">
        <is>
          <t>https://www.nisalocally.co.uk/stores/west-yorkshire/knottingley</t>
        </is>
      </c>
      <c r="L199" s="10" t="inlineStr">
        <is>
          <t>https://www.facebook.com/NisaLocalPinewoodPlaceKnottingley/</t>
        </is>
      </c>
      <c r="M199" s="10" t="inlineStr"/>
      <c r="N199" s="10" t="inlineStr"/>
      <c r="O199" s="10" t="inlineStr">
        <is>
          <t>12-14 Pinewood Place</t>
        </is>
      </c>
      <c r="P199" s="10" t="inlineStr"/>
      <c r="Q199" s="10" t="inlineStr">
        <is>
          <t>Knottingley</t>
        </is>
      </c>
      <c r="R199" s="10" t="inlineStr">
        <is>
          <t>West Yorkshire</t>
        </is>
      </c>
      <c r="S199" s="10" t="inlineStr">
        <is>
          <t>WF11 0QH</t>
        </is>
      </c>
      <c r="T199" s="10" t="inlineStr">
        <is>
          <t>Yorkshire &amp; Humber</t>
        </is>
      </c>
      <c r="U199" s="10" t="inlineStr">
        <is>
          <t>England</t>
        </is>
      </c>
      <c r="V199" s="10" t="inlineStr">
        <is>
          <t>01977 607202</t>
        </is>
      </c>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grocery; alcohol; convenience</t>
        </is>
      </c>
      <c r="AL199" s="10" t="inlineStr"/>
      <c r="AM199" s="10" t="inlineStr">
        <is>
          <t>Convenience Store</t>
        </is>
      </c>
      <c r="AN199" s="10" t="inlineStr">
        <is>
          <t>Nisa symbol group (Co-op wholesale supply)</t>
        </is>
      </c>
      <c r="AO199" s="10" t="inlineStr">
        <is>
          <t>Independently owned Nisa symbol store; also appears on the official Nisa Locally store finder for Knottingley.</t>
        </is>
      </c>
      <c r="AP199" s="10" t="inlineStr">
        <is>
          <t>Medium</t>
        </is>
      </c>
      <c r="AQ199" s="10" t="inlineStr">
        <is>
          <t>Independent retailer; Relevant category; Active website; Social presence</t>
        </is>
      </c>
      <c r="AR199" s="10" t="inlineStr">
        <is>
          <t>https://www.nisalocally.co.uk/stores/west-yorkshire/knottingley</t>
        </is>
      </c>
      <c r="AS199" s="10" t="inlineStr">
        <is>
          <t>https://www.facebook.com/NisaLocalPinewoodPlaceKnottingley/</t>
        </is>
      </c>
      <c r="AT199" s="10" t="inlineStr">
        <is>
          <t>4</t>
        </is>
      </c>
      <c r="AU199" s="10" t="inlineStr">
        <is>
          <t>No</t>
        </is>
      </c>
      <c r="AV199" s="10" t="inlineStr">
        <is>
          <t>No</t>
        </is>
      </c>
      <c r="AW199" s="10" t="inlineStr">
        <is>
          <t>No</t>
        </is>
      </c>
      <c r="AX199" s="10" t="inlineStr">
        <is>
          <t>No</t>
        </is>
      </c>
      <c r="AY199" s="10" t="inlineStr">
        <is>
          <t>Verified directory</t>
        </is>
      </c>
      <c r="AZ199" s="10" t="inlineStr">
        <is>
          <t>Not Found</t>
        </is>
      </c>
      <c r="BA199" s="10" t="inlineStr">
        <is>
          <t>2026-09-16</t>
        </is>
      </c>
      <c r="BB199" s="10" t="inlineStr">
        <is>
          <t>Requires Verification</t>
        </is>
      </c>
      <c r="BC199" s="10" t="inlineStr">
        <is>
          <t>Medium</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2026-09-16</t>
        </is>
      </c>
      <c r="BJ199" s="10" t="inlineStr">
        <is>
          <t>New</t>
        </is>
      </c>
      <c r="BK199" s="10" t="inlineStr">
        <is>
          <t>2026-09-16</t>
        </is>
      </c>
      <c r="BL199" s="10" t="inlineStr"/>
      <c r="BM199" s="10" t="inlineStr"/>
      <c r="BN199" s="10" t="inlineStr"/>
      <c r="BO199" s="10" t="inlineStr"/>
      <c r="BP199" s="10" t="inlineStr"/>
      <c r="BQ199" s="10" t="inlineStr"/>
    </row>
    <row r="200">
      <c r="A200" s="5" t="inlineStr">
        <is>
          <t>WY-0126</t>
        </is>
      </c>
      <c r="B200" s="5" t="inlineStr">
        <is>
          <t>WY-0126-01</t>
        </is>
      </c>
      <c r="C200" s="5" t="inlineStr"/>
      <c r="D200" s="5" t="inlineStr">
        <is>
          <t>Northowram Post Office</t>
        </is>
      </c>
      <c r="E200" s="5" t="inlineStr">
        <is>
          <t>Northowram Post Office</t>
        </is>
      </c>
      <c r="F200" s="5" t="inlineStr"/>
      <c r="G200" s="5" t="inlineStr">
        <is>
          <t>Convenience Store</t>
        </is>
      </c>
      <c r="H200" s="5" t="inlineStr">
        <is>
          <t>Family-run convenience store with post office</t>
        </is>
      </c>
      <c r="I200" s="5" t="inlineStr">
        <is>
          <t>Independent</t>
        </is>
      </c>
      <c r="J200" s="5" t="inlineStr">
        <is>
          <t>1</t>
        </is>
      </c>
      <c r="K200" s="5" t="inlineStr"/>
      <c r="L200" s="5" t="inlineStr"/>
      <c r="M200" s="5" t="inlineStr"/>
      <c r="N200" s="5" t="inlineStr"/>
      <c r="O200" s="5" t="inlineStr">
        <is>
          <t>62 Towngate</t>
        </is>
      </c>
      <c r="P200" s="5" t="inlineStr">
        <is>
          <t>Northowram</t>
        </is>
      </c>
      <c r="Q200" s="5" t="inlineStr">
        <is>
          <t>Halifax</t>
        </is>
      </c>
      <c r="R200" s="5" t="inlineStr">
        <is>
          <t>West Yorkshire</t>
        </is>
      </c>
      <c r="S200" s="5" t="inlineStr">
        <is>
          <t>HX3 7DX</t>
        </is>
      </c>
      <c r="T200" s="5" t="inlineStr">
        <is>
          <t>Yorkshire &amp; Humber</t>
        </is>
      </c>
      <c r="U200" s="5" t="inlineStr">
        <is>
          <t>England</t>
        </is>
      </c>
      <c r="V200" s="5" t="inlineStr"/>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convenience; post office services</t>
        </is>
      </c>
      <c r="AL200" s="5" t="inlineStr"/>
      <c r="AM200" s="5" t="inlineStr">
        <is>
          <t>Convenience Store</t>
        </is>
      </c>
      <c r="AN200" s="5" t="inlineStr"/>
      <c r="AO200" s="5" t="inlineStr">
        <is>
          <t>Described as a family-run convenience store; long opening hours (to 9pm daily). Post office counter is a franchise of Post Office Ltd but the shop is independently owned.</t>
        </is>
      </c>
      <c r="AP200" s="5" t="inlineStr">
        <is>
          <t>Low</t>
        </is>
      </c>
      <c r="AQ200" s="5" t="inlineStr">
        <is>
          <t>Independent retailer; Relevant category</t>
        </is>
      </c>
      <c r="AR200" s="5" t="inlineStr">
        <is>
          <t>https://www.postoffice.co.uk/branch-finder/6204589/northowram</t>
        </is>
      </c>
      <c r="AS200" s="5" t="inlineStr">
        <is>
          <t>https://www.royalmail.com/services-near-you/post-office/northowram-hx3-7dx</t>
        </is>
      </c>
      <c r="AT200" s="5" t="inlineStr">
        <is>
          <t>2</t>
        </is>
      </c>
      <c r="AU200" s="5" t="inlineStr">
        <is>
          <t>No</t>
        </is>
      </c>
      <c r="AV200" s="5" t="inlineStr">
        <is>
          <t>No</t>
        </is>
      </c>
      <c r="AW200" s="5" t="inlineStr">
        <is>
          <t>No</t>
        </is>
      </c>
      <c r="AX200" s="5" t="inlineStr">
        <is>
          <t>No</t>
        </is>
      </c>
      <c r="AY200" s="5" t="inlineStr">
        <is>
          <t>Not Found</t>
        </is>
      </c>
      <c r="AZ200" s="5" t="inlineStr">
        <is>
          <t>Not Found</t>
        </is>
      </c>
      <c r="BA200" s="5" t="inlineStr">
        <is>
          <t>2026-09-16</t>
        </is>
      </c>
      <c r="BB200" s="5" t="inlineStr">
        <is>
          <t>Requires Verification</t>
        </is>
      </c>
      <c r="BC200" s="5" t="inlineStr">
        <is>
          <t>Medium</t>
        </is>
      </c>
      <c r="BD200" s="5" t="inlineStr"/>
      <c r="BE200" s="5" t="inlineStr">
        <is>
          <t>Business (B2B)</t>
        </is>
      </c>
      <c r="BF200" s="5" t="inlineStr">
        <is>
          <t>Legitimate interest (B2B) - assess per campaign; PECR: corporate subscribers</t>
        </is>
      </c>
      <c r="BG200" s="5" t="inlineStr"/>
      <c r="BH200" s="5" t="inlineStr">
        <is>
          <t>No</t>
        </is>
      </c>
      <c r="BI200" s="5" t="inlineStr">
        <is>
          <t>2026-09-16</t>
        </is>
      </c>
      <c r="BJ200" s="5" t="inlineStr">
        <is>
          <t>New</t>
        </is>
      </c>
      <c r="BK200" s="5" t="inlineStr">
        <is>
          <t>2026-09-16</t>
        </is>
      </c>
      <c r="BL200" s="5" t="inlineStr"/>
      <c r="BM200" s="5" t="inlineStr"/>
      <c r="BN200" s="5" t="inlineStr"/>
      <c r="BO200" s="5" t="inlineStr"/>
      <c r="BP200" s="5" t="inlineStr"/>
      <c r="BQ200" s="5" t="inlineStr"/>
    </row>
    <row r="201">
      <c r="A201" s="10" t="inlineStr">
        <is>
          <t>WY-0127</t>
        </is>
      </c>
      <c r="B201" s="10" t="inlineStr">
        <is>
          <t>WY-0127-01</t>
        </is>
      </c>
      <c r="C201" s="10" t="inlineStr"/>
      <c r="D201" s="10" t="inlineStr">
        <is>
          <t>Notay Convenience Store (Premier)</t>
        </is>
      </c>
      <c r="E201" s="10" t="inlineStr">
        <is>
          <t>Notay Convenience Store</t>
        </is>
      </c>
      <c r="F201" s="10" t="inlineStr"/>
      <c r="G201" s="10" t="inlineStr">
        <is>
          <t>Convenience Store</t>
        </is>
      </c>
      <c r="H201" s="10" t="inlineStr">
        <is>
          <t>Premier symbol group convenience store</t>
        </is>
      </c>
      <c r="I201" s="10" t="inlineStr">
        <is>
          <t>Franchise / Symbol Group</t>
        </is>
      </c>
      <c r="J201" s="10" t="inlineStr">
        <is>
          <t>1</t>
        </is>
      </c>
      <c r="K201" s="10" t="inlineStr">
        <is>
          <t>https://www.premier-stores.co.uk/our-stores/notay-convenience-store</t>
        </is>
      </c>
      <c r="L201" s="10" t="inlineStr"/>
      <c r="M201" s="10" t="inlineStr"/>
      <c r="N201" s="10" t="inlineStr"/>
      <c r="O201" s="10" t="inlineStr">
        <is>
          <t>Oakhill Road</t>
        </is>
      </c>
      <c r="P201" s="10" t="inlineStr"/>
      <c r="Q201" s="10" t="inlineStr">
        <is>
          <t>Batley</t>
        </is>
      </c>
      <c r="R201" s="10" t="inlineStr">
        <is>
          <t>West Yorkshire</t>
        </is>
      </c>
      <c r="S201" s="10" t="inlineStr">
        <is>
          <t>WF17 8JD</t>
        </is>
      </c>
      <c r="T201" s="10" t="inlineStr">
        <is>
          <t>Yorkshire &amp; Humber</t>
        </is>
      </c>
      <c r="U201" s="10" t="inlineStr">
        <is>
          <t>England</t>
        </is>
      </c>
      <c r="V201" s="10" t="inlineStr">
        <is>
          <t>01924 471483</t>
        </is>
      </c>
      <c r="W201" s="10" t="inlineStr"/>
      <c r="X201" s="10" t="inlineStr"/>
      <c r="Y201" s="10" t="inlineStr"/>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convenience goods; alcohol; tobacco; groceries</t>
        </is>
      </c>
      <c r="AL201" s="10" t="inlineStr"/>
      <c r="AM201" s="10" t="inlineStr">
        <is>
          <t>Convenience Store</t>
        </is>
      </c>
      <c r="AN201" s="10" t="inlineStr">
        <is>
          <t>Premier (Booker) symbol group</t>
        </is>
      </c>
      <c r="AO201" s="10" t="inlineStr">
        <is>
          <t>Independently owned store trading under the Premier fascia; listed on the official Premier Stores locator.</t>
        </is>
      </c>
      <c r="AP201" s="10" t="inlineStr">
        <is>
          <t>Medium</t>
        </is>
      </c>
      <c r="AQ201" s="10" t="inlineStr">
        <is>
          <t>Independent retailer; Relevant category; Active website</t>
        </is>
      </c>
      <c r="AR201" s="10" t="inlineStr">
        <is>
          <t>https://www.premier-stores.co.uk/our-stores/notay-convenience-store</t>
        </is>
      </c>
      <c r="AS201" s="10" t="inlineStr"/>
      <c r="AT201" s="10" t="inlineStr">
        <is>
          <t>1</t>
        </is>
      </c>
      <c r="AU201" s="10" t="inlineStr">
        <is>
          <t>No</t>
        </is>
      </c>
      <c r="AV201" s="10" t="inlineStr">
        <is>
          <t>No</t>
        </is>
      </c>
      <c r="AW201" s="10" t="inlineStr">
        <is>
          <t>No</t>
        </is>
      </c>
      <c r="AX201" s="10" t="inlineStr">
        <is>
          <t>No</t>
        </is>
      </c>
      <c r="AY201" s="10" t="inlineStr">
        <is>
          <t>Verified directory</t>
        </is>
      </c>
      <c r="AZ201" s="10" t="inlineStr">
        <is>
          <t>Not Found</t>
        </is>
      </c>
      <c r="BA201" s="10" t="inlineStr">
        <is>
          <t>2026-09-16</t>
        </is>
      </c>
      <c r="BB201" s="10" t="inlineStr">
        <is>
          <t>Requires Verification</t>
        </is>
      </c>
      <c r="BC201" s="10" t="inlineStr">
        <is>
          <t>Medium</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2026-09-16</t>
        </is>
      </c>
      <c r="BJ201" s="10" t="inlineStr">
        <is>
          <t>New</t>
        </is>
      </c>
      <c r="BK201" s="10" t="inlineStr">
        <is>
          <t>2026-09-16</t>
        </is>
      </c>
      <c r="BL201" s="10" t="inlineStr"/>
      <c r="BM201" s="10" t="inlineStr"/>
      <c r="BN201" s="10" t="inlineStr"/>
      <c r="BO201" s="10" t="inlineStr"/>
      <c r="BP201" s="10" t="inlineStr"/>
      <c r="BQ201" s="10" t="inlineStr"/>
    </row>
    <row r="202">
      <c r="A202" s="5" t="inlineStr">
        <is>
          <t>WY-0128</t>
        </is>
      </c>
      <c r="B202" s="5" t="inlineStr">
        <is>
          <t>WY-0128-01</t>
        </is>
      </c>
      <c r="C202" s="5" t="inlineStr"/>
      <c r="D202" s="5" t="inlineStr">
        <is>
          <t>Off Licence and Convenience Store (Cutsyke)</t>
        </is>
      </c>
      <c r="E202" s="5" t="inlineStr">
        <is>
          <t>Off Licence and Convenience Store</t>
        </is>
      </c>
      <c r="F202" s="5" t="inlineStr"/>
      <c r="G202" s="5" t="inlineStr">
        <is>
          <t>Off-Licence</t>
        </is>
      </c>
      <c r="H202" s="5" t="inlineStr">
        <is>
          <t>Off-licence and convenience store</t>
        </is>
      </c>
      <c r="I202" s="5" t="inlineStr">
        <is>
          <t>Independent</t>
        </is>
      </c>
      <c r="J202" s="5" t="inlineStr">
        <is>
          <t>1</t>
        </is>
      </c>
      <c r="K202" s="5" t="inlineStr"/>
      <c r="L202" s="5" t="inlineStr"/>
      <c r="M202" s="5" t="inlineStr"/>
      <c r="N202" s="5" t="inlineStr"/>
      <c r="O202" s="5" t="inlineStr">
        <is>
          <t>2 Leeds Road</t>
        </is>
      </c>
      <c r="P202" s="5" t="inlineStr">
        <is>
          <t>Cutsyke</t>
        </is>
      </c>
      <c r="Q202" s="5" t="inlineStr">
        <is>
          <t>Castleford</t>
        </is>
      </c>
      <c r="R202" s="5" t="inlineStr">
        <is>
          <t>West Yorkshire</t>
        </is>
      </c>
      <c r="S202" s="5" t="inlineStr">
        <is>
          <t>WF10 5HA</t>
        </is>
      </c>
      <c r="T202" s="5" t="inlineStr">
        <is>
          <t>Yorkshire &amp; Humber</t>
        </is>
      </c>
      <c r="U202" s="5" t="inlineStr">
        <is>
          <t>England</t>
        </is>
      </c>
      <c r="V202" s="5" t="inlineStr"/>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alcohol; convenience grocery</t>
        </is>
      </c>
      <c r="AL202" s="5" t="inlineStr"/>
      <c r="AM202" s="5" t="inlineStr">
        <is>
          <t>Off-Licence</t>
        </is>
      </c>
      <c r="AN202" s="5" t="inlineStr"/>
      <c r="AO202" s="5" t="inlineStr">
        <is>
          <t>Registered on the FSA food hygiene register under the generic name 'Off Licence and Convenience Store'; actual fascia/trading name needs on-the-ground or Google Business verification.</t>
        </is>
      </c>
      <c r="AP202" s="5" t="inlineStr">
        <is>
          <t>Low</t>
        </is>
      </c>
      <c r="AQ202" s="5" t="inlineStr">
        <is>
          <t>Independent retailer; Relevant category</t>
        </is>
      </c>
      <c r="AR202" s="5" t="inlineStr">
        <is>
          <t>https://ratings.food.gov.uk/business/1268724/off-licence-and-convenience-store-castleford</t>
        </is>
      </c>
      <c r="AS202" s="5" t="inlineStr"/>
      <c r="AT202" s="5" t="inlineStr">
        <is>
          <t>1</t>
        </is>
      </c>
      <c r="AU202" s="5" t="inlineStr">
        <is>
          <t>No</t>
        </is>
      </c>
      <c r="AV202" s="5" t="inlineStr">
        <is>
          <t>No</t>
        </is>
      </c>
      <c r="AW202" s="5" t="inlineStr">
        <is>
          <t>No</t>
        </is>
      </c>
      <c r="AX202" s="5" t="inlineStr">
        <is>
          <t>No</t>
        </is>
      </c>
      <c r="AY202" s="5" t="inlineStr">
        <is>
          <t>Not Found</t>
        </is>
      </c>
      <c r="AZ202" s="5" t="inlineStr">
        <is>
          <t>Not Found</t>
        </is>
      </c>
      <c r="BA202" s="5" t="inlineStr">
        <is>
          <t>2026-09-16</t>
        </is>
      </c>
      <c r="BB202" s="5" t="inlineStr">
        <is>
          <t>Requires Verification</t>
        </is>
      </c>
      <c r="BC202" s="5" t="inlineStr">
        <is>
          <t>Low</t>
        </is>
      </c>
      <c r="BD202" s="5" t="inlineStr"/>
      <c r="BE202" s="5" t="inlineStr">
        <is>
          <t>Business (B2B)</t>
        </is>
      </c>
      <c r="BF202" s="5" t="inlineStr">
        <is>
          <t>Legitimate interest (B2B) - assess per campaign; PECR: corporate subscribers</t>
        </is>
      </c>
      <c r="BG202" s="5" t="inlineStr"/>
      <c r="BH202" s="5" t="inlineStr">
        <is>
          <t>No</t>
        </is>
      </c>
      <c r="BI202" s="5" t="inlineStr">
        <is>
          <t>2026-09-16</t>
        </is>
      </c>
      <c r="BJ202" s="5" t="inlineStr">
        <is>
          <t>New</t>
        </is>
      </c>
      <c r="BK202" s="5" t="inlineStr">
        <is>
          <t>2026-09-16</t>
        </is>
      </c>
      <c r="BL202" s="5" t="inlineStr"/>
      <c r="BM202" s="5" t="inlineStr"/>
      <c r="BN202" s="5" t="inlineStr"/>
      <c r="BO202" s="5" t="inlineStr"/>
      <c r="BP202" s="5" t="inlineStr"/>
      <c r="BQ202" s="5" t="inlineStr"/>
    </row>
    <row r="203">
      <c r="A203" s="10" t="inlineStr">
        <is>
          <t>WY-0129</t>
        </is>
      </c>
      <c r="B203" s="10" t="inlineStr">
        <is>
          <t>WY-0129-01</t>
        </is>
      </c>
      <c r="C203" s="10" t="inlineStr"/>
      <c r="D203" s="10" t="inlineStr">
        <is>
          <t>Outwood Express</t>
        </is>
      </c>
      <c r="E203" s="10" t="inlineStr">
        <is>
          <t>Outwood Express</t>
        </is>
      </c>
      <c r="F203" s="10" t="inlineStr"/>
      <c r="G203" s="10" t="inlineStr">
        <is>
          <t>Convenience Store</t>
        </is>
      </c>
      <c r="H203" s="10" t="inlineStr">
        <is>
          <t>Convenience store / grocer</t>
        </is>
      </c>
      <c r="I203" s="10" t="inlineStr">
        <is>
          <t>Independent</t>
        </is>
      </c>
      <c r="J203" s="10" t="inlineStr">
        <is>
          <t>1</t>
        </is>
      </c>
      <c r="K203" s="10" t="inlineStr"/>
      <c r="L203" s="10" t="inlineStr"/>
      <c r="M203" s="10" t="inlineStr"/>
      <c r="N203" s="10" t="inlineStr"/>
      <c r="O203" s="10" t="inlineStr"/>
      <c r="P203" s="10" t="inlineStr">
        <is>
          <t>Outwood</t>
        </is>
      </c>
      <c r="Q203" s="10" t="inlineStr">
        <is>
          <t>Wakefield</t>
        </is>
      </c>
      <c r="R203" s="10" t="inlineStr">
        <is>
          <t>West Yorkshire</t>
        </is>
      </c>
      <c r="S203" s="10" t="inlineStr"/>
      <c r="T203" s="10" t="inlineStr">
        <is>
          <t>Yorkshire &amp; Humber</t>
        </is>
      </c>
      <c r="U203" s="10" t="inlineStr">
        <is>
          <t>England</t>
        </is>
      </c>
      <c r="V203" s="10" t="inlineStr"/>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grocery; convenience</t>
        </is>
      </c>
      <c r="AL203" s="10" t="inlineStr"/>
      <c r="AM203" s="10" t="inlineStr">
        <is>
          <t>Convenience Store</t>
        </is>
      </c>
      <c r="AN203" s="10" t="inlineStr"/>
      <c r="AO203" s="10" t="inlineStr">
        <is>
          <t>Listed on Yell under Grocers &amp; Convenience Stores, Wakefield WF1 (Outwood). Full address/phone behind Yell listing which could not be fetched - needs follow-up.</t>
        </is>
      </c>
      <c r="AP203" s="10" t="inlineStr">
        <is>
          <t>Low</t>
        </is>
      </c>
      <c r="AQ203" s="10" t="inlineStr">
        <is>
          <t>Independent retailer; Relevant category</t>
        </is>
      </c>
      <c r="AR203" s="10" t="inlineStr">
        <is>
          <t>https://www.yell.com/biz/outwood-express-wakefield-10165328/</t>
        </is>
      </c>
      <c r="AS203" s="10" t="inlineStr"/>
      <c r="AT203" s="10" t="inlineStr">
        <is>
          <t>1</t>
        </is>
      </c>
      <c r="AU203" s="10" t="inlineStr">
        <is>
          <t>No</t>
        </is>
      </c>
      <c r="AV203" s="10" t="inlineStr">
        <is>
          <t>No</t>
        </is>
      </c>
      <c r="AW203" s="10" t="inlineStr">
        <is>
          <t>No</t>
        </is>
      </c>
      <c r="AX203" s="10" t="inlineStr">
        <is>
          <t>No</t>
        </is>
      </c>
      <c r="AY203" s="10" t="inlineStr">
        <is>
          <t>Not Found</t>
        </is>
      </c>
      <c r="AZ203" s="10" t="inlineStr">
        <is>
          <t>Not Found</t>
        </is>
      </c>
      <c r="BA203" s="10" t="inlineStr">
        <is>
          <t>2026-09-16</t>
        </is>
      </c>
      <c r="BB203" s="10" t="inlineStr">
        <is>
          <t>Requires Verification</t>
        </is>
      </c>
      <c r="BC203" s="10" t="inlineStr">
        <is>
          <t>Low</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2026-09-16</t>
        </is>
      </c>
      <c r="BJ203" s="10" t="inlineStr">
        <is>
          <t>New</t>
        </is>
      </c>
      <c r="BK203" s="10" t="inlineStr">
        <is>
          <t>2026-09-16</t>
        </is>
      </c>
      <c r="BL203" s="10" t="inlineStr"/>
      <c r="BM203" s="10" t="inlineStr"/>
      <c r="BN203" s="10" t="inlineStr"/>
      <c r="BO203" s="10" t="inlineStr"/>
      <c r="BP203" s="10" t="inlineStr"/>
      <c r="BQ203" s="10" t="inlineStr"/>
    </row>
    <row r="204">
      <c r="A204" s="5" t="inlineStr">
        <is>
          <t>WY-0130</t>
        </is>
      </c>
      <c r="B204" s="5" t="inlineStr">
        <is>
          <t>WY-0130-01</t>
        </is>
      </c>
      <c r="C204" s="5" t="inlineStr"/>
      <c r="D204" s="5" t="inlineStr">
        <is>
          <t>Pakeezah Superstore</t>
        </is>
      </c>
      <c r="E204" s="5" t="inlineStr">
        <is>
          <t>Pakeezah</t>
        </is>
      </c>
      <c r="F204" s="5" t="inlineStr"/>
      <c r="G204" s="5" t="inlineStr">
        <is>
          <t>Independent Supermarket</t>
        </is>
      </c>
      <c r="H204" s="5" t="inlineStr">
        <is>
          <t>Asian / halal superstore with curry counter</t>
        </is>
      </c>
      <c r="I204" s="5" t="inlineStr">
        <is>
          <t>Independent</t>
        </is>
      </c>
      <c r="J204" s="5" t="inlineStr">
        <is>
          <t>1</t>
        </is>
      </c>
      <c r="K204" s="5" t="inlineStr">
        <is>
          <t>https://www.pakeezah.com/</t>
        </is>
      </c>
      <c r="L204" s="5" t="inlineStr">
        <is>
          <t>https://www.facebook.com/PakeezahGourmet/</t>
        </is>
      </c>
      <c r="M204" s="5" t="inlineStr"/>
      <c r="N204" s="5" t="inlineStr"/>
      <c r="O204" s="5" t="inlineStr">
        <is>
          <t>91 Edderthorpe Street</t>
        </is>
      </c>
      <c r="P204" s="5" t="inlineStr"/>
      <c r="Q204" s="5" t="inlineStr">
        <is>
          <t>Bradford</t>
        </is>
      </c>
      <c r="R204" s="5" t="inlineStr">
        <is>
          <t>West Yorkshire</t>
        </is>
      </c>
      <c r="S204" s="5" t="inlineStr">
        <is>
          <t>BD3 9UD</t>
        </is>
      </c>
      <c r="T204" s="5" t="inlineStr">
        <is>
          <t>Yorkshire &amp; Humber</t>
        </is>
      </c>
      <c r="U204" s="5" t="inlineStr">
        <is>
          <t>England</t>
        </is>
      </c>
      <c r="V204" s="5" t="inlineStr">
        <is>
          <t>01274 739500</t>
        </is>
      </c>
      <c r="W204" s="5" t="inlineStr"/>
      <c r="X204" s="5" t="inlineStr"/>
      <c r="Y204" s="5" t="inlineStr">
        <is>
          <t>info@pakeezah.com</t>
        </is>
      </c>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halal meat; Asian groceries; fresh produce; prepared foods</t>
        </is>
      </c>
      <c r="AL204" s="5" t="inlineStr"/>
      <c r="AM204" s="5" t="inlineStr">
        <is>
          <t>Independent Supermarket</t>
        </is>
      </c>
      <c r="AN204" s="5" t="inlineStr"/>
      <c r="AO204" s="5" t="inlineStr">
        <is>
          <t>Well-known Bradford Asian superstore, open daily 9am-9pm. Address and phone consistent across Thomson Local, Yelp and Hotfrog.</t>
        </is>
      </c>
      <c r="AP204" s="5" t="inlineStr">
        <is>
          <t>Medium</t>
        </is>
      </c>
      <c r="AQ204" s="5" t="inlineStr">
        <is>
          <t>Independent retailer; Relevant category; Public email available; Active website; Social presence</t>
        </is>
      </c>
      <c r="AR204" s="5" t="inlineStr">
        <is>
          <t>https://www.thomsonlocal.com/search/supermarkets/bradford-keighley-skipton/pakeezah/1241547/01274739500</t>
        </is>
      </c>
      <c r="AS204" s="5" t="inlineStr">
        <is>
          <t>https://www.yelp.com/biz/pakeezah-superstore-bradford</t>
        </is>
      </c>
      <c r="AT204" s="5" t="inlineStr">
        <is>
          <t>3</t>
        </is>
      </c>
      <c r="AU204" s="5" t="inlineStr">
        <is>
          <t>No</t>
        </is>
      </c>
      <c r="AV204" s="5" t="inlineStr">
        <is>
          <t>No</t>
        </is>
      </c>
      <c r="AW204" s="5" t="inlineStr">
        <is>
          <t>Yes</t>
        </is>
      </c>
      <c r="AX204" s="5" t="inlineStr">
        <is>
          <t>No</t>
        </is>
      </c>
      <c r="AY204" s="5" t="inlineStr">
        <is>
          <t>Verified directory</t>
        </is>
      </c>
      <c r="AZ204" s="5" t="inlineStr">
        <is>
          <t>Website Found</t>
        </is>
      </c>
      <c r="BA204" s="5" t="inlineStr">
        <is>
          <t>2026-09-16</t>
        </is>
      </c>
      <c r="BB204" s="5" t="inlineStr">
        <is>
          <t>Partially Verified</t>
        </is>
      </c>
      <c r="BC204" s="5" t="inlineStr">
        <is>
          <t>Medium</t>
        </is>
      </c>
      <c r="BD204" s="5" t="inlineStr"/>
      <c r="BE204" s="5" t="inlineStr">
        <is>
          <t>Business (B2B)</t>
        </is>
      </c>
      <c r="BF204" s="5" t="inlineStr">
        <is>
          <t>Legitimate interest (B2B) - assess per campaign; PECR: corporate subscribers</t>
        </is>
      </c>
      <c r="BG204" s="5" t="inlineStr"/>
      <c r="BH204" s="5" t="inlineStr">
        <is>
          <t>No</t>
        </is>
      </c>
      <c r="BI204" s="5" t="inlineStr">
        <is>
          <t>2026-09-16</t>
        </is>
      </c>
      <c r="BJ204" s="5" t="inlineStr">
        <is>
          <t>New</t>
        </is>
      </c>
      <c r="BK204" s="5" t="inlineStr">
        <is>
          <t>2026-09-16</t>
        </is>
      </c>
      <c r="BL204" s="5" t="inlineStr"/>
      <c r="BM204" s="5" t="inlineStr"/>
      <c r="BN204" s="5" t="inlineStr"/>
      <c r="BO204" s="5" t="inlineStr"/>
      <c r="BP204" s="5" t="inlineStr"/>
      <c r="BQ204" s="5" t="inlineStr"/>
    </row>
    <row r="205">
      <c r="A205" s="10" t="inlineStr">
        <is>
          <t>WY-0131</t>
        </is>
      </c>
      <c r="B205" s="10" t="inlineStr">
        <is>
          <t>WY-0131-01</t>
        </is>
      </c>
      <c r="C205" s="10" t="inlineStr"/>
      <c r="D205" s="10" t="inlineStr">
        <is>
          <t>Phantom Vape Store</t>
        </is>
      </c>
      <c r="E205" s="10" t="inlineStr">
        <is>
          <t>Phantom Vapes</t>
        </is>
      </c>
      <c r="F205" s="10" t="inlineStr"/>
      <c r="G205" s="10" t="inlineStr">
        <is>
          <t>Vape Shop</t>
        </is>
      </c>
      <c r="H205" s="10" t="inlineStr">
        <is>
          <t>Pods, kits, e-liquids and accessories</t>
        </is>
      </c>
      <c r="I205" s="10" t="inlineStr">
        <is>
          <t>Independent</t>
        </is>
      </c>
      <c r="J205" s="10" t="inlineStr">
        <is>
          <t>1</t>
        </is>
      </c>
      <c r="K205" s="10" t="inlineStr">
        <is>
          <t>https://www.phantomvapes.co.uk/</t>
        </is>
      </c>
      <c r="L205" s="10" t="inlineStr">
        <is>
          <t>https://www.facebook.com/61578393599194/</t>
        </is>
      </c>
      <c r="M205" s="10" t="inlineStr"/>
      <c r="N205" s="10" t="inlineStr"/>
      <c r="O205" s="10" t="inlineStr">
        <is>
          <t>17 Slaithwaite Road</t>
        </is>
      </c>
      <c r="P205" s="10" t="inlineStr">
        <is>
          <t>Thornhill Lees</t>
        </is>
      </c>
      <c r="Q205" s="10" t="inlineStr">
        <is>
          <t>Dewsbury</t>
        </is>
      </c>
      <c r="R205" s="10" t="inlineStr">
        <is>
          <t>West Yorkshire</t>
        </is>
      </c>
      <c r="S205" s="10" t="inlineStr">
        <is>
          <t>WF12 9DJ</t>
        </is>
      </c>
      <c r="T205" s="10" t="inlineStr">
        <is>
          <t>Yorkshire &amp; Humber</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c r="AK205" s="10" t="inlineStr">
        <is>
          <t>vape hardware; pod systems; e-liquids; accessories</t>
        </is>
      </c>
      <c r="AL205" s="10" t="inlineStr"/>
      <c r="AM205" s="10" t="inlineStr">
        <is>
          <t>Vape Shop</t>
        </is>
      </c>
      <c r="AN205" s="10" t="inlineStr"/>
      <c r="AO205" s="10" t="inlineStr">
        <is>
          <t>Address published on the business's own website (seen in search results); site fetch blocked by proxy so phone/email not captured.</t>
        </is>
      </c>
      <c r="AP205" s="10" t="inlineStr">
        <is>
          <t>Medium</t>
        </is>
      </c>
      <c r="AQ205" s="10" t="inlineStr">
        <is>
          <t>Independent retailer; Core relevant category; Active website; Social presence</t>
        </is>
      </c>
      <c r="AR205" s="10" t="inlineStr">
        <is>
          <t>https://www.phantomvapes.co.uk/vape-shop-dewsbury</t>
        </is>
      </c>
      <c r="AS205" s="10" t="inlineStr">
        <is>
          <t>https://www.facebook.com/61578393599194/</t>
        </is>
      </c>
      <c r="AT205" s="10" t="inlineStr">
        <is>
          <t>2</t>
        </is>
      </c>
      <c r="AU205" s="10" t="inlineStr">
        <is>
          <t>No</t>
        </is>
      </c>
      <c r="AV205" s="10" t="inlineStr">
        <is>
          <t>No</t>
        </is>
      </c>
      <c r="AW205" s="10" t="inlineStr">
        <is>
          <t>No</t>
        </is>
      </c>
      <c r="AX205" s="10" t="inlineStr">
        <is>
          <t>No</t>
        </is>
      </c>
      <c r="AY205" s="10" t="inlineStr">
        <is>
          <t>Not Found</t>
        </is>
      </c>
      <c r="AZ205" s="10" t="inlineStr">
        <is>
          <t>Website Found</t>
        </is>
      </c>
      <c r="BA205" s="10" t="inlineStr">
        <is>
          <t>2026-09-16</t>
        </is>
      </c>
      <c r="BB205" s="10" t="inlineStr">
        <is>
          <t>Requires Verification</t>
        </is>
      </c>
      <c r="BC205" s="10" t="inlineStr">
        <is>
          <t>Medium</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2026-09-16</t>
        </is>
      </c>
      <c r="BJ205" s="10" t="inlineStr">
        <is>
          <t>New</t>
        </is>
      </c>
      <c r="BK205" s="10" t="inlineStr">
        <is>
          <t>2026-09-16</t>
        </is>
      </c>
      <c r="BL205" s="10" t="inlineStr"/>
      <c r="BM205" s="10" t="inlineStr"/>
      <c r="BN205" s="10" t="inlineStr"/>
      <c r="BO205" s="10" t="inlineStr"/>
      <c r="BP205" s="10" t="inlineStr"/>
      <c r="BQ205" s="10" t="inlineStr"/>
    </row>
    <row r="206">
      <c r="A206" s="5" t="inlineStr">
        <is>
          <t>WY-0132</t>
        </is>
      </c>
      <c r="B206" s="5" t="inlineStr">
        <is>
          <t>WY-0132-01</t>
        </is>
      </c>
      <c r="C206" s="5" t="inlineStr"/>
      <c r="D206" s="5" t="inlineStr">
        <is>
          <t>Phoenix Filling Station</t>
        </is>
      </c>
      <c r="E206" s="5" t="inlineStr">
        <is>
          <t>Phoenix Filling Station (BP)</t>
        </is>
      </c>
      <c r="F206" s="5" t="inlineStr">
        <is>
          <t>Phoenix Filling Station Ltd</t>
        </is>
      </c>
      <c r="G206" s="5" t="inlineStr">
        <is>
          <t>Petrol Station / Forecourt</t>
        </is>
      </c>
      <c r="H206" s="5" t="inlineStr">
        <is>
          <t>Independent BP-branded 24-hour forecourt with shop</t>
        </is>
      </c>
      <c r="I206" s="5" t="inlineStr">
        <is>
          <t>Independent</t>
        </is>
      </c>
      <c r="J206" s="5" t="inlineStr">
        <is>
          <t>1</t>
        </is>
      </c>
      <c r="K206" s="5" t="inlineStr"/>
      <c r="L206" s="5" t="inlineStr">
        <is>
          <t>https://www.facebook.com/phoenixFST/</t>
        </is>
      </c>
      <c r="M206" s="5" t="inlineStr"/>
      <c r="N206" s="5" t="inlineStr"/>
      <c r="O206" s="5" t="inlineStr">
        <is>
          <t>93 Listerhills Road</t>
        </is>
      </c>
      <c r="P206" s="5" t="inlineStr"/>
      <c r="Q206" s="5" t="inlineStr">
        <is>
          <t>Bradford</t>
        </is>
      </c>
      <c r="R206" s="5" t="inlineStr">
        <is>
          <t>West Yorkshire</t>
        </is>
      </c>
      <c r="S206" s="5" t="inlineStr">
        <is>
          <t>BD7 1JT</t>
        </is>
      </c>
      <c r="T206" s="5" t="inlineStr">
        <is>
          <t>Yorkshire &amp; Humber</t>
        </is>
      </c>
      <c r="U206" s="5" t="inlineStr">
        <is>
          <t>England</t>
        </is>
      </c>
      <c r="V206" s="5" t="inlineStr">
        <is>
          <t>01274 721896</t>
        </is>
      </c>
      <c r="W206" s="5" t="inlineStr"/>
      <c r="X206" s="5" t="inlineStr"/>
      <c r="Y206" s="5" t="inlineStr"/>
      <c r="Z206" s="5" t="inlineStr"/>
      <c r="AA206" s="5" t="inlineStr"/>
      <c r="AB206" s="5" t="inlineStr"/>
      <c r="AC206" s="5" t="inlineStr"/>
      <c r="AD206" s="5" t="inlineStr"/>
      <c r="AE206" s="5" t="inlineStr">
        <is>
          <t>11511613</t>
        </is>
      </c>
      <c r="AF206" s="5" t="inlineStr"/>
      <c r="AG206" s="5" t="inlineStr">
        <is>
          <t>PHOENIX FILLING STATION LTD</t>
        </is>
      </c>
      <c r="AH206" s="5" t="inlineStr"/>
      <c r="AI206" s="5" t="inlineStr"/>
      <c r="AJ206" s="5" t="inlineStr"/>
      <c r="AK206" s="5" t="inlineStr">
        <is>
          <t>fuel; convenience shop lines</t>
        </is>
      </c>
      <c r="AL206" s="5" t="inlineStr"/>
      <c r="AM206" s="5" t="inlineStr">
        <is>
          <t>Petrol Station / Forecourt</t>
        </is>
      </c>
      <c r="AN206" s="5" t="inlineStr"/>
      <c r="AO206" s="5" t="inlineStr">
        <is>
          <t>Independently owned limited company operating a BP-branded 24/7 forecourt with well-stocked shop near the university quarter.</t>
        </is>
      </c>
      <c r="AP206" s="5" t="inlineStr">
        <is>
          <t>Medium</t>
        </is>
      </c>
      <c r="AQ206" s="5" t="inlineStr">
        <is>
          <t>Independent retailer; Relevant category; Social presence</t>
        </is>
      </c>
      <c r="AR206" s="5" t="inlineStr">
        <is>
          <t>https://find-and-update.company-information.service.gov.uk/company/11511613</t>
        </is>
      </c>
      <c r="AS206" s="5" t="inlineStr">
        <is>
          <t>https://www.mylocalservices.co.uk/Phoenix+Filling+Station-Bradford-2646217.html</t>
        </is>
      </c>
      <c r="AT206" s="5" t="inlineStr">
        <is>
          <t>3</t>
        </is>
      </c>
      <c r="AU206" s="5" t="inlineStr">
        <is>
          <t>No</t>
        </is>
      </c>
      <c r="AV206" s="5" t="inlineStr">
        <is>
          <t>No</t>
        </is>
      </c>
      <c r="AW206" s="5" t="inlineStr">
        <is>
          <t>No</t>
        </is>
      </c>
      <c r="AX206" s="5" t="inlineStr">
        <is>
          <t>Yes</t>
        </is>
      </c>
      <c r="AY206" s="5" t="inlineStr">
        <is>
          <t>Verified directory</t>
        </is>
      </c>
      <c r="AZ206" s="5" t="inlineStr">
        <is>
          <t>Not Found</t>
        </is>
      </c>
      <c r="BA206" s="5" t="inlineStr">
        <is>
          <t>2026-09-16</t>
        </is>
      </c>
      <c r="BB206" s="5" t="inlineStr">
        <is>
          <t>Partially Verified</t>
        </is>
      </c>
      <c r="BC206" s="5" t="inlineStr">
        <is>
          <t>Medium</t>
        </is>
      </c>
      <c r="BD206" s="5" t="inlineStr"/>
      <c r="BE206" s="5" t="inlineStr">
        <is>
          <t>Business (B2B)</t>
        </is>
      </c>
      <c r="BF206" s="5" t="inlineStr">
        <is>
          <t>Legitimate interest (B2B) - assess per campaign; PECR: corporate subscribers</t>
        </is>
      </c>
      <c r="BG206" s="5" t="inlineStr"/>
      <c r="BH206" s="5" t="inlineStr">
        <is>
          <t>No</t>
        </is>
      </c>
      <c r="BI206" s="5" t="inlineStr">
        <is>
          <t>2026-09-16</t>
        </is>
      </c>
      <c r="BJ206" s="5" t="inlineStr">
        <is>
          <t>New</t>
        </is>
      </c>
      <c r="BK206" s="5" t="inlineStr">
        <is>
          <t>2026-09-16</t>
        </is>
      </c>
      <c r="BL206" s="5" t="inlineStr"/>
      <c r="BM206" s="5" t="inlineStr"/>
      <c r="BN206" s="5" t="inlineStr"/>
      <c r="BO206" s="5" t="inlineStr"/>
      <c r="BP206" s="5" t="inlineStr"/>
      <c r="BQ206" s="5" t="inlineStr"/>
    </row>
    <row r="207">
      <c r="A207" s="10" t="inlineStr">
        <is>
          <t>UK-000267</t>
        </is>
      </c>
      <c r="B207" s="10" t="inlineStr">
        <is>
          <t>UK-000267-01</t>
        </is>
      </c>
      <c r="C207" s="10" t="inlineStr"/>
      <c r="D207" s="10" t="inlineStr">
        <is>
          <t>Platinum Vape Hull</t>
        </is>
      </c>
      <c r="E207" s="10" t="inlineStr">
        <is>
          <t>Platinum Vape</t>
        </is>
      </c>
      <c r="F207" s="10" t="inlineStr"/>
      <c r="G207" s="10" t="inlineStr">
        <is>
          <t>Vape Shop</t>
        </is>
      </c>
      <c r="H207" s="10" t="inlineStr">
        <is>
          <t>Disposables and e-liquid shop</t>
        </is>
      </c>
      <c r="I207" s="10" t="inlineStr">
        <is>
          <t>Independent</t>
        </is>
      </c>
      <c r="J207" s="10" t="inlineStr">
        <is>
          <t>1</t>
        </is>
      </c>
      <c r="K207" s="10" t="inlineStr"/>
      <c r="L207" s="10" t="inlineStr">
        <is>
          <t>https://www.facebook.com/PlatinumVapehull/</t>
        </is>
      </c>
      <c r="M207" s="10" t="inlineStr"/>
      <c r="N207" s="10" t="inlineStr"/>
      <c r="O207" s="10" t="inlineStr"/>
      <c r="P207" s="10" t="inlineStr"/>
      <c r="Q207" s="10" t="inlineStr">
        <is>
          <t>Kingston upon Hull</t>
        </is>
      </c>
      <c r="R207" s="10" t="inlineStr">
        <is>
          <t>East Riding of Yorkshire</t>
        </is>
      </c>
      <c r="S207" s="10" t="inlineStr"/>
      <c r="T207" s="10" t="inlineStr">
        <is>
          <t>Yorkshire &amp; Humber</t>
        </is>
      </c>
      <c r="U207" s="10" t="inlineStr">
        <is>
          <t>England</t>
        </is>
      </c>
      <c r="V207" s="10" t="inlineStr"/>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disposables; e-liquids; nicotine salts; hardware</t>
        </is>
      </c>
      <c r="AL207" s="10" t="inlineStr"/>
      <c r="AM207" s="10" t="inlineStr">
        <is>
          <t>Vape Shop</t>
        </is>
      </c>
      <c r="AN207" s="10" t="inlineStr"/>
      <c r="AO207" s="10" t="inlineStr">
        <is>
          <t>Independent vape shop; describes itself as most-stocked in Hull for disposables, e-liquid, hardware and nic salt. No address/phone in search results.</t>
        </is>
      </c>
      <c r="AP207" s="10" t="inlineStr">
        <is>
          <t>Medium</t>
        </is>
      </c>
      <c r="AQ207" s="10" t="inlineStr">
        <is>
          <t>Independent retailer; Core relevant category; Social presence</t>
        </is>
      </c>
      <c r="AR207" s="10" t="inlineStr">
        <is>
          <t>https://www.facebook.com/PlatinumVapehull/</t>
        </is>
      </c>
      <c r="AS207" s="10" t="inlineStr"/>
      <c r="AT207" s="10" t="inlineStr">
        <is>
          <t>1</t>
        </is>
      </c>
      <c r="AU207" s="10" t="inlineStr">
        <is>
          <t>No</t>
        </is>
      </c>
      <c r="AV207" s="10" t="inlineStr">
        <is>
          <t>No</t>
        </is>
      </c>
      <c r="AW207" s="10" t="inlineStr">
        <is>
          <t>No</t>
        </is>
      </c>
      <c r="AX207" s="10" t="inlineStr">
        <is>
          <t>No</t>
        </is>
      </c>
      <c r="AY207" s="10" t="inlineStr">
        <is>
          <t>Not Found</t>
        </is>
      </c>
      <c r="AZ207" s="10" t="inlineStr">
        <is>
          <t>Not Found</t>
        </is>
      </c>
      <c r="BA207" s="10" t="inlineStr">
        <is>
          <t>2026-09-16</t>
        </is>
      </c>
      <c r="BB207" s="10" t="inlineStr">
        <is>
          <t>Requires Verification</t>
        </is>
      </c>
      <c r="BC207" s="10" t="inlineStr">
        <is>
          <t>Low</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2026-09-16</t>
        </is>
      </c>
      <c r="BJ207" s="10" t="inlineStr">
        <is>
          <t>New</t>
        </is>
      </c>
      <c r="BK207" s="10" t="inlineStr">
        <is>
          <t>2026-09-16</t>
        </is>
      </c>
      <c r="BL207" s="10" t="inlineStr"/>
      <c r="BM207" s="10" t="inlineStr"/>
      <c r="BN207" s="10" t="inlineStr"/>
      <c r="BO207" s="10" t="inlineStr"/>
      <c r="BP207" s="10" t="inlineStr"/>
      <c r="BQ207" s="10" t="inlineStr"/>
    </row>
    <row r="208">
      <c r="A208" s="5" t="inlineStr">
        <is>
          <t>WY-0133</t>
        </is>
      </c>
      <c r="B208" s="5" t="inlineStr">
        <is>
          <t>WY-0133-01</t>
        </is>
      </c>
      <c r="C208" s="5" t="inlineStr"/>
      <c r="D208" s="5" t="inlineStr">
        <is>
          <t>Premier (Bingley Convenience Store)</t>
        </is>
      </c>
      <c r="E208" s="5" t="inlineStr">
        <is>
          <t>Premier Bingley Convenience Store</t>
        </is>
      </c>
      <c r="F208" s="5" t="inlineStr"/>
      <c r="G208" s="5" t="inlineStr">
        <is>
          <t>Convenience Store</t>
        </is>
      </c>
      <c r="H208" s="5" t="inlineStr">
        <is>
          <t>Symbol-group convenience store</t>
        </is>
      </c>
      <c r="I208" s="5" t="inlineStr">
        <is>
          <t>Franchise / Symbol Group</t>
        </is>
      </c>
      <c r="J208" s="5" t="inlineStr">
        <is>
          <t>1</t>
        </is>
      </c>
      <c r="K208" s="5" t="inlineStr"/>
      <c r="L208" s="5" t="inlineStr"/>
      <c r="M208" s="5" t="inlineStr"/>
      <c r="N208" s="5" t="inlineStr"/>
      <c r="O208" s="5" t="inlineStr"/>
      <c r="P208" s="5" t="inlineStr"/>
      <c r="Q208" s="5" t="inlineStr">
        <is>
          <t>Bingley</t>
        </is>
      </c>
      <c r="R208" s="5" t="inlineStr">
        <is>
          <t>West Yorkshire</t>
        </is>
      </c>
      <c r="S208" s="5" t="inlineStr"/>
      <c r="T208" s="5" t="inlineStr">
        <is>
          <t>Yorkshire &amp; Humber</t>
        </is>
      </c>
      <c r="U208" s="5" t="inlineStr">
        <is>
          <t>England</t>
        </is>
      </c>
      <c r="V208" s="5" t="inlineStr"/>
      <c r="W208" s="5" t="inlineStr"/>
      <c r="X208" s="5" t="inlineStr"/>
      <c r="Y208" s="5" t="inlineStr"/>
      <c r="Z208" s="5" t="inlineStr"/>
      <c r="AA208" s="5" t="inlineStr"/>
      <c r="AB208" s="5" t="inlineStr"/>
      <c r="AC208" s="5" t="inlineStr"/>
      <c r="AD208" s="5" t="inlineStr"/>
      <c r="AE208" s="5" t="inlineStr"/>
      <c r="AF208" s="5" t="inlineStr"/>
      <c r="AG208" s="5" t="inlineStr"/>
      <c r="AH208" s="5" t="inlineStr"/>
      <c r="AI208" s="5" t="inlineStr"/>
      <c r="AJ208" s="5" t="inlineStr"/>
      <c r="AK208" s="5" t="inlineStr">
        <is>
          <t>convenience lines; groceries; alcohol</t>
        </is>
      </c>
      <c r="AL208" s="5" t="inlineStr"/>
      <c r="AM208" s="5" t="inlineStr">
        <is>
          <t>Convenience Store</t>
        </is>
      </c>
      <c r="AN208" s="5" t="inlineStr"/>
      <c r="AO208" s="5" t="inlineStr">
        <is>
          <t>Independently owned Premier (Booker) symbol store in Bingley. Street address not captured - needs enrichment.</t>
        </is>
      </c>
      <c r="AP208" s="5" t="inlineStr">
        <is>
          <t>Low</t>
        </is>
      </c>
      <c r="AQ208" s="5" t="inlineStr">
        <is>
          <t>Independent retailer; Relevant category</t>
        </is>
      </c>
      <c r="AR208" s="5" t="inlineStr">
        <is>
          <t>https://www.yorkshire.com/bingley/shopping/corner-shops/premier-bingley-convenience-store</t>
        </is>
      </c>
      <c r="AS208" s="5" t="inlineStr"/>
      <c r="AT208" s="5" t="inlineStr">
        <is>
          <t>1</t>
        </is>
      </c>
      <c r="AU208" s="5" t="inlineStr">
        <is>
          <t>No</t>
        </is>
      </c>
      <c r="AV208" s="5" t="inlineStr">
        <is>
          <t>No</t>
        </is>
      </c>
      <c r="AW208" s="5" t="inlineStr">
        <is>
          <t>No</t>
        </is>
      </c>
      <c r="AX208" s="5" t="inlineStr">
        <is>
          <t>No</t>
        </is>
      </c>
      <c r="AY208" s="5" t="inlineStr">
        <is>
          <t>Not Found</t>
        </is>
      </c>
      <c r="AZ208" s="5" t="inlineStr">
        <is>
          <t>Not Found</t>
        </is>
      </c>
      <c r="BA208" s="5" t="inlineStr">
        <is>
          <t>2026-09-16</t>
        </is>
      </c>
      <c r="BB208" s="5" t="inlineStr">
        <is>
          <t>Requires Verification</t>
        </is>
      </c>
      <c r="BC208" s="5" t="inlineStr">
        <is>
          <t>Low</t>
        </is>
      </c>
      <c r="BD208" s="5" t="inlineStr"/>
      <c r="BE208" s="5" t="inlineStr">
        <is>
          <t>Business (B2B)</t>
        </is>
      </c>
      <c r="BF208" s="5" t="inlineStr">
        <is>
          <t>Legitimate interest (B2B) - assess per campaign; PECR: corporate subscribers</t>
        </is>
      </c>
      <c r="BG208" s="5" t="inlineStr"/>
      <c r="BH208" s="5" t="inlineStr">
        <is>
          <t>No</t>
        </is>
      </c>
      <c r="BI208" s="5" t="inlineStr">
        <is>
          <t>2026-09-16</t>
        </is>
      </c>
      <c r="BJ208" s="5" t="inlineStr">
        <is>
          <t>New</t>
        </is>
      </c>
      <c r="BK208" s="5" t="inlineStr">
        <is>
          <t>2026-09-16</t>
        </is>
      </c>
      <c r="BL208" s="5" t="inlineStr"/>
      <c r="BM208" s="5" t="inlineStr"/>
      <c r="BN208" s="5" t="inlineStr"/>
      <c r="BO208" s="5" t="inlineStr"/>
      <c r="BP208" s="5" t="inlineStr"/>
      <c r="BQ208" s="5" t="inlineStr"/>
    </row>
    <row r="209">
      <c r="A209" s="10" t="inlineStr">
        <is>
          <t>WY-0134</t>
        </is>
      </c>
      <c r="B209" s="10" t="inlineStr">
        <is>
          <t>WY-0134-01</t>
        </is>
      </c>
      <c r="C209" s="10" t="inlineStr"/>
      <c r="D209" s="10" t="inlineStr">
        <is>
          <t>Premier Hemsworth</t>
        </is>
      </c>
      <c r="E209" s="10" t="inlineStr">
        <is>
          <t>Premier</t>
        </is>
      </c>
      <c r="F209" s="10" t="inlineStr"/>
      <c r="G209" s="10" t="inlineStr">
        <is>
          <t>Convenience Store</t>
        </is>
      </c>
      <c r="H209" s="10" t="inlineStr">
        <is>
          <t>Symbol group convenience store</t>
        </is>
      </c>
      <c r="I209" s="10" t="inlineStr">
        <is>
          <t>Franchise / Symbol Group</t>
        </is>
      </c>
      <c r="J209" s="10" t="inlineStr">
        <is>
          <t>1</t>
        </is>
      </c>
      <c r="K209" s="10" t="inlineStr"/>
      <c r="L209" s="10" t="inlineStr"/>
      <c r="M209" s="10" t="inlineStr"/>
      <c r="N209" s="10" t="inlineStr"/>
      <c r="O209" s="10" t="inlineStr">
        <is>
          <t>51-55 Barnsley Road</t>
        </is>
      </c>
      <c r="P209" s="10" t="inlineStr"/>
      <c r="Q209" s="10" t="inlineStr">
        <is>
          <t>Hemsworth</t>
        </is>
      </c>
      <c r="R209" s="10" t="inlineStr">
        <is>
          <t>West Yorkshire</t>
        </is>
      </c>
      <c r="S209" s="10" t="inlineStr">
        <is>
          <t>WF9 4QZ</t>
        </is>
      </c>
      <c r="T209" s="10" t="inlineStr">
        <is>
          <t>Yorkshire &amp; Humber</t>
        </is>
      </c>
      <c r="U209" s="10" t="inlineStr">
        <is>
          <t>England</t>
        </is>
      </c>
      <c r="V209" s="10" t="inlineStr"/>
      <c r="W209" s="10" t="inlineStr"/>
      <c r="X209" s="10" t="inlineStr"/>
      <c r="Y209" s="10" t="inlineStr"/>
      <c r="Z209" s="10" t="inlineStr"/>
      <c r="AA209" s="10" t="inlineStr"/>
      <c r="AB209" s="10" t="inlineStr"/>
      <c r="AC209" s="10" t="inlineStr"/>
      <c r="AD209" s="10" t="inlineStr"/>
      <c r="AE209" s="10" t="inlineStr"/>
      <c r="AF209" s="10" t="inlineStr"/>
      <c r="AG209" s="10" t="inlineStr"/>
      <c r="AH209" s="10" t="inlineStr"/>
      <c r="AI209" s="10" t="inlineStr"/>
      <c r="AJ209" s="10" t="inlineStr"/>
      <c r="AK209" s="10" t="inlineStr">
        <is>
          <t>grocery; alcohol; tobacco; convenience</t>
        </is>
      </c>
      <c r="AL209" s="10" t="inlineStr"/>
      <c r="AM209" s="10" t="inlineStr">
        <is>
          <t>Convenience Store</t>
        </is>
      </c>
      <c r="AN209" s="10" t="inlineStr">
        <is>
          <t>Premier symbol group (Booker supply)</t>
        </is>
      </c>
      <c r="AO209" s="10" t="inlineStr">
        <is>
          <t>Independently owned Premier (Booker) symbol store.</t>
        </is>
      </c>
      <c r="AP209" s="10" t="inlineStr">
        <is>
          <t>Low</t>
        </is>
      </c>
      <c r="AQ209" s="10" t="inlineStr">
        <is>
          <t>Independent retailer; Relevant category</t>
        </is>
      </c>
      <c r="AR209" s="10" t="inlineStr">
        <is>
          <t>https://hemsworth.ukintouch.com/convenience-store/premier-hemsworth/</t>
        </is>
      </c>
      <c r="AS209" s="10" t="inlineStr"/>
      <c r="AT209" s="10" t="inlineStr">
        <is>
          <t>1</t>
        </is>
      </c>
      <c r="AU209" s="10" t="inlineStr">
        <is>
          <t>No</t>
        </is>
      </c>
      <c r="AV209" s="10" t="inlineStr">
        <is>
          <t>No</t>
        </is>
      </c>
      <c r="AW209" s="10" t="inlineStr">
        <is>
          <t>No</t>
        </is>
      </c>
      <c r="AX209" s="10" t="inlineStr">
        <is>
          <t>No</t>
        </is>
      </c>
      <c r="AY209" s="10" t="inlineStr">
        <is>
          <t>Not Found</t>
        </is>
      </c>
      <c r="AZ209" s="10" t="inlineStr">
        <is>
          <t>Not Found</t>
        </is>
      </c>
      <c r="BA209" s="10" t="inlineStr">
        <is>
          <t>2026-09-16</t>
        </is>
      </c>
      <c r="BB209" s="10" t="inlineStr">
        <is>
          <t>Requires Verification</t>
        </is>
      </c>
      <c r="BC209" s="10" t="inlineStr">
        <is>
          <t>Medium</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2026-09-16</t>
        </is>
      </c>
      <c r="BJ209" s="10" t="inlineStr">
        <is>
          <t>New</t>
        </is>
      </c>
      <c r="BK209" s="10" t="inlineStr">
        <is>
          <t>2026-09-16</t>
        </is>
      </c>
      <c r="BL209" s="10" t="inlineStr"/>
      <c r="BM209" s="10" t="inlineStr"/>
      <c r="BN209" s="10" t="inlineStr"/>
      <c r="BO209" s="10" t="inlineStr"/>
      <c r="BP209" s="10" t="inlineStr"/>
      <c r="BQ209" s="10" t="inlineStr"/>
    </row>
    <row r="210">
      <c r="A210" s="5" t="inlineStr">
        <is>
          <t>WY-0135</t>
        </is>
      </c>
      <c r="B210" s="5" t="inlineStr">
        <is>
          <t>WY-0135-01</t>
        </is>
      </c>
      <c r="C210" s="5" t="inlineStr"/>
      <c r="D210" s="5" t="inlineStr">
        <is>
          <t>Premier Wholesale Cash &amp; Carry</t>
        </is>
      </c>
      <c r="E210" s="5" t="inlineStr">
        <is>
          <t>Premier Wholesale Cash &amp; Carry</t>
        </is>
      </c>
      <c r="F210" s="5" t="inlineStr"/>
      <c r="G210" s="5" t="inlineStr">
        <is>
          <t>Cash &amp; Carry</t>
        </is>
      </c>
      <c r="H210" s="5" t="inlineStr">
        <is>
          <t>General cash and carry wholesaler</t>
        </is>
      </c>
      <c r="I210" s="5" t="inlineStr">
        <is>
          <t>Independent</t>
        </is>
      </c>
      <c r="J210" s="5" t="inlineStr">
        <is>
          <t>1</t>
        </is>
      </c>
      <c r="K210" s="5" t="inlineStr"/>
      <c r="L210" s="5" t="inlineStr"/>
      <c r="M210" s="5" t="inlineStr"/>
      <c r="N210" s="5" t="inlineStr"/>
      <c r="O210" s="5" t="inlineStr">
        <is>
          <t>Clough Lane</t>
        </is>
      </c>
      <c r="P210" s="5" t="inlineStr">
        <is>
          <t>Paddock</t>
        </is>
      </c>
      <c r="Q210" s="5" t="inlineStr">
        <is>
          <t>Huddersfield</t>
        </is>
      </c>
      <c r="R210" s="5" t="inlineStr">
        <is>
          <t>West Yorkshire</t>
        </is>
      </c>
      <c r="S210" s="5" t="inlineStr">
        <is>
          <t>HD1 4UW</t>
        </is>
      </c>
      <c r="T210" s="5" t="inlineStr">
        <is>
          <t>Yorkshire &amp; Humber</t>
        </is>
      </c>
      <c r="U210" s="5" t="inlineStr">
        <is>
          <t>England</t>
        </is>
      </c>
      <c r="V210" s="5" t="inlineStr"/>
      <c r="W210" s="5" t="inlineStr"/>
      <c r="X210" s="5" t="inlineStr"/>
      <c r="Y210" s="5" t="inlineStr"/>
      <c r="Z210" s="5" t="inlineStr"/>
      <c r="AA210" s="5" t="inlineStr"/>
      <c r="AB210" s="5" t="inlineStr"/>
      <c r="AC210" s="5" t="inlineStr"/>
      <c r="AD210" s="5" t="inlineStr"/>
      <c r="AE210" s="5" t="inlineStr"/>
      <c r="AF210" s="5" t="inlineStr"/>
      <c r="AG210" s="5" t="inlineStr"/>
      <c r="AH210" s="5" t="inlineStr"/>
      <c r="AI210" s="5" t="inlineStr"/>
      <c r="AJ210" s="5" t="inlineStr"/>
      <c r="AK210" s="5" t="inlineStr">
        <is>
          <t>wholesale groceries; discount goods</t>
        </is>
      </c>
      <c r="AL210" s="5" t="inlineStr"/>
      <c r="AM210" s="5" t="inlineStr">
        <is>
          <t>Cash &amp; Carry</t>
        </is>
      </c>
      <c r="AN210" s="5" t="inlineStr"/>
      <c r="AO210" s="5" t="inlineStr">
        <is>
          <t>Listed on Yell under Discount Stores / cash and carry at Clough Lane, Paddock; no relation to the Premier symbol group confirmed.</t>
        </is>
      </c>
      <c r="AP210" s="5" t="inlineStr">
        <is>
          <t>Medium</t>
        </is>
      </c>
      <c r="AQ210" s="5" t="inlineStr">
        <is>
          <t>Independent retailer; Core relevant category</t>
        </is>
      </c>
      <c r="AR210" s="5" t="inlineStr">
        <is>
          <t>https://www.yell.com/biz/premier-wholesale-cash-and-carry-huddersfield-943025/</t>
        </is>
      </c>
      <c r="AS210" s="5" t="inlineStr"/>
      <c r="AT210" s="5" t="inlineStr">
        <is>
          <t>1</t>
        </is>
      </c>
      <c r="AU210" s="5" t="inlineStr">
        <is>
          <t>No</t>
        </is>
      </c>
      <c r="AV210" s="5" t="inlineStr">
        <is>
          <t>No</t>
        </is>
      </c>
      <c r="AW210" s="5" t="inlineStr">
        <is>
          <t>No</t>
        </is>
      </c>
      <c r="AX210" s="5" t="inlineStr">
        <is>
          <t>No</t>
        </is>
      </c>
      <c r="AY210" s="5" t="inlineStr">
        <is>
          <t>Not Found</t>
        </is>
      </c>
      <c r="AZ210" s="5" t="inlineStr">
        <is>
          <t>Not Found</t>
        </is>
      </c>
      <c r="BA210" s="5" t="inlineStr">
        <is>
          <t>2026-09-16</t>
        </is>
      </c>
      <c r="BB210" s="5" t="inlineStr">
        <is>
          <t>Requires Verification</t>
        </is>
      </c>
      <c r="BC210" s="5" t="inlineStr">
        <is>
          <t>Low</t>
        </is>
      </c>
      <c r="BD210" s="5" t="inlineStr"/>
      <c r="BE210" s="5" t="inlineStr">
        <is>
          <t>Business (B2B)</t>
        </is>
      </c>
      <c r="BF210" s="5" t="inlineStr">
        <is>
          <t>Legitimate interest (B2B) - assess per campaign; PECR: corporate subscribers</t>
        </is>
      </c>
      <c r="BG210" s="5" t="inlineStr"/>
      <c r="BH210" s="5" t="inlineStr">
        <is>
          <t>No</t>
        </is>
      </c>
      <c r="BI210" s="5" t="inlineStr">
        <is>
          <t>2026-09-16</t>
        </is>
      </c>
      <c r="BJ210" s="5" t="inlineStr">
        <is>
          <t>New</t>
        </is>
      </c>
      <c r="BK210" s="5" t="inlineStr">
        <is>
          <t>2026-09-16</t>
        </is>
      </c>
      <c r="BL210" s="5" t="inlineStr"/>
      <c r="BM210" s="5" t="inlineStr"/>
      <c r="BN210" s="5" t="inlineStr"/>
      <c r="BO210" s="5" t="inlineStr"/>
      <c r="BP210" s="5" t="inlineStr"/>
      <c r="BQ210" s="5" t="inlineStr"/>
    </row>
    <row r="211">
      <c r="A211" s="10" t="inlineStr">
        <is>
          <t>WY-0136</t>
        </is>
      </c>
      <c r="B211" s="10" t="inlineStr">
        <is>
          <t>WY-0136-01</t>
        </is>
      </c>
      <c r="C211" s="10" t="inlineStr"/>
      <c r="D211" s="10" t="inlineStr">
        <is>
          <t>Quix Newsagents, Off Licence &amp; Convenience Store</t>
        </is>
      </c>
      <c r="E211" s="10" t="inlineStr">
        <is>
          <t>Quix</t>
        </is>
      </c>
      <c r="F211" s="10" t="inlineStr"/>
      <c r="G211" s="10" t="inlineStr">
        <is>
          <t>Convenience Store</t>
        </is>
      </c>
      <c r="H211" s="10" t="inlineStr">
        <is>
          <t>Newsagent, off-licence &amp; convenience store</t>
        </is>
      </c>
      <c r="I211" s="10" t="inlineStr">
        <is>
          <t>Independent</t>
        </is>
      </c>
      <c r="J211" s="10" t="inlineStr">
        <is>
          <t>1</t>
        </is>
      </c>
      <c r="K211" s="10" t="inlineStr"/>
      <c r="L211" s="10" t="inlineStr"/>
      <c r="M211" s="10" t="inlineStr"/>
      <c r="N211" s="10" t="inlineStr"/>
      <c r="O211" s="10" t="inlineStr"/>
      <c r="P211" s="10" t="inlineStr"/>
      <c r="Q211" s="10" t="inlineStr">
        <is>
          <t>Shipley</t>
        </is>
      </c>
      <c r="R211" s="10" t="inlineStr">
        <is>
          <t>West Yorkshire</t>
        </is>
      </c>
      <c r="S211" s="10" t="inlineStr"/>
      <c r="T211" s="10" t="inlineStr">
        <is>
          <t>Yorkshire &amp; Humber</t>
        </is>
      </c>
      <c r="U211" s="10" t="inlineStr">
        <is>
          <t>England</t>
        </is>
      </c>
      <c r="V211" s="10" t="inlineStr"/>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news; alcohol; convenience lines</t>
        </is>
      </c>
      <c r="AL211" s="10" t="inlineStr"/>
      <c r="AM211" s="10" t="inlineStr">
        <is>
          <t>Convenience Store</t>
        </is>
      </c>
      <c r="AN211" s="10" t="inlineStr"/>
      <c r="AO211" s="10" t="inlineStr">
        <is>
          <t>Combined newsagent/off-licence/convenience store listed under Shipley corner shops. Street address not captured - needs enrichment.</t>
        </is>
      </c>
      <c r="AP211" s="10" t="inlineStr">
        <is>
          <t>Low</t>
        </is>
      </c>
      <c r="AQ211" s="10" t="inlineStr">
        <is>
          <t>Independent retailer; Relevant category</t>
        </is>
      </c>
      <c r="AR211" s="10" t="inlineStr">
        <is>
          <t>https://www.yorkshire.com/shipley/shopping/corner-shops/quix-newsagents-off-licence-convenience-store</t>
        </is>
      </c>
      <c r="AS211" s="10" t="inlineStr"/>
      <c r="AT211" s="10" t="inlineStr">
        <is>
          <t>1</t>
        </is>
      </c>
      <c r="AU211" s="10" t="inlineStr">
        <is>
          <t>No</t>
        </is>
      </c>
      <c r="AV211" s="10" t="inlineStr">
        <is>
          <t>No</t>
        </is>
      </c>
      <c r="AW211" s="10" t="inlineStr">
        <is>
          <t>No</t>
        </is>
      </c>
      <c r="AX211" s="10" t="inlineStr">
        <is>
          <t>No</t>
        </is>
      </c>
      <c r="AY211" s="10" t="inlineStr">
        <is>
          <t>Not Found</t>
        </is>
      </c>
      <c r="AZ211" s="10" t="inlineStr">
        <is>
          <t>Not Found</t>
        </is>
      </c>
      <c r="BA211" s="10" t="inlineStr">
        <is>
          <t>2026-09-16</t>
        </is>
      </c>
      <c r="BB211" s="10" t="inlineStr">
        <is>
          <t>Requires Verification</t>
        </is>
      </c>
      <c r="BC211" s="10" t="inlineStr">
        <is>
          <t>Low</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2026-09-16</t>
        </is>
      </c>
      <c r="BJ211" s="10" t="inlineStr">
        <is>
          <t>New</t>
        </is>
      </c>
      <c r="BK211" s="10" t="inlineStr">
        <is>
          <t>2026-09-16</t>
        </is>
      </c>
      <c r="BL211" s="10" t="inlineStr"/>
      <c r="BM211" s="10" t="inlineStr"/>
      <c r="BN211" s="10" t="inlineStr"/>
      <c r="BO211" s="10" t="inlineStr"/>
      <c r="BP211" s="10" t="inlineStr"/>
      <c r="BQ211" s="10" t="inlineStr"/>
    </row>
    <row r="212">
      <c r="A212" s="5" t="inlineStr">
        <is>
          <t>WY-0137</t>
        </is>
      </c>
      <c r="B212" s="5" t="inlineStr">
        <is>
          <t>WY-0137-01</t>
        </is>
      </c>
      <c r="C212" s="5" t="inlineStr"/>
      <c r="D212" s="5" t="inlineStr">
        <is>
          <t>Rahien Mini Market</t>
        </is>
      </c>
      <c r="E212" s="5" t="inlineStr">
        <is>
          <t>Rahien Mini Market</t>
        </is>
      </c>
      <c r="F212" s="5" t="inlineStr"/>
      <c r="G212" s="5" t="inlineStr">
        <is>
          <t>Convenience Store</t>
        </is>
      </c>
      <c r="H212" s="5" t="inlineStr">
        <is>
          <t>Mini market</t>
        </is>
      </c>
      <c r="I212" s="5" t="inlineStr">
        <is>
          <t>Independent</t>
        </is>
      </c>
      <c r="J212" s="5" t="inlineStr">
        <is>
          <t>1</t>
        </is>
      </c>
      <c r="K212" s="5" t="inlineStr"/>
      <c r="L212" s="5" t="inlineStr"/>
      <c r="M212" s="5" t="inlineStr"/>
      <c r="N212" s="5" t="inlineStr"/>
      <c r="O212" s="5" t="inlineStr">
        <is>
          <t>Queen's Road</t>
        </is>
      </c>
      <c r="P212" s="5" t="inlineStr">
        <is>
          <t>Headingley / Hyde Park</t>
        </is>
      </c>
      <c r="Q212" s="5" t="inlineStr">
        <is>
          <t>Leeds</t>
        </is>
      </c>
      <c r="R212" s="5" t="inlineStr">
        <is>
          <t>West Yorkshire</t>
        </is>
      </c>
      <c r="S212" s="5" t="inlineStr"/>
      <c r="T212" s="5" t="inlineStr">
        <is>
          <t>Yorkshire &amp; Humber</t>
        </is>
      </c>
      <c r="U212" s="5" t="inlineStr">
        <is>
          <t>England</t>
        </is>
      </c>
      <c r="V212" s="5" t="inlineStr"/>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groceries; everyday essentials</t>
        </is>
      </c>
      <c r="AL212" s="5" t="inlineStr"/>
      <c r="AM212" s="5" t="inlineStr">
        <is>
          <t>Convenience Store</t>
        </is>
      </c>
      <c r="AN212" s="5" t="inlineStr"/>
      <c r="AO212" s="5" t="inlineStr">
        <is>
          <t>Highly rated local mini market serving the Headingley student area; street number not published in sources found.</t>
        </is>
      </c>
      <c r="AP212" s="5" t="inlineStr">
        <is>
          <t>Low</t>
        </is>
      </c>
      <c r="AQ212" s="5" t="inlineStr">
        <is>
          <t>Independent retailer; Relevant category</t>
        </is>
      </c>
      <c r="AR212" s="5" t="inlineStr">
        <is>
          <t>https://www.yorkshire.com/headingley/shopping/markets/rahien-mini-market</t>
        </is>
      </c>
      <c r="AS212" s="5" t="inlineStr"/>
      <c r="AT212" s="5" t="inlineStr">
        <is>
          <t>1</t>
        </is>
      </c>
      <c r="AU212" s="5" t="inlineStr">
        <is>
          <t>No</t>
        </is>
      </c>
      <c r="AV212" s="5" t="inlineStr">
        <is>
          <t>No</t>
        </is>
      </c>
      <c r="AW212" s="5" t="inlineStr">
        <is>
          <t>No</t>
        </is>
      </c>
      <c r="AX212" s="5" t="inlineStr">
        <is>
          <t>No</t>
        </is>
      </c>
      <c r="AY212" s="5" t="inlineStr">
        <is>
          <t>Not Found</t>
        </is>
      </c>
      <c r="AZ212" s="5" t="inlineStr">
        <is>
          <t>Not Found</t>
        </is>
      </c>
      <c r="BA212" s="5" t="inlineStr">
        <is>
          <t>2026-09-16</t>
        </is>
      </c>
      <c r="BB212" s="5" t="inlineStr">
        <is>
          <t>Requires Verification</t>
        </is>
      </c>
      <c r="BC212" s="5" t="inlineStr">
        <is>
          <t>Low</t>
        </is>
      </c>
      <c r="BD212" s="5" t="inlineStr"/>
      <c r="BE212" s="5" t="inlineStr">
        <is>
          <t>Business (B2B)</t>
        </is>
      </c>
      <c r="BF212" s="5" t="inlineStr">
        <is>
          <t>Legitimate interest (B2B) - assess per campaign; PECR: corporate subscribers</t>
        </is>
      </c>
      <c r="BG212" s="5" t="inlineStr"/>
      <c r="BH212" s="5" t="inlineStr">
        <is>
          <t>No</t>
        </is>
      </c>
      <c r="BI212" s="5" t="inlineStr">
        <is>
          <t>2026-09-16</t>
        </is>
      </c>
      <c r="BJ212" s="5" t="inlineStr">
        <is>
          <t>New</t>
        </is>
      </c>
      <c r="BK212" s="5" t="inlineStr">
        <is>
          <t>2026-09-16</t>
        </is>
      </c>
      <c r="BL212" s="5" t="inlineStr"/>
      <c r="BM212" s="5" t="inlineStr"/>
      <c r="BN212" s="5" t="inlineStr"/>
      <c r="BO212" s="5" t="inlineStr"/>
      <c r="BP212" s="5" t="inlineStr"/>
      <c r="BQ212" s="5" t="inlineStr"/>
    </row>
    <row r="213">
      <c r="A213" s="10" t="inlineStr">
        <is>
          <t>UK-000268</t>
        </is>
      </c>
      <c r="B213" s="10" t="inlineStr">
        <is>
          <t>UK-000268-01</t>
        </is>
      </c>
      <c r="C213" s="10" t="inlineStr"/>
      <c r="D213" s="10" t="inlineStr">
        <is>
          <t>Rawal Lounge Sheffield</t>
        </is>
      </c>
      <c r="E213" s="10" t="inlineStr">
        <is>
          <t>Rawal Lounge</t>
        </is>
      </c>
      <c r="F213" s="10" t="inlineStr"/>
      <c r="G213" s="10" t="inlineStr">
        <is>
          <t>Smoke / Shisha Shop</t>
        </is>
      </c>
      <c r="H213" s="10" t="inlineStr">
        <is>
          <t>Rooftop shisha lounge</t>
        </is>
      </c>
      <c r="I213" s="10" t="inlineStr">
        <is>
          <t>Independent</t>
        </is>
      </c>
      <c r="J213" s="10" t="inlineStr">
        <is>
          <t>1</t>
        </is>
      </c>
      <c r="K213" s="10" t="inlineStr"/>
      <c r="L213" s="10" t="inlineStr"/>
      <c r="M213" s="10" t="inlineStr">
        <is>
          <t>https://www.instagram.com/rawallounge_sheffield/</t>
        </is>
      </c>
      <c r="N213" s="10" t="inlineStr"/>
      <c r="O213" s="10" t="inlineStr">
        <is>
          <t>110 John Street</t>
        </is>
      </c>
      <c r="P213" s="10" t="inlineStr">
        <is>
          <t>Highfield</t>
        </is>
      </c>
      <c r="Q213" s="10" t="inlineStr">
        <is>
          <t>Sheffield</t>
        </is>
      </c>
      <c r="R213" s="10" t="inlineStr">
        <is>
          <t>South Yorkshire</t>
        </is>
      </c>
      <c r="S213" s="10" t="inlineStr">
        <is>
          <t>S2 4QU</t>
        </is>
      </c>
      <c r="T213" s="10" t="inlineStr">
        <is>
          <t>Yorkshire &amp; Humber</t>
        </is>
      </c>
      <c r="U213" s="10" t="inlineStr">
        <is>
          <t>England</t>
        </is>
      </c>
      <c r="V213" s="10" t="inlineStr"/>
      <c r="W213" s="10" t="inlineStr"/>
      <c r="X213" s="10" t="inlineStr"/>
      <c r="Y213" s="10" t="inlineStr">
        <is>
          <t>rawalloungesheffield@hotmail.com</t>
        </is>
      </c>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shisha; soft drinks; food</t>
        </is>
      </c>
      <c r="AL213" s="10" t="inlineStr"/>
      <c r="AM213" s="10" t="inlineStr">
        <is>
          <t>Smoke / Shisha Shop</t>
        </is>
      </c>
      <c r="AN213" s="10" t="inlineStr"/>
      <c r="AO213" s="10" t="inlineStr">
        <is>
          <t>Independent rooftop shisha bar/lounge in Highfield, Sheffield. Email publicly listed alongside Instagram.</t>
        </is>
      </c>
      <c r="AP213" s="10" t="inlineStr">
        <is>
          <t>Medium</t>
        </is>
      </c>
      <c r="AQ213" s="10" t="inlineStr">
        <is>
          <t>Independent retailer; Core relevant category; Public email available; Social presence</t>
        </is>
      </c>
      <c r="AR213" s="10" t="inlineStr">
        <is>
          <t>https://www.instagram.com/rawallounge_sheffield/</t>
        </is>
      </c>
      <c r="AS213" s="10" t="inlineStr"/>
      <c r="AT213" s="10" t="inlineStr">
        <is>
          <t>1</t>
        </is>
      </c>
      <c r="AU213" s="10" t="inlineStr">
        <is>
          <t>No</t>
        </is>
      </c>
      <c r="AV213" s="10" t="inlineStr">
        <is>
          <t>No</t>
        </is>
      </c>
      <c r="AW213" s="10" t="inlineStr">
        <is>
          <t>No</t>
        </is>
      </c>
      <c r="AX213" s="10" t="inlineStr">
        <is>
          <t>No</t>
        </is>
      </c>
      <c r="AY213" s="10" t="inlineStr">
        <is>
          <t>Not Found</t>
        </is>
      </c>
      <c r="AZ213" s="10" t="inlineStr">
        <is>
          <t>Publicly Listed</t>
        </is>
      </c>
      <c r="BA213" s="10" t="inlineStr">
        <is>
          <t>2026-09-16</t>
        </is>
      </c>
      <c r="BB213" s="10" t="inlineStr">
        <is>
          <t>Requires Verification</t>
        </is>
      </c>
      <c r="BC213" s="10" t="inlineStr">
        <is>
          <t>Low</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2026-09-16</t>
        </is>
      </c>
      <c r="BJ213" s="10" t="inlineStr">
        <is>
          <t>New</t>
        </is>
      </c>
      <c r="BK213" s="10" t="inlineStr">
        <is>
          <t>2026-09-16</t>
        </is>
      </c>
      <c r="BL213" s="10" t="inlineStr"/>
      <c r="BM213" s="10" t="inlineStr"/>
      <c r="BN213" s="10" t="inlineStr"/>
      <c r="BO213" s="10" t="inlineStr"/>
      <c r="BP213" s="10" t="inlineStr"/>
      <c r="BQ213" s="10" t="inlineStr"/>
    </row>
    <row r="214">
      <c r="A214" s="5" t="inlineStr">
        <is>
          <t>UK-000269</t>
        </is>
      </c>
      <c r="B214" s="5" t="inlineStr">
        <is>
          <t>UK-000269-01</t>
        </is>
      </c>
      <c r="C214" s="5" t="inlineStr"/>
      <c r="D214" s="5" t="inlineStr">
        <is>
          <t>Retreat Sheesha Lounge</t>
        </is>
      </c>
      <c r="E214" s="5" t="inlineStr">
        <is>
          <t>Retreat Sheesha Lounge</t>
        </is>
      </c>
      <c r="F214" s="5" t="inlineStr"/>
      <c r="G214" s="5" t="inlineStr">
        <is>
          <t>Smoke / Shisha Shop</t>
        </is>
      </c>
      <c r="H214" s="5" t="inlineStr">
        <is>
          <t>Shisha cafe / lounge</t>
        </is>
      </c>
      <c r="I214" s="5" t="inlineStr">
        <is>
          <t>Independent</t>
        </is>
      </c>
      <c r="J214" s="5" t="inlineStr">
        <is>
          <t>1</t>
        </is>
      </c>
      <c r="K214" s="5" t="inlineStr"/>
      <c r="L214" s="5" t="inlineStr"/>
      <c r="M214" s="5" t="inlineStr"/>
      <c r="N214" s="5" t="inlineStr"/>
      <c r="O214" s="5" t="inlineStr"/>
      <c r="P214" s="5" t="inlineStr"/>
      <c r="Q214" s="5" t="inlineStr">
        <is>
          <t>Kingston upon Hull</t>
        </is>
      </c>
      <c r="R214" s="5" t="inlineStr">
        <is>
          <t>East Riding of Yorkshire</t>
        </is>
      </c>
      <c r="S214" s="5" t="inlineStr"/>
      <c r="T214" s="5" t="inlineStr">
        <is>
          <t>Yorkshire &amp; Humber</t>
        </is>
      </c>
      <c r="U214" s="5" t="inlineStr">
        <is>
          <t>England</t>
        </is>
      </c>
      <c r="V214" s="5" t="inlineStr"/>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shisha; hookah; cafe</t>
        </is>
      </c>
      <c r="AL214" s="5" t="inlineStr"/>
      <c r="AM214" s="5" t="inlineStr">
        <is>
          <t>Smoke / Shisha Shop</t>
        </is>
      </c>
      <c r="AN214" s="5" t="inlineStr"/>
      <c r="AO214" s="5" t="inlineStr">
        <is>
          <t>Independent shisha cafe/lounge in Hull, positively reviewed on TripAdvisor. No street address/phone in search results.</t>
        </is>
      </c>
      <c r="AP214" s="5" t="inlineStr">
        <is>
          <t>Medium</t>
        </is>
      </c>
      <c r="AQ214" s="5" t="inlineStr">
        <is>
          <t>Independent retailer; Core relevant category</t>
        </is>
      </c>
      <c r="AR214" s="5" t="inlineStr">
        <is>
          <t>https://www.tripadvisor.co.uk/Restaurant_Review-g186317-d4522051-Reviews-Retreat_Sheesha_Lounge-Kingston_upon_Hull_East_Riding_of_Yorkshire_England.html</t>
        </is>
      </c>
      <c r="AS214" s="5" t="inlineStr"/>
      <c r="AT214" s="5" t="inlineStr">
        <is>
          <t>1</t>
        </is>
      </c>
      <c r="AU214" s="5" t="inlineStr">
        <is>
          <t>No</t>
        </is>
      </c>
      <c r="AV214" s="5" t="inlineStr">
        <is>
          <t>No</t>
        </is>
      </c>
      <c r="AW214" s="5" t="inlineStr">
        <is>
          <t>No</t>
        </is>
      </c>
      <c r="AX214" s="5" t="inlineStr">
        <is>
          <t>No</t>
        </is>
      </c>
      <c r="AY214" s="5" t="inlineStr">
        <is>
          <t>Not Found</t>
        </is>
      </c>
      <c r="AZ214" s="5" t="inlineStr">
        <is>
          <t>Not Found</t>
        </is>
      </c>
      <c r="BA214" s="5" t="inlineStr">
        <is>
          <t>2026-09-16</t>
        </is>
      </c>
      <c r="BB214" s="5" t="inlineStr">
        <is>
          <t>Requires Verification</t>
        </is>
      </c>
      <c r="BC214" s="5" t="inlineStr">
        <is>
          <t>Low</t>
        </is>
      </c>
      <c r="BD214" s="5" t="inlineStr"/>
      <c r="BE214" s="5" t="inlineStr">
        <is>
          <t>Business (B2B)</t>
        </is>
      </c>
      <c r="BF214" s="5" t="inlineStr">
        <is>
          <t>Legitimate interest (B2B) - assess per campaign; PECR: corporate subscribers</t>
        </is>
      </c>
      <c r="BG214" s="5" t="inlineStr"/>
      <c r="BH214" s="5" t="inlineStr">
        <is>
          <t>No</t>
        </is>
      </c>
      <c r="BI214" s="5" t="inlineStr">
        <is>
          <t>2026-09-16</t>
        </is>
      </c>
      <c r="BJ214" s="5" t="inlineStr">
        <is>
          <t>New</t>
        </is>
      </c>
      <c r="BK214" s="5" t="inlineStr">
        <is>
          <t>2026-09-16</t>
        </is>
      </c>
      <c r="BL214" s="5" t="inlineStr"/>
      <c r="BM214" s="5" t="inlineStr"/>
      <c r="BN214" s="5" t="inlineStr"/>
      <c r="BO214" s="5" t="inlineStr"/>
      <c r="BP214" s="5" t="inlineStr"/>
      <c r="BQ214" s="5" t="inlineStr"/>
    </row>
    <row r="215">
      <c r="A215" s="10" t="inlineStr">
        <is>
          <t>WY-0138</t>
        </is>
      </c>
      <c r="B215" s="10" t="inlineStr">
        <is>
          <t>WY-0138-01</t>
        </is>
      </c>
      <c r="C215" s="10" t="inlineStr"/>
      <c r="D215" s="10" t="inlineStr">
        <is>
          <t>Revo Vapes</t>
        </is>
      </c>
      <c r="E215" s="10" t="inlineStr">
        <is>
          <t>Revo Vapes</t>
        </is>
      </c>
      <c r="F215" s="10" t="inlineStr"/>
      <c r="G215" s="10" t="inlineStr">
        <is>
          <t>Vape Shop</t>
        </is>
      </c>
      <c r="H215" s="10" t="inlineStr"/>
      <c r="I215" s="10" t="inlineStr">
        <is>
          <t>Independent</t>
        </is>
      </c>
      <c r="J215" s="10" t="inlineStr">
        <is>
          <t>1</t>
        </is>
      </c>
      <c r="K215" s="10" t="inlineStr"/>
      <c r="L215" s="10" t="inlineStr"/>
      <c r="M215" s="10" t="inlineStr"/>
      <c r="N215" s="10" t="inlineStr"/>
      <c r="O215" s="10" t="inlineStr">
        <is>
          <t>Unit 1a, 91 Queen Street</t>
        </is>
      </c>
      <c r="P215" s="10" t="inlineStr"/>
      <c r="Q215" s="10" t="inlineStr">
        <is>
          <t>Morley</t>
        </is>
      </c>
      <c r="R215" s="10" t="inlineStr">
        <is>
          <t>West Yorkshire</t>
        </is>
      </c>
      <c r="S215" s="10" t="inlineStr">
        <is>
          <t>LS27 8DW</t>
        </is>
      </c>
      <c r="T215" s="10" t="inlineStr">
        <is>
          <t>Yorkshire &amp; Humber</t>
        </is>
      </c>
      <c r="U215" s="10" t="inlineStr">
        <is>
          <t>England</t>
        </is>
      </c>
      <c r="V215" s="10" t="inlineStr"/>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vape hardware; e-liquids</t>
        </is>
      </c>
      <c r="AL215" s="10" t="inlineStr"/>
      <c r="AM215" s="10" t="inlineStr">
        <is>
          <t>Vape Shop</t>
        </is>
      </c>
      <c r="AN215" s="10" t="inlineStr"/>
      <c r="AO215" s="10" t="inlineStr">
        <is>
          <t>Vape shop in Morley town centre (Morley South ward).</t>
        </is>
      </c>
      <c r="AP215" s="10" t="inlineStr">
        <is>
          <t>Medium</t>
        </is>
      </c>
      <c r="AQ215" s="10" t="inlineStr">
        <is>
          <t>Independent retailer; Core relevant category</t>
        </is>
      </c>
      <c r="AR215" s="10" t="inlineStr">
        <is>
          <t>https://revo-vapes.wheree.com/</t>
        </is>
      </c>
      <c r="AS215" s="10" t="inlineStr"/>
      <c r="AT215" s="10" t="inlineStr">
        <is>
          <t>1</t>
        </is>
      </c>
      <c r="AU215" s="10" t="inlineStr">
        <is>
          <t>No</t>
        </is>
      </c>
      <c r="AV215" s="10" t="inlineStr">
        <is>
          <t>No</t>
        </is>
      </c>
      <c r="AW215" s="10" t="inlineStr">
        <is>
          <t>No</t>
        </is>
      </c>
      <c r="AX215" s="10" t="inlineStr">
        <is>
          <t>No</t>
        </is>
      </c>
      <c r="AY215" s="10" t="inlineStr">
        <is>
          <t>Not Found</t>
        </is>
      </c>
      <c r="AZ215" s="10" t="inlineStr">
        <is>
          <t>Not Found</t>
        </is>
      </c>
      <c r="BA215" s="10" t="inlineStr">
        <is>
          <t>2026-09-16</t>
        </is>
      </c>
      <c r="BB215" s="10" t="inlineStr">
        <is>
          <t>Requires Verification</t>
        </is>
      </c>
      <c r="BC215" s="10" t="inlineStr">
        <is>
          <t>Low</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2026-09-16</t>
        </is>
      </c>
      <c r="BJ215" s="10" t="inlineStr">
        <is>
          <t>New</t>
        </is>
      </c>
      <c r="BK215" s="10" t="inlineStr">
        <is>
          <t>2026-09-16</t>
        </is>
      </c>
      <c r="BL215" s="10" t="inlineStr"/>
      <c r="BM215" s="10" t="inlineStr"/>
      <c r="BN215" s="10" t="inlineStr"/>
      <c r="BO215" s="10" t="inlineStr"/>
      <c r="BP215" s="10" t="inlineStr"/>
      <c r="BQ215" s="10" t="inlineStr"/>
    </row>
    <row r="216">
      <c r="A216" s="5" t="inlineStr">
        <is>
          <t>UK-000270</t>
        </is>
      </c>
      <c r="B216" s="5" t="inlineStr">
        <is>
          <t>UK-000270-01</t>
        </is>
      </c>
      <c r="C216" s="5" t="inlineStr"/>
      <c r="D216" s="5" t="inlineStr">
        <is>
          <t>Revolution Vape</t>
        </is>
      </c>
      <c r="E216" s="5" t="inlineStr">
        <is>
          <t>Revolution Vape</t>
        </is>
      </c>
      <c r="F216" s="5" t="inlineStr"/>
      <c r="G216" s="5" t="inlineStr">
        <is>
          <t>Vape Shop</t>
        </is>
      </c>
      <c r="H216" s="5" t="inlineStr">
        <is>
          <t>Vape shop</t>
        </is>
      </c>
      <c r="I216" s="5" t="inlineStr">
        <is>
          <t>Independent</t>
        </is>
      </c>
      <c r="J216" s="5" t="inlineStr">
        <is>
          <t>1</t>
        </is>
      </c>
      <c r="K216" s="5" t="inlineStr"/>
      <c r="L216" s="5" t="inlineStr"/>
      <c r="M216" s="5" t="inlineStr"/>
      <c r="N216" s="5" t="inlineStr"/>
      <c r="O216" s="5" t="inlineStr">
        <is>
          <t>75 High Street</t>
        </is>
      </c>
      <c r="P216" s="5" t="inlineStr">
        <is>
          <t>Wath upon Dearne</t>
        </is>
      </c>
      <c r="Q216" s="5" t="inlineStr">
        <is>
          <t>Rotherham</t>
        </is>
      </c>
      <c r="R216" s="5" t="inlineStr">
        <is>
          <t>South Yorkshire</t>
        </is>
      </c>
      <c r="S216" s="5" t="inlineStr">
        <is>
          <t>S63 7QB</t>
        </is>
      </c>
      <c r="T216" s="5" t="inlineStr">
        <is>
          <t>Yorkshire &amp; Humber</t>
        </is>
      </c>
      <c r="U216" s="5" t="inlineStr">
        <is>
          <t>England</t>
        </is>
      </c>
      <c r="V216" s="5" t="inlineStr"/>
      <c r="W216" s="5" t="inlineStr"/>
      <c r="X216" s="5" t="inlineStr"/>
      <c r="Y216" s="5" t="inlineStr"/>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vape hardware; e-liquids; disposables</t>
        </is>
      </c>
      <c r="AL216" s="5" t="inlineStr"/>
      <c r="AM216" s="5" t="inlineStr">
        <is>
          <t>Vape Shop</t>
        </is>
      </c>
      <c r="AN216" s="5" t="inlineStr"/>
      <c r="AO216" s="5" t="inlineStr">
        <is>
          <t>Independent vape shop on the High Street in Wath upon Dearne. Address/postcode from Cylex listing.</t>
        </is>
      </c>
      <c r="AP216" s="5" t="inlineStr">
        <is>
          <t>Medium</t>
        </is>
      </c>
      <c r="AQ216" s="5" t="inlineStr">
        <is>
          <t>Independent retailer; Core relevant category</t>
        </is>
      </c>
      <c r="AR216" s="5" t="inlineStr">
        <is>
          <t>https://wath-upon-dearne.cylex-uk.co.uk/company/revolution-vape-19882113.html</t>
        </is>
      </c>
      <c r="AS216" s="5" t="inlineStr"/>
      <c r="AT216" s="5" t="inlineStr">
        <is>
          <t>1</t>
        </is>
      </c>
      <c r="AU216" s="5" t="inlineStr">
        <is>
          <t>No</t>
        </is>
      </c>
      <c r="AV216" s="5" t="inlineStr">
        <is>
          <t>No</t>
        </is>
      </c>
      <c r="AW216" s="5" t="inlineStr">
        <is>
          <t>No</t>
        </is>
      </c>
      <c r="AX216" s="5" t="inlineStr">
        <is>
          <t>No</t>
        </is>
      </c>
      <c r="AY216" s="5" t="inlineStr">
        <is>
          <t>Not Found</t>
        </is>
      </c>
      <c r="AZ216" s="5" t="inlineStr">
        <is>
          <t>Not Found</t>
        </is>
      </c>
      <c r="BA216" s="5" t="inlineStr">
        <is>
          <t>2026-09-16</t>
        </is>
      </c>
      <c r="BB216" s="5" t="inlineStr">
        <is>
          <t>Requires Verification</t>
        </is>
      </c>
      <c r="BC216" s="5" t="inlineStr">
        <is>
          <t>Low</t>
        </is>
      </c>
      <c r="BD216" s="5" t="inlineStr"/>
      <c r="BE216" s="5" t="inlineStr">
        <is>
          <t>Business (B2B)</t>
        </is>
      </c>
      <c r="BF216" s="5" t="inlineStr">
        <is>
          <t>Legitimate interest (B2B) - assess per campaign; PECR: corporate subscribers</t>
        </is>
      </c>
      <c r="BG216" s="5" t="inlineStr"/>
      <c r="BH216" s="5" t="inlineStr">
        <is>
          <t>No</t>
        </is>
      </c>
      <c r="BI216" s="5" t="inlineStr">
        <is>
          <t>2026-09-16</t>
        </is>
      </c>
      <c r="BJ216" s="5" t="inlineStr">
        <is>
          <t>New</t>
        </is>
      </c>
      <c r="BK216" s="5" t="inlineStr">
        <is>
          <t>2026-09-16</t>
        </is>
      </c>
      <c r="BL216" s="5" t="inlineStr"/>
      <c r="BM216" s="5" t="inlineStr"/>
      <c r="BN216" s="5" t="inlineStr"/>
      <c r="BO216" s="5" t="inlineStr"/>
      <c r="BP216" s="5" t="inlineStr"/>
      <c r="BQ216" s="5" t="inlineStr"/>
    </row>
    <row r="217">
      <c r="A217" s="10" t="inlineStr">
        <is>
          <t>UK-000271</t>
        </is>
      </c>
      <c r="B217" s="10" t="inlineStr">
        <is>
          <t>UK-000271-01</t>
        </is>
      </c>
      <c r="C217" s="10" t="inlineStr"/>
      <c r="D217" s="10" t="inlineStr">
        <is>
          <t>RicherVapes</t>
        </is>
      </c>
      <c r="E217" s="10" t="inlineStr">
        <is>
          <t>RicherVapes</t>
        </is>
      </c>
      <c r="F217" s="10" t="inlineStr"/>
      <c r="G217" s="10" t="inlineStr">
        <is>
          <t>Vape Shop</t>
        </is>
      </c>
      <c r="H217" s="10" t="inlineStr">
        <is>
          <t>E-cigarette, e-liquid &amp; hardware specialist</t>
        </is>
      </c>
      <c r="I217" s="10" t="inlineStr">
        <is>
          <t>Independent</t>
        </is>
      </c>
      <c r="J217" s="10" t="inlineStr">
        <is>
          <t>1</t>
        </is>
      </c>
      <c r="K217" s="10" t="inlineStr">
        <is>
          <t>https://richervapes.com/</t>
        </is>
      </c>
      <c r="L217" s="10" t="inlineStr">
        <is>
          <t>https://www.facebook.com/richervapes/</t>
        </is>
      </c>
      <c r="M217" s="10" t="inlineStr"/>
      <c r="N217" s="10" t="inlineStr"/>
      <c r="O217" s="10" t="inlineStr">
        <is>
          <t>2 Skeldergate</t>
        </is>
      </c>
      <c r="P217" s="10" t="inlineStr"/>
      <c r="Q217" s="10" t="inlineStr">
        <is>
          <t>York</t>
        </is>
      </c>
      <c r="R217" s="10" t="inlineStr">
        <is>
          <t>North Yorkshire</t>
        </is>
      </c>
      <c r="S217" s="10" t="inlineStr">
        <is>
          <t>YO1 6DG</t>
        </is>
      </c>
      <c r="T217" s="10" t="inlineStr">
        <is>
          <t>Yorkshire &amp; Humber</t>
        </is>
      </c>
      <c r="U217" s="10" t="inlineStr">
        <is>
          <t>England</t>
        </is>
      </c>
      <c r="V217" s="10" t="inlineStr">
        <is>
          <t>07879 654682</t>
        </is>
      </c>
      <c r="W217" s="10" t="inlineStr"/>
      <c r="X217" s="10" t="inlineStr"/>
      <c r="Y217" s="10" t="inlineStr">
        <is>
          <t>richervapes@gmail.com</t>
        </is>
      </c>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vape kits; e-liquids; replacement coils; tanks; accessories</t>
        </is>
      </c>
      <c r="AL217" s="10" t="inlineStr"/>
      <c r="AM217" s="10" t="inlineStr">
        <is>
          <t>Vape Shop</t>
        </is>
      </c>
      <c r="AN217" s="10" t="inlineStr"/>
      <c r="AO217" s="10" t="inlineStr">
        <is>
          <t>Independent York city-centre vape shop. Own website richervapes.com; shop-info page gives address 2 Skeldergate, phone and gmail contact, all surfaced via search snippets (direct fetch blocked by egress policy). Open Mon-Sat 10:00-17:00.</t>
        </is>
      </c>
      <c r="AP217" s="10" t="inlineStr">
        <is>
          <t>High</t>
        </is>
      </c>
      <c r="AQ217" s="10" t="inlineStr">
        <is>
          <t>Independent retailer; Core relevant category; Public email available; Active website; Social presence</t>
        </is>
      </c>
      <c r="AR217" s="10" t="inlineStr">
        <is>
          <t>https://richervapes.com/pages/come-and-visit-us</t>
        </is>
      </c>
      <c r="AS217" s="10" t="inlineStr">
        <is>
          <t>https://www.yell.com/biz/richer-vapes-york-8974674/</t>
        </is>
      </c>
      <c r="AT217" s="10" t="inlineStr">
        <is>
          <t>3</t>
        </is>
      </c>
      <c r="AU217" s="10" t="inlineStr">
        <is>
          <t>No</t>
        </is>
      </c>
      <c r="AV217" s="10" t="inlineStr">
        <is>
          <t>No</t>
        </is>
      </c>
      <c r="AW217" s="10" t="inlineStr">
        <is>
          <t>No</t>
        </is>
      </c>
      <c r="AX217" s="10" t="inlineStr">
        <is>
          <t>No</t>
        </is>
      </c>
      <c r="AY217" s="10" t="inlineStr">
        <is>
          <t>Verified directory</t>
        </is>
      </c>
      <c r="AZ217" s="10" t="inlineStr">
        <is>
          <t>Publicly Listed</t>
        </is>
      </c>
      <c r="BA217" s="10" t="inlineStr">
        <is>
          <t>2026-09-16</t>
        </is>
      </c>
      <c r="BB217" s="10" t="inlineStr">
        <is>
          <t>Requires Verification</t>
        </is>
      </c>
      <c r="BC217" s="10" t="inlineStr">
        <is>
          <t>Medium</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2026-09-16</t>
        </is>
      </c>
      <c r="BJ217" s="10" t="inlineStr">
        <is>
          <t>New</t>
        </is>
      </c>
      <c r="BK217" s="10" t="inlineStr">
        <is>
          <t>2026-09-16</t>
        </is>
      </c>
      <c r="BL217" s="10" t="inlineStr"/>
      <c r="BM217" s="10" t="inlineStr"/>
      <c r="BN217" s="10" t="inlineStr"/>
      <c r="BO217" s="10" t="inlineStr"/>
      <c r="BP217" s="10" t="inlineStr"/>
      <c r="BQ217" s="10" t="inlineStr"/>
    </row>
    <row r="218">
      <c r="A218" s="5" t="inlineStr">
        <is>
          <t>UK-000272</t>
        </is>
      </c>
      <c r="B218" s="5" t="inlineStr">
        <is>
          <t>UK-000272-01</t>
        </is>
      </c>
      <c r="C218" s="5" t="inlineStr"/>
      <c r="D218" s="5" t="inlineStr">
        <is>
          <t>Ripon News</t>
        </is>
      </c>
      <c r="E218" s="5" t="inlineStr">
        <is>
          <t>Ripon News</t>
        </is>
      </c>
      <c r="F218" s="5" t="inlineStr"/>
      <c r="G218" s="5" t="inlineStr">
        <is>
          <t>Newsagent</t>
        </is>
      </c>
      <c r="H218" s="5" t="inlineStr">
        <is>
          <t>Newsagent &amp; convenience</t>
        </is>
      </c>
      <c r="I218" s="5" t="inlineStr">
        <is>
          <t>Independent</t>
        </is>
      </c>
      <c r="J218" s="5" t="inlineStr">
        <is>
          <t>1</t>
        </is>
      </c>
      <c r="K218" s="5" t="inlineStr"/>
      <c r="L218" s="5" t="inlineStr"/>
      <c r="M218" s="5" t="inlineStr"/>
      <c r="N218" s="5" t="inlineStr"/>
      <c r="O218" s="5" t="inlineStr">
        <is>
          <t>54 North Street</t>
        </is>
      </c>
      <c r="P218" s="5" t="inlineStr"/>
      <c r="Q218" s="5" t="inlineStr">
        <is>
          <t>Ripon</t>
        </is>
      </c>
      <c r="R218" s="5" t="inlineStr">
        <is>
          <t>North Yorkshire</t>
        </is>
      </c>
      <c r="S218" s="5" t="inlineStr">
        <is>
          <t>HG4 1EN</t>
        </is>
      </c>
      <c r="T218" s="5" t="inlineStr">
        <is>
          <t>Yorkshire &amp; Humber</t>
        </is>
      </c>
      <c r="U218" s="5" t="inlineStr">
        <is>
          <t>England</t>
        </is>
      </c>
      <c r="V218" s="5" t="inlineStr">
        <is>
          <t>01765 604337</t>
        </is>
      </c>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newspapers; magazines; convenience groceries; confectionery</t>
        </is>
      </c>
      <c r="AL218" s="5" t="inlineStr"/>
      <c r="AM218" s="5" t="inlineStr">
        <is>
          <t>Newsagent</t>
        </is>
      </c>
      <c r="AN218" s="5" t="inlineStr"/>
      <c r="AO218" s="5" t="inlineStr">
        <is>
          <t>Independent Ripon newsagent at 54 North Street (HG4 1EN). Address/phone from Scoot / Touch Local directory listings via search snippets.</t>
        </is>
      </c>
      <c r="AP218" s="5" t="inlineStr">
        <is>
          <t>Low</t>
        </is>
      </c>
      <c r="AQ218" s="5" t="inlineStr">
        <is>
          <t>Independent retailer; Relevant category</t>
        </is>
      </c>
      <c r="AR218" s="5" t="inlineStr">
        <is>
          <t>https://www.scoot.co.uk/England/North-Yorkshire/Ripon/Ripon-News-CFRK298.html</t>
        </is>
      </c>
      <c r="AS218" s="5" t="inlineStr"/>
      <c r="AT218" s="5" t="inlineStr">
        <is>
          <t>1</t>
        </is>
      </c>
      <c r="AU218" s="5" t="inlineStr">
        <is>
          <t>No</t>
        </is>
      </c>
      <c r="AV218" s="5" t="inlineStr">
        <is>
          <t>No</t>
        </is>
      </c>
      <c r="AW218" s="5" t="inlineStr">
        <is>
          <t>No</t>
        </is>
      </c>
      <c r="AX218" s="5" t="inlineStr">
        <is>
          <t>No</t>
        </is>
      </c>
      <c r="AY218" s="5" t="inlineStr">
        <is>
          <t>Verified directory</t>
        </is>
      </c>
      <c r="AZ218" s="5" t="inlineStr">
        <is>
          <t>Not Found</t>
        </is>
      </c>
      <c r="BA218" s="5" t="inlineStr">
        <is>
          <t>2026-09-16</t>
        </is>
      </c>
      <c r="BB218" s="5" t="inlineStr">
        <is>
          <t>Requires Verification</t>
        </is>
      </c>
      <c r="BC218" s="5" t="inlineStr">
        <is>
          <t>Low</t>
        </is>
      </c>
      <c r="BD218" s="5" t="inlineStr"/>
      <c r="BE218" s="5" t="inlineStr">
        <is>
          <t>Business (B2B)</t>
        </is>
      </c>
      <c r="BF218" s="5" t="inlineStr">
        <is>
          <t>Legitimate interest (B2B) - assess per campaign; PECR: corporate subscribers</t>
        </is>
      </c>
      <c r="BG218" s="5" t="inlineStr"/>
      <c r="BH218" s="5" t="inlineStr">
        <is>
          <t>No</t>
        </is>
      </c>
      <c r="BI218" s="5" t="inlineStr">
        <is>
          <t>2026-09-16</t>
        </is>
      </c>
      <c r="BJ218" s="5" t="inlineStr">
        <is>
          <t>New</t>
        </is>
      </c>
      <c r="BK218" s="5" t="inlineStr">
        <is>
          <t>2026-09-16</t>
        </is>
      </c>
      <c r="BL218" s="5" t="inlineStr"/>
      <c r="BM218" s="5" t="inlineStr"/>
      <c r="BN218" s="5" t="inlineStr"/>
      <c r="BO218" s="5" t="inlineStr"/>
      <c r="BP218" s="5" t="inlineStr"/>
      <c r="BQ218" s="5" t="inlineStr"/>
    </row>
    <row r="219">
      <c r="A219" s="10" t="inlineStr">
        <is>
          <t>WY-0139</t>
        </is>
      </c>
      <c r="B219" s="10" t="inlineStr">
        <is>
          <t>WY-0139-01</t>
        </is>
      </c>
      <c r="C219" s="10" t="inlineStr"/>
      <c r="D219" s="10" t="inlineStr">
        <is>
          <t>Ryans The Tobacconist</t>
        </is>
      </c>
      <c r="E219" s="10" t="inlineStr">
        <is>
          <t>Ryans</t>
        </is>
      </c>
      <c r="F219" s="10" t="inlineStr"/>
      <c r="G219" s="10" t="inlineStr">
        <is>
          <t>Tobacco Specialist</t>
        </is>
      </c>
      <c r="H219" s="10" t="inlineStr">
        <is>
          <t>Traditional tobacconist - cigars, pipes, tobacco</t>
        </is>
      </c>
      <c r="I219" s="10" t="inlineStr">
        <is>
          <t>Independent</t>
        </is>
      </c>
      <c r="J219" s="10" t="inlineStr">
        <is>
          <t>1</t>
        </is>
      </c>
      <c r="K219" s="10" t="inlineStr">
        <is>
          <t>https://www.ryanstobacconist.co.uk/</t>
        </is>
      </c>
      <c r="L219" s="10" t="inlineStr">
        <is>
          <t>https://www.facebook.com/ryans.tobacconist/</t>
        </is>
      </c>
      <c r="M219" s="10" t="inlineStr">
        <is>
          <t>https://www.instagram.com/ryansthetobacconist/</t>
        </is>
      </c>
      <c r="N219" s="10" t="inlineStr"/>
      <c r="O219" s="10" t="inlineStr">
        <is>
          <t>5 The Headrow</t>
        </is>
      </c>
      <c r="P219" s="10" t="inlineStr">
        <is>
          <t>City Centre</t>
        </is>
      </c>
      <c r="Q219" s="10" t="inlineStr">
        <is>
          <t>Leeds</t>
        </is>
      </c>
      <c r="R219" s="10" t="inlineStr">
        <is>
          <t>West Yorkshire</t>
        </is>
      </c>
      <c r="S219" s="10" t="inlineStr">
        <is>
          <t>LS1 6PU</t>
        </is>
      </c>
      <c r="T219" s="10" t="inlineStr">
        <is>
          <t>Yorkshire &amp; Humber</t>
        </is>
      </c>
      <c r="U219" s="10" t="inlineStr">
        <is>
          <t>England</t>
        </is>
      </c>
      <c r="V219" s="10" t="inlineStr">
        <is>
          <t>0113 242 2585</t>
        </is>
      </c>
      <c r="W219" s="10" t="inlineStr"/>
      <c r="X219" s="10" t="inlineStr"/>
      <c r="Y219" s="10" t="inlineStr">
        <is>
          <t>Ryans.2000@outlook.com</t>
        </is>
      </c>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cigarettes; cigars; pipe tobacco; smoking accessories</t>
        </is>
      </c>
      <c r="AL219" s="10" t="inlineStr"/>
      <c r="AM219" s="10" t="inlineStr">
        <is>
          <t>Tobacco Specialist</t>
        </is>
      </c>
      <c r="AN219" s="10" t="inlineStr"/>
      <c r="AO219" s="10" t="inlineStr">
        <is>
          <t>Described as the sole traditional and modern tobacconist in Leeds, trading for more than 40 years. Email as published on their contact page (surfaced in search results).</t>
        </is>
      </c>
      <c r="AP219" s="10" t="inlineStr">
        <is>
          <t>High</t>
        </is>
      </c>
      <c r="AQ219" s="10" t="inlineStr">
        <is>
          <t>Independent retailer; Core relevant category; Public email available; Active website; Social presence</t>
        </is>
      </c>
      <c r="AR219" s="10" t="inlineStr">
        <is>
          <t>https://www.ryanstobacconist.co.uk/contact-us</t>
        </is>
      </c>
      <c r="AS219" s="10" t="inlineStr">
        <is>
          <t>https://wegetyoufound.co.uk/listings/ryans/leeds/tobacco-shop</t>
        </is>
      </c>
      <c r="AT219" s="10" t="inlineStr">
        <is>
          <t>2</t>
        </is>
      </c>
      <c r="AU219" s="10" t="inlineStr">
        <is>
          <t>No</t>
        </is>
      </c>
      <c r="AV219" s="10" t="inlineStr">
        <is>
          <t>No</t>
        </is>
      </c>
      <c r="AW219" s="10" t="inlineStr">
        <is>
          <t>No</t>
        </is>
      </c>
      <c r="AX219" s="10" t="inlineStr">
        <is>
          <t>No</t>
        </is>
      </c>
      <c r="AY219" s="10" t="inlineStr">
        <is>
          <t>Verified directory</t>
        </is>
      </c>
      <c r="AZ219" s="10" t="inlineStr">
        <is>
          <t>Publicly Listed</t>
        </is>
      </c>
      <c r="BA219" s="10" t="inlineStr">
        <is>
          <t>2026-09-16</t>
        </is>
      </c>
      <c r="BB219" s="10" t="inlineStr">
        <is>
          <t>Requires Verification</t>
        </is>
      </c>
      <c r="BC219" s="10" t="inlineStr">
        <is>
          <t>Medium</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2026-09-16</t>
        </is>
      </c>
      <c r="BJ219" s="10" t="inlineStr">
        <is>
          <t>New</t>
        </is>
      </c>
      <c r="BK219" s="10" t="inlineStr">
        <is>
          <t>2026-09-16</t>
        </is>
      </c>
      <c r="BL219" s="10" t="inlineStr"/>
      <c r="BM219" s="10" t="inlineStr"/>
      <c r="BN219" s="10" t="inlineStr"/>
      <c r="BO219" s="10" t="inlineStr"/>
      <c r="BP219" s="10" t="inlineStr"/>
      <c r="BQ219" s="10" t="inlineStr"/>
    </row>
    <row r="220">
      <c r="A220" s="5" t="inlineStr">
        <is>
          <t>UK-000273</t>
        </is>
      </c>
      <c r="B220" s="5" t="inlineStr">
        <is>
          <t>UK-000273-01</t>
        </is>
      </c>
      <c r="C220" s="5" t="inlineStr"/>
      <c r="D220" s="5" t="inlineStr">
        <is>
          <t>Ryedale Vapour</t>
        </is>
      </c>
      <c r="E220" s="5" t="inlineStr">
        <is>
          <t>Ryedale Vapour</t>
        </is>
      </c>
      <c r="F220" s="5" t="inlineStr"/>
      <c r="G220" s="5" t="inlineStr">
        <is>
          <t>Vape Shop</t>
        </is>
      </c>
      <c r="H220" s="5" t="inlineStr">
        <is>
          <t>Premium vape juices, e-liquids &amp; accessories</t>
        </is>
      </c>
      <c r="I220" s="5" t="inlineStr">
        <is>
          <t>Independent</t>
        </is>
      </c>
      <c r="J220" s="5" t="inlineStr">
        <is>
          <t>1</t>
        </is>
      </c>
      <c r="K220" s="5" t="inlineStr"/>
      <c r="L220" s="5" t="inlineStr"/>
      <c r="M220" s="5" t="inlineStr"/>
      <c r="N220" s="5" t="inlineStr"/>
      <c r="O220" s="5" t="inlineStr">
        <is>
          <t>15 Yorkersgate</t>
        </is>
      </c>
      <c r="P220" s="5" t="inlineStr"/>
      <c r="Q220" s="5" t="inlineStr">
        <is>
          <t>Malton</t>
        </is>
      </c>
      <c r="R220" s="5" t="inlineStr">
        <is>
          <t>North Yorkshire</t>
        </is>
      </c>
      <c r="S220" s="5" t="inlineStr">
        <is>
          <t>YO17 7AA</t>
        </is>
      </c>
      <c r="T220" s="5" t="inlineStr">
        <is>
          <t>Yorkshire &amp; Humber</t>
        </is>
      </c>
      <c r="U220" s="5" t="inlineStr">
        <is>
          <t>England</t>
        </is>
      </c>
      <c r="V220" s="5" t="inlineStr">
        <is>
          <t>01653 228160</t>
        </is>
      </c>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vape juices; e-liquids; accessories</t>
        </is>
      </c>
      <c r="AL220" s="5" t="inlineStr"/>
      <c r="AM220" s="5" t="inlineStr">
        <is>
          <t>Vape Shop</t>
        </is>
      </c>
      <c r="AN220" s="5" t="inlineStr"/>
      <c r="AO220" s="5" t="inlineStr">
        <is>
          <t>Independent Malton vape shop at 15 Yorkersgate (YO17 7AA); the same address is also listed under trading name 'The Kings Custard'. Address/phone from Yelp / Cylex Malton listings via search snippets.</t>
        </is>
      </c>
      <c r="AP220" s="5" t="inlineStr">
        <is>
          <t>Medium</t>
        </is>
      </c>
      <c r="AQ220" s="5" t="inlineStr">
        <is>
          <t>Independent retailer; Core relevant category</t>
        </is>
      </c>
      <c r="AR220" s="5" t="inlineStr">
        <is>
          <t>https://www.yelp.com/search?cflt=vapeshops&amp;find_loc=Malton+YO17</t>
        </is>
      </c>
      <c r="AS220" s="5" t="inlineStr"/>
      <c r="AT220" s="5" t="inlineStr">
        <is>
          <t>1</t>
        </is>
      </c>
      <c r="AU220" s="5" t="inlineStr">
        <is>
          <t>No</t>
        </is>
      </c>
      <c r="AV220" s="5" t="inlineStr">
        <is>
          <t>No</t>
        </is>
      </c>
      <c r="AW220" s="5" t="inlineStr">
        <is>
          <t>No</t>
        </is>
      </c>
      <c r="AX220" s="5" t="inlineStr">
        <is>
          <t>No</t>
        </is>
      </c>
      <c r="AY220" s="5" t="inlineStr">
        <is>
          <t>Verified directory</t>
        </is>
      </c>
      <c r="AZ220" s="5" t="inlineStr">
        <is>
          <t>Not Found</t>
        </is>
      </c>
      <c r="BA220" s="5" t="inlineStr">
        <is>
          <t>2026-09-16</t>
        </is>
      </c>
      <c r="BB220" s="5" t="inlineStr">
        <is>
          <t>Requires Verification</t>
        </is>
      </c>
      <c r="BC220" s="5" t="inlineStr">
        <is>
          <t>Low</t>
        </is>
      </c>
      <c r="BD220" s="5" t="inlineStr"/>
      <c r="BE220" s="5" t="inlineStr">
        <is>
          <t>Business (B2B)</t>
        </is>
      </c>
      <c r="BF220" s="5" t="inlineStr">
        <is>
          <t>Legitimate interest (B2B) - assess per campaign; PECR: corporate subscribers</t>
        </is>
      </c>
      <c r="BG220" s="5" t="inlineStr"/>
      <c r="BH220" s="5" t="inlineStr">
        <is>
          <t>No</t>
        </is>
      </c>
      <c r="BI220" s="5" t="inlineStr">
        <is>
          <t>2026-09-16</t>
        </is>
      </c>
      <c r="BJ220" s="5" t="inlineStr">
        <is>
          <t>New</t>
        </is>
      </c>
      <c r="BK220" s="5" t="inlineStr">
        <is>
          <t>2026-09-16</t>
        </is>
      </c>
      <c r="BL220" s="5" t="inlineStr"/>
      <c r="BM220" s="5" t="inlineStr"/>
      <c r="BN220" s="5" t="inlineStr"/>
      <c r="BO220" s="5" t="inlineStr"/>
      <c r="BP220" s="5" t="inlineStr"/>
      <c r="BQ220" s="5" t="inlineStr"/>
    </row>
    <row r="221">
      <c r="A221" s="10" t="inlineStr">
        <is>
          <t>UK-000274</t>
        </is>
      </c>
      <c r="B221" s="10" t="inlineStr">
        <is>
          <t>UK-000274-01</t>
        </is>
      </c>
      <c r="C221" s="10" t="inlineStr"/>
      <c r="D221" s="10" t="inlineStr">
        <is>
          <t>S.J. Convenience Store</t>
        </is>
      </c>
      <c r="E221" s="10" t="inlineStr">
        <is>
          <t>S.J. Convenience Store</t>
        </is>
      </c>
      <c r="F221" s="10" t="inlineStr"/>
      <c r="G221" s="10" t="inlineStr">
        <is>
          <t>Convenience Store</t>
        </is>
      </c>
      <c r="H221" s="10" t="inlineStr">
        <is>
          <t>Corner shop</t>
        </is>
      </c>
      <c r="I221" s="10" t="inlineStr">
        <is>
          <t>Independent</t>
        </is>
      </c>
      <c r="J221" s="10" t="inlineStr">
        <is>
          <t>1</t>
        </is>
      </c>
      <c r="K221" s="10" t="inlineStr"/>
      <c r="L221" s="10" t="inlineStr"/>
      <c r="M221" s="10" t="inlineStr"/>
      <c r="N221" s="10" t="inlineStr"/>
      <c r="O221" s="10" t="inlineStr"/>
      <c r="P221" s="10" t="inlineStr"/>
      <c r="Q221" s="10" t="inlineStr">
        <is>
          <t>Kingston upon Hull</t>
        </is>
      </c>
      <c r="R221" s="10" t="inlineStr">
        <is>
          <t>East Riding of Yorkshire</t>
        </is>
      </c>
      <c r="S221" s="10" t="inlineStr"/>
      <c r="T221" s="10" t="inlineStr">
        <is>
          <t>Yorkshire &amp; Humber</t>
        </is>
      </c>
      <c r="U221" s="10" t="inlineStr">
        <is>
          <t>England</t>
        </is>
      </c>
      <c r="V221" s="10" t="inlineStr"/>
      <c r="W221" s="10" t="inlineStr"/>
      <c r="X221" s="10" t="inlineStr"/>
      <c r="Y221" s="10" t="inlineStr"/>
      <c r="Z221" s="10" t="inlineStr"/>
      <c r="AA221" s="10" t="inlineStr"/>
      <c r="AB221" s="10" t="inlineStr"/>
      <c r="AC221" s="10" t="inlineStr"/>
      <c r="AD221" s="10" t="inlineStr"/>
      <c r="AE221" s="10" t="inlineStr"/>
      <c r="AF221" s="10" t="inlineStr"/>
      <c r="AG221" s="10" t="inlineStr"/>
      <c r="AH221" s="10" t="inlineStr"/>
      <c r="AI221" s="10" t="inlineStr"/>
      <c r="AJ221" s="10" t="inlineStr"/>
      <c r="AK221" s="10" t="inlineStr">
        <is>
          <t>groceries; confectionery; newspapers</t>
        </is>
      </c>
      <c r="AL221" s="10" t="inlineStr"/>
      <c r="AM221" s="10" t="inlineStr">
        <is>
          <t>Convenience Store</t>
        </is>
      </c>
      <c r="AN221" s="10" t="inlineStr"/>
      <c r="AO221" s="10" t="inlineStr">
        <is>
          <t>Independent corner shop/convenience store in Hull. No street address/phone in search results.</t>
        </is>
      </c>
      <c r="AP221" s="10" t="inlineStr">
        <is>
          <t>Low</t>
        </is>
      </c>
      <c r="AQ221" s="10" t="inlineStr">
        <is>
          <t>Independent retailer; Relevant category</t>
        </is>
      </c>
      <c r="AR221" s="10" t="inlineStr">
        <is>
          <t>https://www.yorkshire.com/hull/shopping/corner-shops/sj-convenience-store</t>
        </is>
      </c>
      <c r="AS221" s="10" t="inlineStr"/>
      <c r="AT221" s="10" t="inlineStr">
        <is>
          <t>1</t>
        </is>
      </c>
      <c r="AU221" s="10" t="inlineStr">
        <is>
          <t>No</t>
        </is>
      </c>
      <c r="AV221" s="10" t="inlineStr">
        <is>
          <t>No</t>
        </is>
      </c>
      <c r="AW221" s="10" t="inlineStr">
        <is>
          <t>No</t>
        </is>
      </c>
      <c r="AX221" s="10" t="inlineStr">
        <is>
          <t>No</t>
        </is>
      </c>
      <c r="AY221" s="10" t="inlineStr">
        <is>
          <t>Not Found</t>
        </is>
      </c>
      <c r="AZ221" s="10" t="inlineStr">
        <is>
          <t>Not Found</t>
        </is>
      </c>
      <c r="BA221" s="10" t="inlineStr">
        <is>
          <t>2026-09-16</t>
        </is>
      </c>
      <c r="BB221" s="10" t="inlineStr">
        <is>
          <t>Requires Verification</t>
        </is>
      </c>
      <c r="BC221" s="10" t="inlineStr">
        <is>
          <t>Low</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2026-09-16</t>
        </is>
      </c>
      <c r="BJ221" s="10" t="inlineStr">
        <is>
          <t>New</t>
        </is>
      </c>
      <c r="BK221" s="10" t="inlineStr">
        <is>
          <t>2026-09-16</t>
        </is>
      </c>
      <c r="BL221" s="10" t="inlineStr"/>
      <c r="BM221" s="10" t="inlineStr"/>
      <c r="BN221" s="10" t="inlineStr"/>
      <c r="BO221" s="10" t="inlineStr"/>
      <c r="BP221" s="10" t="inlineStr"/>
      <c r="BQ221" s="10" t="inlineStr"/>
    </row>
    <row r="222">
      <c r="A222" s="5" t="inlineStr">
        <is>
          <t>WY-0140</t>
        </is>
      </c>
      <c r="B222" s="5" t="inlineStr">
        <is>
          <t>WY-0140-01</t>
        </is>
      </c>
      <c r="C222" s="5" t="inlineStr"/>
      <c r="D222" s="5" t="inlineStr">
        <is>
          <t>SMKD</t>
        </is>
      </c>
      <c r="E222" s="5" t="inlineStr">
        <is>
          <t>SMKD</t>
        </is>
      </c>
      <c r="F222" s="5" t="inlineStr">
        <is>
          <t>SMKD Vape Limited</t>
        </is>
      </c>
      <c r="G222" s="5" t="inlineStr">
        <is>
          <t>Vape Shop</t>
        </is>
      </c>
      <c r="H222" s="5" t="inlineStr">
        <is>
          <t>Online vape retailer with same-day West Yorkshire delivery (former multi-store chain)</t>
        </is>
      </c>
      <c r="I222" s="5" t="inlineStr">
        <is>
          <t>Independent</t>
        </is>
      </c>
      <c r="J222" s="5" t="inlineStr">
        <is>
          <t>1</t>
        </is>
      </c>
      <c r="K222" s="5" t="inlineStr">
        <is>
          <t>https://smkd.com/</t>
        </is>
      </c>
      <c r="L222" s="5" t="inlineStr">
        <is>
          <t>https://www.facebook.com/SmkdVapeShop/</t>
        </is>
      </c>
      <c r="M222" s="5" t="inlineStr"/>
      <c r="N222" s="5" t="inlineStr"/>
      <c r="O222" s="5" t="inlineStr">
        <is>
          <t>Unit 7, Bradford Chamber Business Park</t>
        </is>
      </c>
      <c r="P222" s="5" t="inlineStr">
        <is>
          <t>New Lane</t>
        </is>
      </c>
      <c r="Q222" s="5" t="inlineStr">
        <is>
          <t>Bradford</t>
        </is>
      </c>
      <c r="R222" s="5" t="inlineStr">
        <is>
          <t>West Yorkshire</t>
        </is>
      </c>
      <c r="S222" s="5" t="inlineStr">
        <is>
          <t>BD4 8BX</t>
        </is>
      </c>
      <c r="T222" s="5" t="inlineStr">
        <is>
          <t>Yorkshire &amp; Humber</t>
        </is>
      </c>
      <c r="U222" s="5" t="inlineStr">
        <is>
          <t>England</t>
        </is>
      </c>
      <c r="V222" s="5" t="inlineStr">
        <is>
          <t>01274 270303</t>
        </is>
      </c>
      <c r="W222" s="5" t="inlineStr"/>
      <c r="X222" s="5" t="inlineStr"/>
      <c r="Y222" s="5" t="inlineStr">
        <is>
          <t>info@smkd.com</t>
        </is>
      </c>
      <c r="Z222" s="5" t="inlineStr"/>
      <c r="AA222" s="5" t="inlineStr"/>
      <c r="AB222" s="5" t="inlineStr"/>
      <c r="AC222" s="5" t="inlineStr"/>
      <c r="AD222" s="5" t="inlineStr"/>
      <c r="AE222" s="5" t="inlineStr"/>
      <c r="AF222" s="5" t="inlineStr"/>
      <c r="AG222" s="5" t="inlineStr"/>
      <c r="AH222" s="5" t="inlineStr"/>
      <c r="AI222" s="5" t="inlineStr"/>
      <c r="AJ222" s="5" t="inlineStr"/>
      <c r="AK222" s="5" t="inlineStr">
        <is>
          <t>vape hardware; e-liquids; disposables</t>
        </is>
      </c>
      <c r="AL222" s="5" t="inlineStr"/>
      <c r="AM222" s="5" t="inlineStr">
        <is>
          <t>Vape Shop</t>
        </is>
      </c>
      <c r="AN222" s="5" t="inlineStr"/>
      <c r="AO222" s="5"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222" s="5" t="inlineStr">
        <is>
          <t>High</t>
        </is>
      </c>
      <c r="AQ222" s="5" t="inlineStr">
        <is>
          <t>Independent retailer; Core relevant category; Public email available; Active website; Social presence; Phone verified on official website</t>
        </is>
      </c>
      <c r="AR222" s="5" t="inlineStr">
        <is>
          <t>https://smkd.com/vape-shop-locator/</t>
        </is>
      </c>
      <c r="AS222" s="5" t="inlineStr">
        <is>
          <t>https://smkd.com/vape-shop-locator/huddersfield-vape-shop-high-street/</t>
        </is>
      </c>
      <c r="AT222" s="5" t="inlineStr">
        <is>
          <t>4</t>
        </is>
      </c>
      <c r="AU222" s="5" t="inlineStr">
        <is>
          <t>Yes</t>
        </is>
      </c>
      <c r="AV222" s="5" t="inlineStr">
        <is>
          <t>No</t>
        </is>
      </c>
      <c r="AW222" s="5" t="inlineStr">
        <is>
          <t>No</t>
        </is>
      </c>
      <c r="AX222" s="5" t="inlineStr">
        <is>
          <t>No</t>
        </is>
      </c>
      <c r="AY222" s="5" t="inlineStr">
        <is>
          <t>Verified on official website</t>
        </is>
      </c>
      <c r="AZ222" s="5" t="inlineStr">
        <is>
          <t>Publicly Listed</t>
        </is>
      </c>
      <c r="BA222" s="5" t="inlineStr">
        <is>
          <t>2026-09-16</t>
        </is>
      </c>
      <c r="BB222" s="5" t="inlineStr">
        <is>
          <t>Partially Verified</t>
        </is>
      </c>
      <c r="BC222" s="5" t="inlineStr">
        <is>
          <t>Medium</t>
        </is>
      </c>
      <c r="BD222" s="5" t="inlineStr"/>
      <c r="BE222" s="5" t="inlineStr">
        <is>
          <t>Business (B2B)</t>
        </is>
      </c>
      <c r="BF222" s="5" t="inlineStr">
        <is>
          <t>Legitimate interest (B2B) - assess per campaign; PECR: corporate subscribers</t>
        </is>
      </c>
      <c r="BG222" s="5" t="inlineStr"/>
      <c r="BH222" s="5" t="inlineStr">
        <is>
          <t>No</t>
        </is>
      </c>
      <c r="BI222" s="5" t="inlineStr">
        <is>
          <t>2026-09-16</t>
        </is>
      </c>
      <c r="BJ222" s="5" t="inlineStr">
        <is>
          <t>New</t>
        </is>
      </c>
      <c r="BK222" s="5" t="inlineStr">
        <is>
          <t>2026-09-16</t>
        </is>
      </c>
      <c r="BL222" s="5" t="inlineStr"/>
      <c r="BM222" s="5" t="inlineStr"/>
      <c r="BN222" s="5" t="inlineStr"/>
      <c r="BO222" s="5" t="inlineStr"/>
      <c r="BP222" s="5" t="inlineStr"/>
      <c r="BQ222" s="5" t="inlineStr"/>
    </row>
    <row r="223">
      <c r="A223" s="10" t="inlineStr">
        <is>
          <t>WY-0141</t>
        </is>
      </c>
      <c r="B223" s="10" t="inlineStr">
        <is>
          <t>WY-0141-01</t>
        </is>
      </c>
      <c r="C223" s="10" t="inlineStr"/>
      <c r="D223" s="10" t="inlineStr">
        <is>
          <t>SPAR Huddersfield Road</t>
        </is>
      </c>
      <c r="E223" s="10" t="inlineStr">
        <is>
          <t>SPAR Huddersfield Road, Elland</t>
        </is>
      </c>
      <c r="F223" s="10" t="inlineStr"/>
      <c r="G223" s="10" t="inlineStr">
        <is>
          <t>Convenience Store</t>
        </is>
      </c>
      <c r="H223" s="10" t="inlineStr">
        <is>
          <t>SPAR symbol group convenience store with off-licence</t>
        </is>
      </c>
      <c r="I223" s="10" t="inlineStr">
        <is>
          <t>Franchise / Symbol Group</t>
        </is>
      </c>
      <c r="J223" s="10" t="inlineStr">
        <is>
          <t>1</t>
        </is>
      </c>
      <c r="K223" s="10" t="inlineStr">
        <is>
          <t>https://www.spar.co.uk/store-locator/hal32443-spar-huddersfield-road</t>
        </is>
      </c>
      <c r="L223" s="10" t="inlineStr"/>
      <c r="M223" s="10" t="inlineStr"/>
      <c r="N223" s="10" t="inlineStr"/>
      <c r="O223" s="10" t="inlineStr">
        <is>
          <t>Huddersfield Road</t>
        </is>
      </c>
      <c r="P223" s="10" t="inlineStr"/>
      <c r="Q223" s="10" t="inlineStr">
        <is>
          <t>Elland</t>
        </is>
      </c>
      <c r="R223" s="10" t="inlineStr">
        <is>
          <t>West Yorkshire</t>
        </is>
      </c>
      <c r="S223" s="10" t="inlineStr">
        <is>
          <t>HX5 9AA</t>
        </is>
      </c>
      <c r="T223" s="10" t="inlineStr">
        <is>
          <t>Yorkshire &amp; Humber</t>
        </is>
      </c>
      <c r="U223" s="10" t="inlineStr">
        <is>
          <t>England</t>
        </is>
      </c>
      <c r="V223" s="10" t="inlineStr">
        <is>
          <t>01422 648232</t>
        </is>
      </c>
      <c r="W223" s="10" t="inlineStr"/>
      <c r="X223" s="10" t="inlineStr"/>
      <c r="Y223" s="10" t="inlineStr"/>
      <c r="Z223" s="10" t="inlineStr"/>
      <c r="AA223" s="10" t="inlineStr"/>
      <c r="AB223" s="10" t="inlineStr"/>
      <c r="AC223" s="10" t="inlineStr"/>
      <c r="AD223" s="10" t="inlineStr"/>
      <c r="AE223" s="10" t="inlineStr"/>
      <c r="AF223" s="10" t="inlineStr"/>
      <c r="AG223" s="10" t="inlineStr"/>
      <c r="AH223" s="10" t="inlineStr"/>
      <c r="AI223" s="10" t="inlineStr"/>
      <c r="AJ223" s="10" t="inlineStr"/>
      <c r="AK223" s="10" t="inlineStr">
        <is>
          <t>convenience; beers, wines and spirits</t>
        </is>
      </c>
      <c r="AL223" s="10" t="inlineStr"/>
      <c r="AM223" s="10" t="inlineStr">
        <is>
          <t>Convenience Store</t>
        </is>
      </c>
      <c r="AN223" s="10" t="inlineStr">
        <is>
          <t>SPAR UK (James Hall &amp; Co is the SPAR wholesaler for the North of England)</t>
        </is>
      </c>
      <c r="AO223" s="10" t="inlineStr">
        <is>
          <t>Store operator (independent retailer vs company-owned) not established; listed on the official SPAR UK store locator.</t>
        </is>
      </c>
      <c r="AP223" s="10" t="inlineStr">
        <is>
          <t>Medium</t>
        </is>
      </c>
      <c r="AQ223" s="10" t="inlineStr">
        <is>
          <t>Independent retailer; Relevant category; Active website</t>
        </is>
      </c>
      <c r="AR223" s="10" t="inlineStr">
        <is>
          <t>https://www.spar.co.uk/store-locator/hal32443-spar-huddersfield-road</t>
        </is>
      </c>
      <c r="AS223" s="10" t="inlineStr">
        <is>
          <t>https://www.openingtimesin.uk/spar-elland</t>
        </is>
      </c>
      <c r="AT223" s="10" t="inlineStr">
        <is>
          <t>3</t>
        </is>
      </c>
      <c r="AU223" s="10" t="inlineStr">
        <is>
          <t>No</t>
        </is>
      </c>
      <c r="AV223" s="10" t="inlineStr">
        <is>
          <t>No</t>
        </is>
      </c>
      <c r="AW223" s="10" t="inlineStr">
        <is>
          <t>No</t>
        </is>
      </c>
      <c r="AX223" s="10" t="inlineStr">
        <is>
          <t>No</t>
        </is>
      </c>
      <c r="AY223" s="10" t="inlineStr">
        <is>
          <t>Verified directory</t>
        </is>
      </c>
      <c r="AZ223" s="10" t="inlineStr">
        <is>
          <t>Not Found</t>
        </is>
      </c>
      <c r="BA223" s="10" t="inlineStr">
        <is>
          <t>2026-09-16</t>
        </is>
      </c>
      <c r="BB223" s="10" t="inlineStr">
        <is>
          <t>Requires Verification</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2026-09-16</t>
        </is>
      </c>
      <c r="BJ223" s="10" t="inlineStr">
        <is>
          <t>New</t>
        </is>
      </c>
      <c r="BK223" s="10" t="inlineStr">
        <is>
          <t>2026-09-16</t>
        </is>
      </c>
      <c r="BL223" s="10" t="inlineStr"/>
      <c r="BM223" s="10" t="inlineStr"/>
      <c r="BN223" s="10" t="inlineStr"/>
      <c r="BO223" s="10" t="inlineStr"/>
      <c r="BP223" s="10" t="inlineStr"/>
      <c r="BQ223" s="10" t="inlineStr"/>
    </row>
    <row r="224">
      <c r="A224" s="5" t="inlineStr">
        <is>
          <t>WY-0142</t>
        </is>
      </c>
      <c r="B224" s="5" t="inlineStr">
        <is>
          <t>WY-0142-01</t>
        </is>
      </c>
      <c r="C224" s="5" t="inlineStr"/>
      <c r="D224" s="5" t="inlineStr">
        <is>
          <t>SPAR Outwood</t>
        </is>
      </c>
      <c r="E224" s="5" t="inlineStr">
        <is>
          <t>SPAR Outwood</t>
        </is>
      </c>
      <c r="F224" s="5" t="inlineStr"/>
      <c r="G224" s="5" t="inlineStr">
        <is>
          <t>Convenience Store</t>
        </is>
      </c>
      <c r="H224" s="5" t="inlineStr">
        <is>
          <t>Symbol group convenience store</t>
        </is>
      </c>
      <c r="I224" s="5" t="inlineStr">
        <is>
          <t>Franchise / Symbol Group</t>
        </is>
      </c>
      <c r="J224" s="5" t="inlineStr">
        <is>
          <t>1</t>
        </is>
      </c>
      <c r="K224" s="5" t="inlineStr">
        <is>
          <t>https://www.spar.co.uk/store-locator/afb49926-spar-outwood</t>
        </is>
      </c>
      <c r="L224" s="5" t="inlineStr"/>
      <c r="M224" s="5" t="inlineStr"/>
      <c r="N224" s="5" t="inlineStr"/>
      <c r="O224" s="5" t="inlineStr">
        <is>
          <t>Potovens Lane</t>
        </is>
      </c>
      <c r="P224" s="5" t="inlineStr">
        <is>
          <t>Outwood</t>
        </is>
      </c>
      <c r="Q224" s="5" t="inlineStr">
        <is>
          <t>Wakefield</t>
        </is>
      </c>
      <c r="R224" s="5" t="inlineStr">
        <is>
          <t>West Yorkshire</t>
        </is>
      </c>
      <c r="S224" s="5" t="inlineStr">
        <is>
          <t>WF1 2LE</t>
        </is>
      </c>
      <c r="T224" s="5" t="inlineStr">
        <is>
          <t>Yorkshire &amp; Humber</t>
        </is>
      </c>
      <c r="U224" s="5" t="inlineStr">
        <is>
          <t>England</t>
        </is>
      </c>
      <c r="V224" s="5" t="inlineStr">
        <is>
          <t>01924 822641</t>
        </is>
      </c>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grocery; alcohol; food to go</t>
        </is>
      </c>
      <c r="AL224" s="5" t="inlineStr"/>
      <c r="AM224" s="5" t="inlineStr">
        <is>
          <t>Convenience Store</t>
        </is>
      </c>
      <c r="AN224" s="5" t="inlineStr">
        <is>
          <t>SPAR symbol group (likely James Hall &amp; Co territory for North of England)</t>
        </is>
      </c>
      <c r="AO224" s="5" t="inlineStr">
        <is>
          <t>On the official SPAR UK store locator. Operator (independent retailer vs company-owned) not established; SPAR stores in this area are commonly independently owned.</t>
        </is>
      </c>
      <c r="AP224" s="5" t="inlineStr">
        <is>
          <t>Medium</t>
        </is>
      </c>
      <c r="AQ224" s="5" t="inlineStr">
        <is>
          <t>Independent retailer; Relevant category; Active website</t>
        </is>
      </c>
      <c r="AR224" s="5" t="inlineStr">
        <is>
          <t>https://www.spar.co.uk/store-locator/afb49926-spar-outwood</t>
        </is>
      </c>
      <c r="AS224" s="5" t="inlineStr">
        <is>
          <t>https://www.192.com/atoz/business/wakefield-wf1/convenience-stores/spar-outwood/9bb09a8d82ab0999cf3197b0d056b3add8363126/ugc/</t>
        </is>
      </c>
      <c r="AT224" s="5" t="inlineStr">
        <is>
          <t>3</t>
        </is>
      </c>
      <c r="AU224" s="5" t="inlineStr">
        <is>
          <t>No</t>
        </is>
      </c>
      <c r="AV224" s="5" t="inlineStr">
        <is>
          <t>No</t>
        </is>
      </c>
      <c r="AW224" s="5" t="inlineStr">
        <is>
          <t>No</t>
        </is>
      </c>
      <c r="AX224" s="5" t="inlineStr">
        <is>
          <t>No</t>
        </is>
      </c>
      <c r="AY224" s="5" t="inlineStr">
        <is>
          <t>Verified directory</t>
        </is>
      </c>
      <c r="AZ224" s="5" t="inlineStr">
        <is>
          <t>Not Found</t>
        </is>
      </c>
      <c r="BA224" s="5" t="inlineStr">
        <is>
          <t>2026-09-16</t>
        </is>
      </c>
      <c r="BB224" s="5" t="inlineStr">
        <is>
          <t>Requires Verification</t>
        </is>
      </c>
      <c r="BC224" s="5" t="inlineStr">
        <is>
          <t>Medium</t>
        </is>
      </c>
      <c r="BD224" s="5" t="inlineStr"/>
      <c r="BE224" s="5" t="inlineStr">
        <is>
          <t>Business (B2B)</t>
        </is>
      </c>
      <c r="BF224" s="5" t="inlineStr">
        <is>
          <t>Legitimate interest (B2B) - assess per campaign; PECR: corporate subscribers</t>
        </is>
      </c>
      <c r="BG224" s="5" t="inlineStr"/>
      <c r="BH224" s="5" t="inlineStr">
        <is>
          <t>No</t>
        </is>
      </c>
      <c r="BI224" s="5" t="inlineStr">
        <is>
          <t>2026-09-16</t>
        </is>
      </c>
      <c r="BJ224" s="5" t="inlineStr">
        <is>
          <t>New</t>
        </is>
      </c>
      <c r="BK224" s="5" t="inlineStr">
        <is>
          <t>2026-09-16</t>
        </is>
      </c>
      <c r="BL224" s="5" t="inlineStr"/>
      <c r="BM224" s="5" t="inlineStr"/>
      <c r="BN224" s="5" t="inlineStr"/>
      <c r="BO224" s="5" t="inlineStr"/>
      <c r="BP224" s="5" t="inlineStr"/>
      <c r="BQ224" s="5" t="inlineStr"/>
    </row>
    <row r="225">
      <c r="A225" s="10" t="inlineStr">
        <is>
          <t>UK-000275</t>
        </is>
      </c>
      <c r="B225" s="10" t="inlineStr">
        <is>
          <t>UK-000275-01</t>
        </is>
      </c>
      <c r="C225" s="10" t="inlineStr"/>
      <c r="D225" s="10" t="inlineStr">
        <is>
          <t>Sako Polish Shop Doncaster</t>
        </is>
      </c>
      <c r="E225" s="10" t="inlineStr">
        <is>
          <t>Sako Market</t>
        </is>
      </c>
      <c r="F225" s="10" t="inlineStr"/>
      <c r="G225" s="10" t="inlineStr">
        <is>
          <t>Independent Supermarket</t>
        </is>
      </c>
      <c r="H225" s="10" t="inlineStr">
        <is>
          <t>Polish / European grocery store</t>
        </is>
      </c>
      <c r="I225" s="10" t="inlineStr">
        <is>
          <t>Independent</t>
        </is>
      </c>
      <c r="J225" s="10" t="inlineStr">
        <is>
          <t>1</t>
        </is>
      </c>
      <c r="K225" s="10" t="inlineStr">
        <is>
          <t>https://sakomarket.com/</t>
        </is>
      </c>
      <c r="L225" s="10" t="inlineStr"/>
      <c r="M225" s="10" t="inlineStr"/>
      <c r="N225" s="10" t="inlineStr"/>
      <c r="O225" s="10" t="inlineStr">
        <is>
          <t>40 Duke Street</t>
        </is>
      </c>
      <c r="P225" s="10" t="inlineStr"/>
      <c r="Q225" s="10" t="inlineStr">
        <is>
          <t>Doncaster</t>
        </is>
      </c>
      <c r="R225" s="10" t="inlineStr">
        <is>
          <t>South Yorkshire</t>
        </is>
      </c>
      <c r="S225" s="10" t="inlineStr"/>
      <c r="T225" s="10" t="inlineStr">
        <is>
          <t>Yorkshire &amp; Humber</t>
        </is>
      </c>
      <c r="U225" s="10" t="inlineStr">
        <is>
          <t>England</t>
        </is>
      </c>
      <c r="V225" s="10" t="inlineStr"/>
      <c r="W225" s="10" t="inlineStr"/>
      <c r="X225" s="10" t="inlineStr"/>
      <c r="Y225" s="10" t="inlineStr"/>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Polish groceries; deli meats; cheeses; fresh and frozen foods</t>
        </is>
      </c>
      <c r="AL225" s="10" t="inlineStr"/>
      <c r="AM225" s="10" t="inlineStr">
        <is>
          <t>Independent Supermarket</t>
        </is>
      </c>
      <c r="AN225" s="10" t="inlineStr"/>
      <c r="AO225" s="10" t="inlineStr">
        <is>
          <t>Independent Polish/European grocery shop at 40 Duke Street, Doncaster town centre. Website (sakomarket.com) and directory listing found; postcode not captured.</t>
        </is>
      </c>
      <c r="AP225" s="10" t="inlineStr">
        <is>
          <t>Medium</t>
        </is>
      </c>
      <c r="AQ225" s="10" t="inlineStr">
        <is>
          <t>Independent retailer; Relevant category; Active website</t>
        </is>
      </c>
      <c r="AR225" s="10" t="inlineStr">
        <is>
          <t>https://bippermedia.com/uk/st/england/south-yorkshire/doncaster/grocery-store/sako-polish-shop-doncaster-doncaster/</t>
        </is>
      </c>
      <c r="AS225" s="10" t="inlineStr"/>
      <c r="AT225" s="10" t="inlineStr">
        <is>
          <t>1</t>
        </is>
      </c>
      <c r="AU225" s="10" t="inlineStr">
        <is>
          <t>No</t>
        </is>
      </c>
      <c r="AV225" s="10" t="inlineStr">
        <is>
          <t>No</t>
        </is>
      </c>
      <c r="AW225" s="10" t="inlineStr">
        <is>
          <t>No</t>
        </is>
      </c>
      <c r="AX225" s="10" t="inlineStr">
        <is>
          <t>No</t>
        </is>
      </c>
      <c r="AY225" s="10" t="inlineStr">
        <is>
          <t>Not Found</t>
        </is>
      </c>
      <c r="AZ225" s="10" t="inlineStr">
        <is>
          <t>Website Found</t>
        </is>
      </c>
      <c r="BA225" s="10" t="inlineStr">
        <is>
          <t>2026-09-16</t>
        </is>
      </c>
      <c r="BB225" s="10" t="inlineStr">
        <is>
          <t>Requires Verification</t>
        </is>
      </c>
      <c r="BC225" s="10" t="inlineStr">
        <is>
          <t>Low</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2026-09-16</t>
        </is>
      </c>
      <c r="BJ225" s="10" t="inlineStr">
        <is>
          <t>New</t>
        </is>
      </c>
      <c r="BK225" s="10" t="inlineStr">
        <is>
          <t>2026-09-16</t>
        </is>
      </c>
      <c r="BL225" s="10" t="inlineStr"/>
      <c r="BM225" s="10" t="inlineStr"/>
      <c r="BN225" s="10" t="inlineStr"/>
      <c r="BO225" s="10" t="inlineStr"/>
      <c r="BP225" s="10" t="inlineStr"/>
      <c r="BQ225" s="10" t="inlineStr"/>
    </row>
    <row r="226">
      <c r="A226" s="5" t="inlineStr">
        <is>
          <t>WY-0143</t>
        </is>
      </c>
      <c r="B226" s="5" t="inlineStr">
        <is>
          <t>WY-0143-01</t>
        </is>
      </c>
      <c r="C226" s="5" t="inlineStr"/>
      <c r="D226" s="5" t="inlineStr">
        <is>
          <t>SaveCo Cash &amp; Carry Bradford</t>
        </is>
      </c>
      <c r="E226" s="5" t="inlineStr">
        <is>
          <t>SaveCo Cash &amp; Carry</t>
        </is>
      </c>
      <c r="F226" s="5" t="inlineStr">
        <is>
          <t>The Meat Company Bradford Ltd</t>
        </is>
      </c>
      <c r="G226" s="5" t="inlineStr">
        <is>
          <t>Cash &amp; Carry</t>
        </is>
      </c>
      <c r="H226" s="5" t="inlineStr">
        <is>
          <t>Halal supermarket &amp; food cash and carry</t>
        </is>
      </c>
      <c r="I226" s="5" t="inlineStr">
        <is>
          <t>Independent</t>
        </is>
      </c>
      <c r="J226" s="5" t="inlineStr">
        <is>
          <t>1</t>
        </is>
      </c>
      <c r="K226" s="5" t="inlineStr">
        <is>
          <t>https://savecobradford.co.uk/</t>
        </is>
      </c>
      <c r="L226" s="5" t="inlineStr">
        <is>
          <t>https://www.facebook.com/savecobradford/</t>
        </is>
      </c>
      <c r="M226" s="5" t="inlineStr"/>
      <c r="N226" s="5" t="inlineStr"/>
      <c r="O226" s="5" t="inlineStr">
        <is>
          <t>Carter Gear Works, Thornbury Road</t>
        </is>
      </c>
      <c r="P226" s="5" t="inlineStr"/>
      <c r="Q226" s="5" t="inlineStr">
        <is>
          <t>Bradford</t>
        </is>
      </c>
      <c r="R226" s="5" t="inlineStr">
        <is>
          <t>West Yorkshire</t>
        </is>
      </c>
      <c r="S226" s="5" t="inlineStr">
        <is>
          <t>BD3 8HE</t>
        </is>
      </c>
      <c r="T226" s="5" t="inlineStr">
        <is>
          <t>Yorkshire &amp; Humber</t>
        </is>
      </c>
      <c r="U226" s="5" t="inlineStr">
        <is>
          <t>England</t>
        </is>
      </c>
      <c r="V226" s="5" t="inlineStr">
        <is>
          <t>01274 665555</t>
        </is>
      </c>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HMC halal meat; world foods; groceries; fresh produce</t>
        </is>
      </c>
      <c r="AL226" s="5" t="inlineStr"/>
      <c r="AM226" s="5" t="inlineStr">
        <is>
          <t>Cash &amp; Carry</t>
        </is>
      </c>
      <c r="AN226" s="5" t="inlineStr"/>
      <c r="AO226" s="5"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226" s="5" t="inlineStr">
        <is>
          <t>Medium</t>
        </is>
      </c>
      <c r="AQ226" s="5" t="inlineStr">
        <is>
          <t>Independent retailer; Core relevant category; Active website; Social presence</t>
        </is>
      </c>
      <c r="AR226" s="5" t="inlineStr">
        <is>
          <t>https://savecobradford.co.uk/</t>
        </is>
      </c>
      <c r="AS226" s="5" t="inlineStr">
        <is>
          <t>https://www.yell.com/biz/saveco-cash-and-carry-bradford-9304267/</t>
        </is>
      </c>
      <c r="AT226" s="5" t="inlineStr">
        <is>
          <t>4</t>
        </is>
      </c>
      <c r="AU226" s="5" t="inlineStr">
        <is>
          <t>No</t>
        </is>
      </c>
      <c r="AV226" s="5" t="inlineStr">
        <is>
          <t>No</t>
        </is>
      </c>
      <c r="AW226" s="5" t="inlineStr">
        <is>
          <t>No</t>
        </is>
      </c>
      <c r="AX226" s="5" t="inlineStr">
        <is>
          <t>No</t>
        </is>
      </c>
      <c r="AY226" s="5" t="inlineStr">
        <is>
          <t>Verified directory</t>
        </is>
      </c>
      <c r="AZ226" s="5" t="inlineStr">
        <is>
          <t>Website Found</t>
        </is>
      </c>
      <c r="BA226" s="5" t="inlineStr">
        <is>
          <t>2026-09-16</t>
        </is>
      </c>
      <c r="BB226" s="5" t="inlineStr">
        <is>
          <t>Requires Verification</t>
        </is>
      </c>
      <c r="BC226" s="5" t="inlineStr">
        <is>
          <t>Medium</t>
        </is>
      </c>
      <c r="BD226" s="5" t="inlineStr"/>
      <c r="BE226" s="5" t="inlineStr">
        <is>
          <t>Business (B2B)</t>
        </is>
      </c>
      <c r="BF226" s="5" t="inlineStr">
        <is>
          <t>Legitimate interest (B2B) - assess per campaign; PECR: corporate subscribers</t>
        </is>
      </c>
      <c r="BG226" s="5" t="inlineStr"/>
      <c r="BH226" s="5" t="inlineStr">
        <is>
          <t>No</t>
        </is>
      </c>
      <c r="BI226" s="5" t="inlineStr">
        <is>
          <t>2026-09-16</t>
        </is>
      </c>
      <c r="BJ226" s="5" t="inlineStr">
        <is>
          <t>New</t>
        </is>
      </c>
      <c r="BK226" s="5" t="inlineStr">
        <is>
          <t>2026-09-16</t>
        </is>
      </c>
      <c r="BL226" s="5" t="inlineStr"/>
      <c r="BM226" s="5" t="inlineStr"/>
      <c r="BN226" s="5" t="inlineStr"/>
      <c r="BO226" s="5" t="inlineStr"/>
      <c r="BP226" s="5" t="inlineStr"/>
      <c r="BQ226" s="5" t="inlineStr"/>
    </row>
    <row r="227">
      <c r="A227" s="10" t="inlineStr">
        <is>
          <t>UK-000276</t>
        </is>
      </c>
      <c r="B227" s="10" t="inlineStr">
        <is>
          <t>UK-000276-01</t>
        </is>
      </c>
      <c r="C227" s="10" t="inlineStr"/>
      <c r="D227" s="10" t="inlineStr">
        <is>
          <t>Selby Vapes</t>
        </is>
      </c>
      <c r="E227" s="10" t="inlineStr">
        <is>
          <t>Selby Vapes</t>
        </is>
      </c>
      <c r="F227" s="10" t="inlineStr"/>
      <c r="G227" s="10" t="inlineStr">
        <is>
          <t>Vape Shop</t>
        </is>
      </c>
      <c r="H227" s="10" t="inlineStr">
        <is>
          <t>E-liquids, nic salts &amp; vape kits</t>
        </is>
      </c>
      <c r="I227" s="10" t="inlineStr">
        <is>
          <t>Independent</t>
        </is>
      </c>
      <c r="J227" s="10" t="inlineStr">
        <is>
          <t>1</t>
        </is>
      </c>
      <c r="K227" s="10" t="inlineStr"/>
      <c r="L227" s="10" t="inlineStr"/>
      <c r="M227" s="10" t="inlineStr"/>
      <c r="N227" s="10" t="inlineStr">
        <is>
          <t>https://nextdoor.co.uk/pages/selby-vapes-selby-north-yorkshire/</t>
        </is>
      </c>
      <c r="O227" s="10" t="inlineStr">
        <is>
          <t>24 Abbots Court</t>
        </is>
      </c>
      <c r="P227" s="10" t="inlineStr"/>
      <c r="Q227" s="10" t="inlineStr">
        <is>
          <t>Selby</t>
        </is>
      </c>
      <c r="R227" s="10" t="inlineStr">
        <is>
          <t>North Yorkshire</t>
        </is>
      </c>
      <c r="S227" s="10" t="inlineStr">
        <is>
          <t>YO8 8BF</t>
        </is>
      </c>
      <c r="T227" s="10" t="inlineStr">
        <is>
          <t>Yorkshire &amp; Humber</t>
        </is>
      </c>
      <c r="U227" s="10" t="inlineStr">
        <is>
          <t>England</t>
        </is>
      </c>
      <c r="V227" s="10" t="inlineStr">
        <is>
          <t>07772 913458</t>
        </is>
      </c>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e-liquids; nic salts; vape kits</t>
        </is>
      </c>
      <c r="AL227" s="10" t="inlineStr"/>
      <c r="AM227" s="10" t="inlineStr">
        <is>
          <t>Vape Shop</t>
        </is>
      </c>
      <c r="AN227" s="10" t="inlineStr"/>
      <c r="AO227" s="10" t="inlineStr">
        <is>
          <t>Independent Selby vape shop established 2020, open 7 days. Address 24 Abbots Court and mobile number from eCig Directory / Bizify / Cylex / Nextdoor listings via search snippets.</t>
        </is>
      </c>
      <c r="AP227" s="10" t="inlineStr">
        <is>
          <t>Medium</t>
        </is>
      </c>
      <c r="AQ227" s="10" t="inlineStr">
        <is>
          <t>Independent retailer; Core relevant category; Social presence</t>
        </is>
      </c>
      <c r="AR227" s="10" t="inlineStr">
        <is>
          <t>https://www.bizify.co.uk/vape-shops/york/YO8-8FB/selby-vapes</t>
        </is>
      </c>
      <c r="AS227" s="10" t="inlineStr">
        <is>
          <t>https://ecigdirectory.co.uk/vape-shop/listing/selby-vapes-selby</t>
        </is>
      </c>
      <c r="AT227" s="10" t="inlineStr">
        <is>
          <t>2</t>
        </is>
      </c>
      <c r="AU227" s="10" t="inlineStr">
        <is>
          <t>No</t>
        </is>
      </c>
      <c r="AV227" s="10" t="inlineStr">
        <is>
          <t>No</t>
        </is>
      </c>
      <c r="AW227" s="10" t="inlineStr">
        <is>
          <t>No</t>
        </is>
      </c>
      <c r="AX227" s="10" t="inlineStr">
        <is>
          <t>No</t>
        </is>
      </c>
      <c r="AY227" s="10" t="inlineStr">
        <is>
          <t>Verified directory</t>
        </is>
      </c>
      <c r="AZ227" s="10" t="inlineStr">
        <is>
          <t>Not Found</t>
        </is>
      </c>
      <c r="BA227" s="10" t="inlineStr">
        <is>
          <t>2026-09-16</t>
        </is>
      </c>
      <c r="BB227" s="10" t="inlineStr">
        <is>
          <t>Requires Verification</t>
        </is>
      </c>
      <c r="BC227" s="10" t="inlineStr">
        <is>
          <t>Medium</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2026-09-16</t>
        </is>
      </c>
      <c r="BJ227" s="10" t="inlineStr">
        <is>
          <t>New</t>
        </is>
      </c>
      <c r="BK227" s="10" t="inlineStr">
        <is>
          <t>2026-09-16</t>
        </is>
      </c>
      <c r="BL227" s="10" t="inlineStr"/>
      <c r="BM227" s="10" t="inlineStr"/>
      <c r="BN227" s="10" t="inlineStr"/>
      <c r="BO227" s="10" t="inlineStr"/>
      <c r="BP227" s="10" t="inlineStr"/>
      <c r="BQ227" s="10" t="inlineStr"/>
    </row>
    <row r="228">
      <c r="A228" s="5" t="inlineStr">
        <is>
          <t>WY-0144</t>
        </is>
      </c>
      <c r="B228" s="5" t="inlineStr">
        <is>
          <t>WY-0144-01</t>
        </is>
      </c>
      <c r="C228" s="5" t="inlineStr"/>
      <c r="D228" s="5" t="inlineStr">
        <is>
          <t>Select Newsagent</t>
        </is>
      </c>
      <c r="E228" s="5" t="inlineStr">
        <is>
          <t>Select Newsagent</t>
        </is>
      </c>
      <c r="F228" s="5" t="inlineStr"/>
      <c r="G228" s="5" t="inlineStr">
        <is>
          <t>Newsagent</t>
        </is>
      </c>
      <c r="H228" s="5" t="inlineStr">
        <is>
          <t>Newsagent and convenience store</t>
        </is>
      </c>
      <c r="I228" s="5" t="inlineStr">
        <is>
          <t>Independent</t>
        </is>
      </c>
      <c r="J228" s="5" t="inlineStr">
        <is>
          <t>1</t>
        </is>
      </c>
      <c r="K228" s="5" t="inlineStr"/>
      <c r="L228" s="5" t="inlineStr"/>
      <c r="M228" s="5" t="inlineStr"/>
      <c r="N228" s="5" t="inlineStr"/>
      <c r="O228" s="5" t="inlineStr">
        <is>
          <t>18 Lee Green</t>
        </is>
      </c>
      <c r="P228" s="5" t="inlineStr"/>
      <c r="Q228" s="5" t="inlineStr">
        <is>
          <t>Mirfield</t>
        </is>
      </c>
      <c r="R228" s="5" t="inlineStr">
        <is>
          <t>West Yorkshire</t>
        </is>
      </c>
      <c r="S228" s="5" t="inlineStr">
        <is>
          <t>WF14 0AB</t>
        </is>
      </c>
      <c r="T228" s="5" t="inlineStr">
        <is>
          <t>Yorkshire &amp; Humber</t>
        </is>
      </c>
      <c r="U228" s="5" t="inlineStr">
        <is>
          <t>England</t>
        </is>
      </c>
      <c r="V228" s="5" t="inlineStr">
        <is>
          <t>01924 695779</t>
        </is>
      </c>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newspapers; magazines; convenience goods; confectionery</t>
        </is>
      </c>
      <c r="AL228" s="5" t="inlineStr"/>
      <c r="AM228" s="5" t="inlineStr">
        <is>
          <t>Newsagent</t>
        </is>
      </c>
      <c r="AN228" s="5" t="inlineStr"/>
      <c r="AO228" s="5" t="inlineStr"/>
      <c r="AP228" s="5" t="inlineStr">
        <is>
          <t>Low</t>
        </is>
      </c>
      <c r="AQ228" s="5" t="inlineStr">
        <is>
          <t>Independent retailer; Relevant category</t>
        </is>
      </c>
      <c r="AR228" s="5" t="inlineStr">
        <is>
          <t>https://mirfield.cylex-uk.co.uk/company/select-newsagent-28742458.html</t>
        </is>
      </c>
      <c r="AS228" s="5" t="inlineStr">
        <is>
          <t>https://mirfield.ukintouch.com/convenience-store/select-newsagent/</t>
        </is>
      </c>
      <c r="AT228" s="5" t="inlineStr">
        <is>
          <t>2</t>
        </is>
      </c>
      <c r="AU228" s="5" t="inlineStr">
        <is>
          <t>No</t>
        </is>
      </c>
      <c r="AV228" s="5" t="inlineStr">
        <is>
          <t>No</t>
        </is>
      </c>
      <c r="AW228" s="5" t="inlineStr">
        <is>
          <t>No</t>
        </is>
      </c>
      <c r="AX228" s="5" t="inlineStr">
        <is>
          <t>No</t>
        </is>
      </c>
      <c r="AY228" s="5" t="inlineStr">
        <is>
          <t>Verified directory</t>
        </is>
      </c>
      <c r="AZ228" s="5" t="inlineStr">
        <is>
          <t>Not Found</t>
        </is>
      </c>
      <c r="BA228" s="5" t="inlineStr">
        <is>
          <t>2026-09-16</t>
        </is>
      </c>
      <c r="BB228" s="5" t="inlineStr">
        <is>
          <t>Requires Verification</t>
        </is>
      </c>
      <c r="BC228" s="5" t="inlineStr">
        <is>
          <t>Medium</t>
        </is>
      </c>
      <c r="BD228" s="5" t="inlineStr"/>
      <c r="BE228" s="5" t="inlineStr">
        <is>
          <t>Business (B2B)</t>
        </is>
      </c>
      <c r="BF228" s="5" t="inlineStr">
        <is>
          <t>Legitimate interest (B2B) - assess per campaign; PECR: corporate subscribers</t>
        </is>
      </c>
      <c r="BG228" s="5" t="inlineStr"/>
      <c r="BH228" s="5" t="inlineStr">
        <is>
          <t>No</t>
        </is>
      </c>
      <c r="BI228" s="5" t="inlineStr">
        <is>
          <t>2026-09-16</t>
        </is>
      </c>
      <c r="BJ228" s="5" t="inlineStr">
        <is>
          <t>New</t>
        </is>
      </c>
      <c r="BK228" s="5" t="inlineStr">
        <is>
          <t>2026-09-16</t>
        </is>
      </c>
      <c r="BL228" s="5" t="inlineStr"/>
      <c r="BM228" s="5" t="inlineStr"/>
      <c r="BN228" s="5" t="inlineStr"/>
      <c r="BO228" s="5" t="inlineStr"/>
      <c r="BP228" s="5" t="inlineStr"/>
      <c r="BQ228" s="5" t="inlineStr"/>
    </row>
    <row r="229">
      <c r="A229" s="10" t="inlineStr">
        <is>
          <t>WY-0145</t>
        </is>
      </c>
      <c r="B229" s="10" t="inlineStr">
        <is>
          <t>WY-0145-01</t>
        </is>
      </c>
      <c r="C229" s="10" t="inlineStr"/>
      <c r="D229" s="10" t="inlineStr">
        <is>
          <t>Shans Supermarket</t>
        </is>
      </c>
      <c r="E229" s="10" t="inlineStr">
        <is>
          <t>Shans Supermarket</t>
        </is>
      </c>
      <c r="F229" s="10" t="inlineStr"/>
      <c r="G229" s="10" t="inlineStr">
        <is>
          <t>Independent Supermarket</t>
        </is>
      </c>
      <c r="H229" s="10" t="inlineStr">
        <is>
          <t>Multicultural halal supermarket</t>
        </is>
      </c>
      <c r="I229" s="10" t="inlineStr">
        <is>
          <t>Independent</t>
        </is>
      </c>
      <c r="J229" s="10" t="inlineStr">
        <is>
          <t>1</t>
        </is>
      </c>
      <c r="K229" s="10" t="inlineStr"/>
      <c r="L229" s="10" t="inlineStr">
        <is>
          <t>https://www.facebook.com/ShansSupermarket/</t>
        </is>
      </c>
      <c r="M229" s="10" t="inlineStr"/>
      <c r="N229" s="10" t="inlineStr"/>
      <c r="O229" s="10" t="inlineStr">
        <is>
          <t>Alice Street</t>
        </is>
      </c>
      <c r="P229" s="10" t="inlineStr"/>
      <c r="Q229" s="10" t="inlineStr">
        <is>
          <t>Keighley</t>
        </is>
      </c>
      <c r="R229" s="10" t="inlineStr">
        <is>
          <t>West Yorkshire</t>
        </is>
      </c>
      <c r="S229" s="10" t="inlineStr"/>
      <c r="T229" s="10" t="inlineStr">
        <is>
          <t>Yorkshire &amp; Humber</t>
        </is>
      </c>
      <c r="U229" s="10" t="inlineStr">
        <is>
          <t>England</t>
        </is>
      </c>
      <c r="V229" s="10" t="inlineStr">
        <is>
          <t>01535 667889</t>
        </is>
      </c>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fresh halal meat; spices; grains; pulses; world food ingredients</t>
        </is>
      </c>
      <c r="AL229" s="10" t="inlineStr"/>
      <c r="AM229" s="10" t="inlineStr">
        <is>
          <t>Independent Supermarket</t>
        </is>
      </c>
      <c r="AN229" s="10" t="inlineStr"/>
      <c r="AO229" s="10" t="inlineStr">
        <is>
          <t>Described as Keighley's first multicultural halal supermarket, town-centre location on Alice Street.</t>
        </is>
      </c>
      <c r="AP229" s="10" t="inlineStr">
        <is>
          <t>Medium</t>
        </is>
      </c>
      <c r="AQ229" s="10" t="inlineStr">
        <is>
          <t>Independent retailer; Relevant category; Social presence</t>
        </is>
      </c>
      <c r="AR229" s="10" t="inlineStr">
        <is>
          <t>https://www.facebook.com/ShansSupermarket/</t>
        </is>
      </c>
      <c r="AS229" s="10" t="inlineStr">
        <is>
          <t>https://www.yorkshire.com/keighley/shopping/supermarkets/shans-supermarket</t>
        </is>
      </c>
      <c r="AT229" s="10" t="inlineStr">
        <is>
          <t>2</t>
        </is>
      </c>
      <c r="AU229" s="10" t="inlineStr">
        <is>
          <t>No</t>
        </is>
      </c>
      <c r="AV229" s="10" t="inlineStr">
        <is>
          <t>No</t>
        </is>
      </c>
      <c r="AW229" s="10" t="inlineStr">
        <is>
          <t>No</t>
        </is>
      </c>
      <c r="AX229" s="10" t="inlineStr">
        <is>
          <t>No</t>
        </is>
      </c>
      <c r="AY229" s="10" t="inlineStr">
        <is>
          <t>Verified directory</t>
        </is>
      </c>
      <c r="AZ229" s="10" t="inlineStr">
        <is>
          <t>Not Found</t>
        </is>
      </c>
      <c r="BA229" s="10" t="inlineStr">
        <is>
          <t>2026-09-16</t>
        </is>
      </c>
      <c r="BB229" s="10" t="inlineStr">
        <is>
          <t>Requires Verification</t>
        </is>
      </c>
      <c r="BC229" s="10" t="inlineStr">
        <is>
          <t>Medium</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2026-09-16</t>
        </is>
      </c>
      <c r="BJ229" s="10" t="inlineStr">
        <is>
          <t>New</t>
        </is>
      </c>
      <c r="BK229" s="10" t="inlineStr">
        <is>
          <t>2026-09-16</t>
        </is>
      </c>
      <c r="BL229" s="10" t="inlineStr"/>
      <c r="BM229" s="10" t="inlineStr"/>
      <c r="BN229" s="10" t="inlineStr"/>
      <c r="BO229" s="10" t="inlineStr"/>
      <c r="BP229" s="10" t="inlineStr"/>
      <c r="BQ229" s="10" t="inlineStr"/>
    </row>
    <row r="230">
      <c r="A230" s="5" t="inlineStr">
        <is>
          <t>WY-0146</t>
        </is>
      </c>
      <c r="B230" s="5" t="inlineStr">
        <is>
          <t>WY-0146-01</t>
        </is>
      </c>
      <c r="C230" s="5" t="inlineStr"/>
      <c r="D230" s="5" t="inlineStr">
        <is>
          <t>Sheepridge Off Licence</t>
        </is>
      </c>
      <c r="E230" s="5" t="inlineStr">
        <is>
          <t>Sheepridge Off Licence</t>
        </is>
      </c>
      <c r="F230" s="5" t="inlineStr">
        <is>
          <t>Sheepridge Off Licence Limited</t>
        </is>
      </c>
      <c r="G230" s="5" t="inlineStr">
        <is>
          <t>Off-Licence</t>
        </is>
      </c>
      <c r="H230" s="5" t="inlineStr">
        <is>
          <t>Off-licence and convenience store</t>
        </is>
      </c>
      <c r="I230" s="5" t="inlineStr">
        <is>
          <t>Independent</t>
        </is>
      </c>
      <c r="J230" s="5" t="inlineStr">
        <is>
          <t>1</t>
        </is>
      </c>
      <c r="K230" s="5" t="inlineStr"/>
      <c r="L230" s="5" t="inlineStr"/>
      <c r="M230" s="5" t="inlineStr"/>
      <c r="N230" s="5" t="inlineStr"/>
      <c r="O230" s="5" t="inlineStr">
        <is>
          <t>73 Lawrence Road</t>
        </is>
      </c>
      <c r="P230" s="5" t="inlineStr"/>
      <c r="Q230" s="5" t="inlineStr">
        <is>
          <t>Huddersfield</t>
        </is>
      </c>
      <c r="R230" s="5" t="inlineStr">
        <is>
          <t>West Yorkshire</t>
        </is>
      </c>
      <c r="S230" s="5" t="inlineStr">
        <is>
          <t>HD1 4LW</t>
        </is>
      </c>
      <c r="T230" s="5" t="inlineStr">
        <is>
          <t>Yorkshire &amp; Humber</t>
        </is>
      </c>
      <c r="U230" s="5" t="inlineStr">
        <is>
          <t>England</t>
        </is>
      </c>
      <c r="V230" s="5" t="inlineStr"/>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alcohol; convenience goods</t>
        </is>
      </c>
      <c r="AL230" s="5" t="inlineStr"/>
      <c r="AM230" s="5" t="inlineStr">
        <is>
          <t>Off-Licence</t>
        </is>
      </c>
      <c r="AN230" s="5" t="inlineStr"/>
      <c r="AO230" s="5" t="inlineStr">
        <is>
          <t>192.com lists the business as a limited company ('Sheepridge Off Licence Limited'); Companies House record not opened so number/status not recorded.</t>
        </is>
      </c>
      <c r="AP230" s="5" t="inlineStr">
        <is>
          <t>Low</t>
        </is>
      </c>
      <c r="AQ230" s="5" t="inlineStr">
        <is>
          <t>Independent retailer; Relevant category</t>
        </is>
      </c>
      <c r="AR230" s="5" t="inlineStr">
        <is>
          <t>https://www.192.com/atoz/business/huddersfield-hd1/convenience-stores/sheepridge-off-licence-limited/bfc32af555a5eed742b2bfb4d8a2acd75ab80d62/comp/</t>
        </is>
      </c>
      <c r="AS230" s="5" t="inlineStr"/>
      <c r="AT230" s="5" t="inlineStr">
        <is>
          <t>1</t>
        </is>
      </c>
      <c r="AU230" s="5" t="inlineStr">
        <is>
          <t>No</t>
        </is>
      </c>
      <c r="AV230" s="5" t="inlineStr">
        <is>
          <t>No</t>
        </is>
      </c>
      <c r="AW230" s="5" t="inlineStr">
        <is>
          <t>No</t>
        </is>
      </c>
      <c r="AX230" s="5" t="inlineStr">
        <is>
          <t>No</t>
        </is>
      </c>
      <c r="AY230" s="5" t="inlineStr">
        <is>
          <t>Not Found</t>
        </is>
      </c>
      <c r="AZ230" s="5" t="inlineStr">
        <is>
          <t>Not Found</t>
        </is>
      </c>
      <c r="BA230" s="5" t="inlineStr">
        <is>
          <t>2026-09-16</t>
        </is>
      </c>
      <c r="BB230" s="5" t="inlineStr">
        <is>
          <t>Requires Verification</t>
        </is>
      </c>
      <c r="BC230" s="5" t="inlineStr">
        <is>
          <t>Low</t>
        </is>
      </c>
      <c r="BD230" s="5" t="inlineStr"/>
      <c r="BE230" s="5" t="inlineStr">
        <is>
          <t>Business (B2B)</t>
        </is>
      </c>
      <c r="BF230" s="5" t="inlineStr">
        <is>
          <t>Legitimate interest (B2B) - assess per campaign; PECR: corporate subscribers</t>
        </is>
      </c>
      <c r="BG230" s="5" t="inlineStr"/>
      <c r="BH230" s="5" t="inlineStr">
        <is>
          <t>No</t>
        </is>
      </c>
      <c r="BI230" s="5" t="inlineStr">
        <is>
          <t>2026-09-16</t>
        </is>
      </c>
      <c r="BJ230" s="5" t="inlineStr">
        <is>
          <t>New</t>
        </is>
      </c>
      <c r="BK230" s="5" t="inlineStr">
        <is>
          <t>2026-09-16</t>
        </is>
      </c>
      <c r="BL230" s="5" t="inlineStr"/>
      <c r="BM230" s="5" t="inlineStr"/>
      <c r="BN230" s="5" t="inlineStr"/>
      <c r="BO230" s="5" t="inlineStr"/>
      <c r="BP230" s="5" t="inlineStr"/>
      <c r="BQ230" s="5" t="inlineStr"/>
    </row>
    <row r="231">
      <c r="A231" s="10" t="inlineStr">
        <is>
          <t>WY-0147</t>
        </is>
      </c>
      <c r="B231" s="10" t="inlineStr">
        <is>
          <t>WY-0147-01</t>
        </is>
      </c>
      <c r="C231" s="10" t="inlineStr"/>
      <c r="D231" s="10" t="inlineStr">
        <is>
          <t>Shoesmiths Tobacconist</t>
        </is>
      </c>
      <c r="E231" s="10" t="inlineStr">
        <is>
          <t>Totally Wicked at Shoesmiths</t>
        </is>
      </c>
      <c r="F231" s="10" t="inlineStr"/>
      <c r="G231" s="10" t="inlineStr">
        <is>
          <t>Tobacco Specialist</t>
        </is>
      </c>
      <c r="H231" s="10" t="inlineStr">
        <is>
          <t>Traditional tobacconist and cigar shop</t>
        </is>
      </c>
      <c r="I231" s="10" t="inlineStr">
        <is>
          <t>Independent</t>
        </is>
      </c>
      <c r="J231" s="10" t="inlineStr">
        <is>
          <t>1</t>
        </is>
      </c>
      <c r="K231" s="10" t="inlineStr"/>
      <c r="L231" s="10" t="inlineStr">
        <is>
          <t>https://www.facebook.com/shoesmiths/</t>
        </is>
      </c>
      <c r="M231" s="10" t="inlineStr"/>
      <c r="N231" s="10" t="inlineStr"/>
      <c r="O231" s="10" t="inlineStr">
        <is>
          <t>65 Commercial Street</t>
        </is>
      </c>
      <c r="P231" s="10" t="inlineStr"/>
      <c r="Q231" s="10" t="inlineStr">
        <is>
          <t>Halifax</t>
        </is>
      </c>
      <c r="R231" s="10" t="inlineStr">
        <is>
          <t>West Yorkshire</t>
        </is>
      </c>
      <c r="S231" s="10" t="inlineStr">
        <is>
          <t>HX1 1BE</t>
        </is>
      </c>
      <c r="T231" s="10" t="inlineStr">
        <is>
          <t>Yorkshire &amp; Humber</t>
        </is>
      </c>
      <c r="U231" s="10" t="inlineStr">
        <is>
          <t>England</t>
        </is>
      </c>
      <c r="V231" s="10" t="inlineStr"/>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is>
          <t>Totally Wicked</t>
        </is>
      </c>
      <c r="AK231" s="10" t="inlineStr">
        <is>
          <t>tobacco; cigars; vape hardware; e-liquids</t>
        </is>
      </c>
      <c r="AL231" s="10" t="inlineStr"/>
      <c r="AM231" s="10" t="inlineStr">
        <is>
          <t>Tobacco Specialist</t>
        </is>
      </c>
      <c r="AN231" s="10" t="inlineStr">
        <is>
          <t>Authorised Totally Wicked stockist</t>
        </is>
      </c>
      <c r="AO231" s="10" t="inlineStr">
        <is>
          <t>Long-established traditional tobacconist next to the Victoria Theatre; Facebook page branded 'Totally Wicked at Shoesmiths'. eCig Directory lists 'Smokers D'Lite' vape business at the same address (65 Commercial Street), likely a counter within or a former name.</t>
        </is>
      </c>
      <c r="AP231" s="10" t="inlineStr">
        <is>
          <t>Medium</t>
        </is>
      </c>
      <c r="AQ231" s="10" t="inlineStr">
        <is>
          <t>Independent retailer; Core relevant category; Social presence</t>
        </is>
      </c>
      <c r="AR231" s="10" t="inlineStr">
        <is>
          <t>https://www.facebook.com/shoesmiths/</t>
        </is>
      </c>
      <c r="AS231" s="10" t="inlineStr">
        <is>
          <t>https://www.bigreddirectory.com/shoesmiths-tobacconist-halifax</t>
        </is>
      </c>
      <c r="AT231" s="10" t="inlineStr">
        <is>
          <t>3</t>
        </is>
      </c>
      <c r="AU231" s="10" t="inlineStr">
        <is>
          <t>No</t>
        </is>
      </c>
      <c r="AV231" s="10" t="inlineStr">
        <is>
          <t>No</t>
        </is>
      </c>
      <c r="AW231" s="10" t="inlineStr">
        <is>
          <t>No</t>
        </is>
      </c>
      <c r="AX231" s="10" t="inlineStr">
        <is>
          <t>No</t>
        </is>
      </c>
      <c r="AY231" s="10" t="inlineStr">
        <is>
          <t>Not Found</t>
        </is>
      </c>
      <c r="AZ231" s="10" t="inlineStr">
        <is>
          <t>Not Found</t>
        </is>
      </c>
      <c r="BA231" s="10" t="inlineStr">
        <is>
          <t>2026-09-16</t>
        </is>
      </c>
      <c r="BB231" s="10" t="inlineStr">
        <is>
          <t>Requires Verification</t>
        </is>
      </c>
      <c r="BC231" s="10" t="inlineStr">
        <is>
          <t>Medium</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2026-09-16</t>
        </is>
      </c>
      <c r="BJ231" s="10" t="inlineStr">
        <is>
          <t>New</t>
        </is>
      </c>
      <c r="BK231" s="10" t="inlineStr">
        <is>
          <t>2026-09-16</t>
        </is>
      </c>
      <c r="BL231" s="10" t="inlineStr"/>
      <c r="BM231" s="10" t="inlineStr"/>
      <c r="BN231" s="10" t="inlineStr"/>
      <c r="BO231" s="10" t="inlineStr"/>
      <c r="BP231" s="10" t="inlineStr"/>
      <c r="BQ231" s="10" t="inlineStr"/>
    </row>
    <row r="232">
      <c r="A232" s="5" t="inlineStr">
        <is>
          <t>UK-000277</t>
        </is>
      </c>
      <c r="B232" s="5" t="inlineStr">
        <is>
          <t>UK-000277-01</t>
        </is>
      </c>
      <c r="C232" s="5" t="inlineStr"/>
      <c r="D232" s="5" t="inlineStr">
        <is>
          <t>Smoke &amp; Vape Barnsley</t>
        </is>
      </c>
      <c r="E232" s="5" t="inlineStr">
        <is>
          <t>Smoke &amp; Vape</t>
        </is>
      </c>
      <c r="F232" s="5" t="inlineStr"/>
      <c r="G232" s="5" t="inlineStr">
        <is>
          <t>Smoke / Shisha Shop</t>
        </is>
      </c>
      <c r="H232" s="5" t="inlineStr">
        <is>
          <t>Smoke and vape shop</t>
        </is>
      </c>
      <c r="I232" s="5" t="inlineStr">
        <is>
          <t>Independent</t>
        </is>
      </c>
      <c r="J232" s="5" t="inlineStr">
        <is>
          <t>1</t>
        </is>
      </c>
      <c r="K232" s="5" t="inlineStr"/>
      <c r="L232" s="5" t="inlineStr">
        <is>
          <t>https://www.facebook.com/p/SMOKE-VAPE-Barnsley-61555973916748/</t>
        </is>
      </c>
      <c r="M232" s="5" t="inlineStr"/>
      <c r="N232" s="5" t="inlineStr"/>
      <c r="O232" s="5" t="inlineStr">
        <is>
          <t>6 Market Street</t>
        </is>
      </c>
      <c r="P232" s="5" t="inlineStr"/>
      <c r="Q232" s="5" t="inlineStr">
        <is>
          <t>Barnsley</t>
        </is>
      </c>
      <c r="R232" s="5" t="inlineStr">
        <is>
          <t>South Yorkshire</t>
        </is>
      </c>
      <c r="S232" s="5" t="inlineStr"/>
      <c r="T232" s="5" t="inlineStr">
        <is>
          <t>Yorkshire &amp; Humber</t>
        </is>
      </c>
      <c r="U232" s="5" t="inlineStr">
        <is>
          <t>England</t>
        </is>
      </c>
      <c r="V232" s="5" t="inlineStr">
        <is>
          <t>01226 953777</t>
        </is>
      </c>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tobacco accessories; vapes; e-liquids; disposables</t>
        </is>
      </c>
      <c r="AL232" s="5" t="inlineStr"/>
      <c r="AM232" s="5" t="inlineStr">
        <is>
          <t>Smoke / Shisha Shop</t>
        </is>
      </c>
      <c r="AN232" s="5" t="inlineStr"/>
      <c r="AO232" s="5" t="inlineStr">
        <is>
          <t>Independent smoke and vape shop at 6 Market Street, Barnsley. Phone from Facebook page. Postcode not captured.</t>
        </is>
      </c>
      <c r="AP232" s="5" t="inlineStr">
        <is>
          <t>Medium</t>
        </is>
      </c>
      <c r="AQ232" s="5" t="inlineStr">
        <is>
          <t>Independent retailer; Core relevant category; Social presence</t>
        </is>
      </c>
      <c r="AR232" s="5" t="inlineStr">
        <is>
          <t>https://www.facebook.com/p/SMOKE-VAPE-Barnsley-61555973916748/</t>
        </is>
      </c>
      <c r="AS232" s="5" t="inlineStr"/>
      <c r="AT232" s="5" t="inlineStr">
        <is>
          <t>1</t>
        </is>
      </c>
      <c r="AU232" s="5" t="inlineStr">
        <is>
          <t>No</t>
        </is>
      </c>
      <c r="AV232" s="5" t="inlineStr">
        <is>
          <t>No</t>
        </is>
      </c>
      <c r="AW232" s="5" t="inlineStr">
        <is>
          <t>No</t>
        </is>
      </c>
      <c r="AX232" s="5" t="inlineStr">
        <is>
          <t>No</t>
        </is>
      </c>
      <c r="AY232" s="5" t="inlineStr">
        <is>
          <t>Verified directory</t>
        </is>
      </c>
      <c r="AZ232" s="5" t="inlineStr">
        <is>
          <t>Not Found</t>
        </is>
      </c>
      <c r="BA232" s="5" t="inlineStr">
        <is>
          <t>2026-09-16</t>
        </is>
      </c>
      <c r="BB232" s="5" t="inlineStr">
        <is>
          <t>Requires Verification</t>
        </is>
      </c>
      <c r="BC232" s="5" t="inlineStr">
        <is>
          <t>Low</t>
        </is>
      </c>
      <c r="BD232" s="5" t="inlineStr"/>
      <c r="BE232" s="5" t="inlineStr">
        <is>
          <t>Business (B2B)</t>
        </is>
      </c>
      <c r="BF232" s="5" t="inlineStr">
        <is>
          <t>Legitimate interest (B2B) - assess per campaign; PECR: corporate subscribers</t>
        </is>
      </c>
      <c r="BG232" s="5" t="inlineStr"/>
      <c r="BH232" s="5" t="inlineStr">
        <is>
          <t>No</t>
        </is>
      </c>
      <c r="BI232" s="5" t="inlineStr">
        <is>
          <t>2026-09-16</t>
        </is>
      </c>
      <c r="BJ232" s="5" t="inlineStr">
        <is>
          <t>New</t>
        </is>
      </c>
      <c r="BK232" s="5" t="inlineStr">
        <is>
          <t>2026-09-16</t>
        </is>
      </c>
      <c r="BL232" s="5" t="inlineStr"/>
      <c r="BM232" s="5" t="inlineStr"/>
      <c r="BN232" s="5" t="inlineStr"/>
      <c r="BO232" s="5" t="inlineStr"/>
      <c r="BP232" s="5" t="inlineStr"/>
      <c r="BQ232" s="5" t="inlineStr"/>
    </row>
    <row r="233">
      <c r="A233" s="10" t="inlineStr">
        <is>
          <t>UK-000278</t>
        </is>
      </c>
      <c r="B233" s="10" t="inlineStr">
        <is>
          <t>UK-000278-01</t>
        </is>
      </c>
      <c r="C233" s="10" t="inlineStr"/>
      <c r="D233" s="10" t="inlineStr">
        <is>
          <t>Smoke Free Skipton</t>
        </is>
      </c>
      <c r="E233" s="10" t="inlineStr">
        <is>
          <t>Smoke Free</t>
        </is>
      </c>
      <c r="F233" s="10" t="inlineStr"/>
      <c r="G233" s="10" t="inlineStr">
        <is>
          <t>Vape Shop</t>
        </is>
      </c>
      <c r="H233" s="10" t="inlineStr">
        <is>
          <t>E-cigarette &amp; e-liquid shop</t>
        </is>
      </c>
      <c r="I233" s="10" t="inlineStr">
        <is>
          <t>Independent</t>
        </is>
      </c>
      <c r="J233" s="10" t="inlineStr">
        <is>
          <t>1</t>
        </is>
      </c>
      <c r="K233" s="10" t="inlineStr"/>
      <c r="L233" s="10" t="inlineStr"/>
      <c r="M233" s="10" t="inlineStr"/>
      <c r="N233" s="10" t="inlineStr"/>
      <c r="O233" s="10" t="inlineStr">
        <is>
          <t>19 Water Street</t>
        </is>
      </c>
      <c r="P233" s="10" t="inlineStr"/>
      <c r="Q233" s="10" t="inlineStr">
        <is>
          <t>Skipton</t>
        </is>
      </c>
      <c r="R233" s="10" t="inlineStr">
        <is>
          <t>North Yorkshire</t>
        </is>
      </c>
      <c r="S233" s="10" t="inlineStr">
        <is>
          <t>BD23 1PQ</t>
        </is>
      </c>
      <c r="T233" s="10" t="inlineStr">
        <is>
          <t>Yorkshire &amp; Humber</t>
        </is>
      </c>
      <c r="U233" s="10" t="inlineStr">
        <is>
          <t>England</t>
        </is>
      </c>
      <c r="V233" s="10" t="inlineStr"/>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e-cigarettes; e-liquids</t>
        </is>
      </c>
      <c r="AL233" s="10" t="inlineStr"/>
      <c r="AM233" s="10" t="inlineStr">
        <is>
          <t>Vape Shop</t>
        </is>
      </c>
      <c r="AN233" s="10" t="inlineStr"/>
      <c r="AO233" s="10" t="inlineStr">
        <is>
          <t>Independent Skipton vape shop at 19 Water Street (BD23 1PQ) per eCig Directory / Yelp listings via search snippets. No phone or website surfaced.</t>
        </is>
      </c>
      <c r="AP233" s="10" t="inlineStr">
        <is>
          <t>Medium</t>
        </is>
      </c>
      <c r="AQ233" s="10" t="inlineStr">
        <is>
          <t>Independent retailer; Core relevant category</t>
        </is>
      </c>
      <c r="AR233" s="10" t="inlineStr">
        <is>
          <t>https://ecigdirectory.co.uk/vape-shop/listing/smoke-free-skipton</t>
        </is>
      </c>
      <c r="AS233" s="10" t="inlineStr"/>
      <c r="AT233" s="10" t="inlineStr">
        <is>
          <t>1</t>
        </is>
      </c>
      <c r="AU233" s="10" t="inlineStr">
        <is>
          <t>No</t>
        </is>
      </c>
      <c r="AV233" s="10" t="inlineStr">
        <is>
          <t>No</t>
        </is>
      </c>
      <c r="AW233" s="10" t="inlineStr">
        <is>
          <t>No</t>
        </is>
      </c>
      <c r="AX233" s="10" t="inlineStr">
        <is>
          <t>No</t>
        </is>
      </c>
      <c r="AY233" s="10" t="inlineStr">
        <is>
          <t>Not Found</t>
        </is>
      </c>
      <c r="AZ233" s="10" t="inlineStr">
        <is>
          <t>Not Found</t>
        </is>
      </c>
      <c r="BA233" s="10" t="inlineStr">
        <is>
          <t>2026-09-16</t>
        </is>
      </c>
      <c r="BB233" s="10" t="inlineStr">
        <is>
          <t>Requires Verification</t>
        </is>
      </c>
      <c r="BC233" s="10" t="inlineStr">
        <is>
          <t>Low</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2026-09-16</t>
        </is>
      </c>
      <c r="BJ233" s="10" t="inlineStr">
        <is>
          <t>New</t>
        </is>
      </c>
      <c r="BK233" s="10" t="inlineStr">
        <is>
          <t>2026-09-16</t>
        </is>
      </c>
      <c r="BL233" s="10" t="inlineStr"/>
      <c r="BM233" s="10" t="inlineStr"/>
      <c r="BN233" s="10" t="inlineStr"/>
      <c r="BO233" s="10" t="inlineStr"/>
      <c r="BP233" s="10" t="inlineStr"/>
      <c r="BQ233" s="10" t="inlineStr"/>
    </row>
    <row r="234">
      <c r="A234" s="5" t="inlineStr">
        <is>
          <t>WY-0148</t>
        </is>
      </c>
      <c r="B234" s="5" t="inlineStr">
        <is>
          <t>WY-0148-01</t>
        </is>
      </c>
      <c r="C234" s="5" t="inlineStr"/>
      <c r="D234" s="5" t="inlineStr">
        <is>
          <t>Smoke-King Tobacconist</t>
        </is>
      </c>
      <c r="E234" s="5" t="inlineStr">
        <is>
          <t>Smoke-King</t>
        </is>
      </c>
      <c r="F234" s="5" t="inlineStr"/>
      <c r="G234" s="5" t="inlineStr">
        <is>
          <t>Tobacco Specialist</t>
        </is>
      </c>
      <c r="H234" s="5" t="inlineStr">
        <is>
          <t>Tobacconist - cigars, pipes, tobacco, online store</t>
        </is>
      </c>
      <c r="I234" s="5" t="inlineStr">
        <is>
          <t>Independent</t>
        </is>
      </c>
      <c r="J234" s="5" t="inlineStr">
        <is>
          <t>1</t>
        </is>
      </c>
      <c r="K234" s="5" t="inlineStr">
        <is>
          <t>https://www.smoke-king.co.uk/</t>
        </is>
      </c>
      <c r="L234" s="5" t="inlineStr">
        <is>
          <t>https://www.facebook.com/smokekinguk/</t>
        </is>
      </c>
      <c r="M234" s="5" t="inlineStr"/>
      <c r="N234" s="5" t="inlineStr"/>
      <c r="O234" s="5" t="inlineStr">
        <is>
          <t>Unit E2, Otley Mills</t>
        </is>
      </c>
      <c r="P234" s="5" t="inlineStr">
        <is>
          <t>Ilkley Road</t>
        </is>
      </c>
      <c r="Q234" s="5" t="inlineStr">
        <is>
          <t>Otley</t>
        </is>
      </c>
      <c r="R234" s="5" t="inlineStr">
        <is>
          <t>West Yorkshire</t>
        </is>
      </c>
      <c r="S234" s="5" t="inlineStr">
        <is>
          <t>LS21 3EE</t>
        </is>
      </c>
      <c r="T234" s="5" t="inlineStr">
        <is>
          <t>Yorkshire &amp; Humber</t>
        </is>
      </c>
      <c r="U234" s="5" t="inlineStr">
        <is>
          <t>England</t>
        </is>
      </c>
      <c r="V234" s="5" t="inlineStr">
        <is>
          <t>0113 217 7723</t>
        </is>
      </c>
      <c r="W234" s="5" t="inlineStr"/>
      <c r="X234" s="5" t="inlineStr"/>
      <c r="Y234" s="5" t="inlineStr">
        <is>
          <t>enquiries@smoke-king.co.uk</t>
        </is>
      </c>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cigars; cigarettes; pipe tobacco; smoking accessories</t>
        </is>
      </c>
      <c r="AL234" s="5" t="inlineStr"/>
      <c r="AM234" s="5" t="inlineStr">
        <is>
          <t>Tobacco Specialist</t>
        </is>
      </c>
      <c r="AN234" s="5" t="inlineStr"/>
      <c r="AO234" s="5" t="inlineStr">
        <is>
          <t>Founded 1989 as Greens of Leeds on The Headrow; now trades from a showroom at Otley Mills (inside Barber &amp; Bennett) plus a large online store. Showroom open Tue-Sat 11:00-15:00.</t>
        </is>
      </c>
      <c r="AP234" s="5" t="inlineStr">
        <is>
          <t>High</t>
        </is>
      </c>
      <c r="AQ234" s="5" t="inlineStr">
        <is>
          <t>Independent retailer; Core relevant category; Public email available; Active website; Social presence</t>
        </is>
      </c>
      <c r="AR234" s="5" t="inlineStr">
        <is>
          <t>https://www.smoke-king.co.uk/pages/tobacconist-in-otley</t>
        </is>
      </c>
      <c r="AS234" s="5" t="inlineStr">
        <is>
          <t>https://www.smoke-king.co.uk/pages/contact</t>
        </is>
      </c>
      <c r="AT234" s="5" t="inlineStr">
        <is>
          <t>4</t>
        </is>
      </c>
      <c r="AU234" s="5" t="inlineStr">
        <is>
          <t>No</t>
        </is>
      </c>
      <c r="AV234" s="5" t="inlineStr">
        <is>
          <t>No</t>
        </is>
      </c>
      <c r="AW234" s="5" t="inlineStr">
        <is>
          <t>Yes</t>
        </is>
      </c>
      <c r="AX234" s="5" t="inlineStr">
        <is>
          <t>No</t>
        </is>
      </c>
      <c r="AY234" s="5" t="inlineStr">
        <is>
          <t>Verified directory</t>
        </is>
      </c>
      <c r="AZ234" s="5" t="inlineStr">
        <is>
          <t>Website Found</t>
        </is>
      </c>
      <c r="BA234" s="5" t="inlineStr">
        <is>
          <t>2026-09-16</t>
        </is>
      </c>
      <c r="BB234" s="5" t="inlineStr">
        <is>
          <t>Partially Verified</t>
        </is>
      </c>
      <c r="BC234" s="5" t="inlineStr">
        <is>
          <t>Medium</t>
        </is>
      </c>
      <c r="BD234" s="5" t="inlineStr"/>
      <c r="BE234" s="5" t="inlineStr">
        <is>
          <t>Business (B2B)</t>
        </is>
      </c>
      <c r="BF234" s="5" t="inlineStr">
        <is>
          <t>Legitimate interest (B2B) - assess per campaign; PECR: corporate subscribers</t>
        </is>
      </c>
      <c r="BG234" s="5" t="inlineStr"/>
      <c r="BH234" s="5" t="inlineStr">
        <is>
          <t>No</t>
        </is>
      </c>
      <c r="BI234" s="5" t="inlineStr">
        <is>
          <t>2026-09-16</t>
        </is>
      </c>
      <c r="BJ234" s="5" t="inlineStr">
        <is>
          <t>New</t>
        </is>
      </c>
      <c r="BK234" s="5" t="inlineStr">
        <is>
          <t>2026-09-16</t>
        </is>
      </c>
      <c r="BL234" s="5" t="inlineStr"/>
      <c r="BM234" s="5" t="inlineStr"/>
      <c r="BN234" s="5" t="inlineStr"/>
      <c r="BO234" s="5" t="inlineStr"/>
      <c r="BP234" s="5" t="inlineStr"/>
      <c r="BQ234" s="5" t="inlineStr"/>
    </row>
    <row r="235">
      <c r="A235" s="10" t="inlineStr">
        <is>
          <t>WY-0149</t>
        </is>
      </c>
      <c r="B235" s="10" t="inlineStr">
        <is>
          <t>WY-0149-01</t>
        </is>
      </c>
      <c r="C235" s="10" t="inlineStr"/>
      <c r="D235" s="10" t="inlineStr">
        <is>
          <t>Smokers D'Lite</t>
        </is>
      </c>
      <c r="E235" s="10" t="inlineStr">
        <is>
          <t>Smokers D'Lite</t>
        </is>
      </c>
      <c r="F235" s="10" t="inlineStr"/>
      <c r="G235" s="10" t="inlineStr">
        <is>
          <t>Vape Shop</t>
        </is>
      </c>
      <c r="H235" s="10" t="inlineStr">
        <is>
          <t>Vape and smoking accessories</t>
        </is>
      </c>
      <c r="I235" s="10" t="inlineStr">
        <is>
          <t>Independent</t>
        </is>
      </c>
      <c r="J235" s="10" t="inlineStr">
        <is>
          <t>1</t>
        </is>
      </c>
      <c r="K235" s="10" t="inlineStr"/>
      <c r="L235" s="10" t="inlineStr"/>
      <c r="M235" s="10" t="inlineStr"/>
      <c r="N235" s="10" t="inlineStr"/>
      <c r="O235" s="10" t="inlineStr">
        <is>
          <t>20 Thorntons Arcade</t>
        </is>
      </c>
      <c r="P235" s="10" t="inlineStr">
        <is>
          <t>City Centre</t>
        </is>
      </c>
      <c r="Q235" s="10" t="inlineStr">
        <is>
          <t>Leeds</t>
        </is>
      </c>
      <c r="R235" s="10" t="inlineStr">
        <is>
          <t>West Yorkshire</t>
        </is>
      </c>
      <c r="S235" s="10" t="inlineStr">
        <is>
          <t>LS1 6LQ</t>
        </is>
      </c>
      <c r="T235" s="10" t="inlineStr">
        <is>
          <t>Yorkshire &amp; Humber</t>
        </is>
      </c>
      <c r="U235" s="10" t="inlineStr">
        <is>
          <t>England</t>
        </is>
      </c>
      <c r="V235" s="10" t="inlineStr"/>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vape hardware; e-liquids; smoking accessories</t>
        </is>
      </c>
      <c r="AL235" s="10" t="inlineStr"/>
      <c r="AM235" s="10" t="inlineStr">
        <is>
          <t>Vape Shop</t>
        </is>
      </c>
      <c r="AN235" s="10" t="inlineStr"/>
      <c r="AO235" s="10" t="inlineStr">
        <is>
          <t>Long-standing city-centre vape/smoking accessories shop in Thorntons Arcade; listed as a verified shop on eCig Directory UK's Leeds network page.</t>
        </is>
      </c>
      <c r="AP235" s="10" t="inlineStr">
        <is>
          <t>Medium</t>
        </is>
      </c>
      <c r="AQ235" s="10" t="inlineStr">
        <is>
          <t>Independent retailer; Core relevant category</t>
        </is>
      </c>
      <c r="AR235" s="10" t="inlineStr">
        <is>
          <t>https://ecigdirectory.co.uk/vape-shop-leeds/</t>
        </is>
      </c>
      <c r="AS235" s="10" t="inlineStr">
        <is>
          <t>https://www.vaporl.com/vape-store-in-leeds-find-an-electronic-cigarette-near-by</t>
        </is>
      </c>
      <c r="AT235" s="10" t="inlineStr">
        <is>
          <t>2</t>
        </is>
      </c>
      <c r="AU235" s="10" t="inlineStr">
        <is>
          <t>No</t>
        </is>
      </c>
      <c r="AV235" s="10" t="inlineStr">
        <is>
          <t>No</t>
        </is>
      </c>
      <c r="AW235" s="10" t="inlineStr">
        <is>
          <t>No</t>
        </is>
      </c>
      <c r="AX235" s="10" t="inlineStr">
        <is>
          <t>No</t>
        </is>
      </c>
      <c r="AY235" s="10" t="inlineStr">
        <is>
          <t>Not Found</t>
        </is>
      </c>
      <c r="AZ235" s="10" t="inlineStr">
        <is>
          <t>Not Found</t>
        </is>
      </c>
      <c r="BA235" s="10" t="inlineStr">
        <is>
          <t>2026-09-16</t>
        </is>
      </c>
      <c r="BB235" s="10" t="inlineStr">
        <is>
          <t>Requires Verification</t>
        </is>
      </c>
      <c r="BC235" s="10" t="inlineStr">
        <is>
          <t>Low</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2026-09-16</t>
        </is>
      </c>
      <c r="BJ235" s="10" t="inlineStr">
        <is>
          <t>New</t>
        </is>
      </c>
      <c r="BK235" s="10" t="inlineStr">
        <is>
          <t>2026-09-16</t>
        </is>
      </c>
      <c r="BL235" s="10" t="inlineStr"/>
      <c r="BM235" s="10" t="inlineStr"/>
      <c r="BN235" s="10" t="inlineStr"/>
      <c r="BO235" s="10" t="inlineStr"/>
      <c r="BP235" s="10" t="inlineStr"/>
      <c r="BQ235" s="10" t="inlineStr"/>
    </row>
    <row r="236">
      <c r="A236" s="5" t="inlineStr">
        <is>
          <t>WY-0150</t>
        </is>
      </c>
      <c r="B236" s="5" t="inlineStr">
        <is>
          <t>WY-0150-01</t>
        </is>
      </c>
      <c r="C236" s="5" t="inlineStr"/>
      <c r="D236" s="5" t="inlineStr">
        <is>
          <t>Somers of Keighley</t>
        </is>
      </c>
      <c r="E236" s="5" t="inlineStr">
        <is>
          <t>Somers Tobacconists</t>
        </is>
      </c>
      <c r="F236" s="5" t="inlineStr"/>
      <c r="G236" s="5" t="inlineStr">
        <is>
          <t>Tobacco Specialist</t>
        </is>
      </c>
      <c r="H236" s="5" t="inlineStr">
        <is>
          <t>Traditional tobacconist</t>
        </is>
      </c>
      <c r="I236" s="5" t="inlineStr">
        <is>
          <t>Independent</t>
        </is>
      </c>
      <c r="J236" s="5" t="inlineStr">
        <is>
          <t>1</t>
        </is>
      </c>
      <c r="K236" s="5" t="inlineStr"/>
      <c r="L236" s="5" t="inlineStr"/>
      <c r="M236" s="5" t="inlineStr"/>
      <c r="N236" s="5" t="inlineStr"/>
      <c r="O236" s="5" t="inlineStr">
        <is>
          <t>1 Bow Street</t>
        </is>
      </c>
      <c r="P236" s="5" t="inlineStr"/>
      <c r="Q236" s="5" t="inlineStr">
        <is>
          <t>Keighley</t>
        </is>
      </c>
      <c r="R236" s="5" t="inlineStr">
        <is>
          <t>West Yorkshire</t>
        </is>
      </c>
      <c r="S236" s="5" t="inlineStr">
        <is>
          <t>BD21 3PB</t>
        </is>
      </c>
      <c r="T236" s="5" t="inlineStr">
        <is>
          <t>Yorkshire &amp; Humber</t>
        </is>
      </c>
      <c r="U236" s="5" t="inlineStr">
        <is>
          <t>England</t>
        </is>
      </c>
      <c r="V236" s="5" t="inlineStr">
        <is>
          <t>01535 604678</t>
        </is>
      </c>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tobacco; cigars; smoking accessories</t>
        </is>
      </c>
      <c r="AL236" s="5" t="inlineStr"/>
      <c r="AM236" s="5" t="inlineStr">
        <is>
          <t>Tobacco Specialist</t>
        </is>
      </c>
      <c r="AN236" s="5" t="inlineStr"/>
      <c r="AO236" s="5" t="inlineStr">
        <is>
          <t>Long-standing specialist tobacconist in Keighley town centre; address and phone consistent across Yelp, Cylex and Citikey listings.</t>
        </is>
      </c>
      <c r="AP236" s="5" t="inlineStr">
        <is>
          <t>Medium</t>
        </is>
      </c>
      <c r="AQ236" s="5" t="inlineStr">
        <is>
          <t>Independent retailer; Core relevant category</t>
        </is>
      </c>
      <c r="AR236" s="5" t="inlineStr">
        <is>
          <t>https://www.yelp.com/biz/somers-of-keighley-keighley</t>
        </is>
      </c>
      <c r="AS236" s="5" t="inlineStr">
        <is>
          <t>https://keighley.cylex-uk.co.uk/company/somers-of-keighley-13656771.html</t>
        </is>
      </c>
      <c r="AT236" s="5" t="inlineStr">
        <is>
          <t>3</t>
        </is>
      </c>
      <c r="AU236" s="5" t="inlineStr">
        <is>
          <t>No</t>
        </is>
      </c>
      <c r="AV236" s="5" t="inlineStr">
        <is>
          <t>No</t>
        </is>
      </c>
      <c r="AW236" s="5" t="inlineStr">
        <is>
          <t>No</t>
        </is>
      </c>
      <c r="AX236" s="5" t="inlineStr">
        <is>
          <t>No</t>
        </is>
      </c>
      <c r="AY236" s="5" t="inlineStr">
        <is>
          <t>Verified directory</t>
        </is>
      </c>
      <c r="AZ236" s="5" t="inlineStr">
        <is>
          <t>Not Found</t>
        </is>
      </c>
      <c r="BA236" s="5" t="inlineStr">
        <is>
          <t>2026-09-16</t>
        </is>
      </c>
      <c r="BB236" s="5" t="inlineStr">
        <is>
          <t>Requires Verification</t>
        </is>
      </c>
      <c r="BC236" s="5" t="inlineStr">
        <is>
          <t>Medium</t>
        </is>
      </c>
      <c r="BD236" s="5" t="inlineStr"/>
      <c r="BE236" s="5" t="inlineStr">
        <is>
          <t>Business (B2B)</t>
        </is>
      </c>
      <c r="BF236" s="5" t="inlineStr">
        <is>
          <t>Legitimate interest (B2B) - assess per campaign; PECR: corporate subscribers</t>
        </is>
      </c>
      <c r="BG236" s="5" t="inlineStr"/>
      <c r="BH236" s="5" t="inlineStr">
        <is>
          <t>No</t>
        </is>
      </c>
      <c r="BI236" s="5" t="inlineStr">
        <is>
          <t>2026-09-16</t>
        </is>
      </c>
      <c r="BJ236" s="5" t="inlineStr">
        <is>
          <t>New</t>
        </is>
      </c>
      <c r="BK236" s="5" t="inlineStr">
        <is>
          <t>2026-09-16</t>
        </is>
      </c>
      <c r="BL236" s="5" t="inlineStr"/>
      <c r="BM236" s="5" t="inlineStr"/>
      <c r="BN236" s="5" t="inlineStr"/>
      <c r="BO236" s="5" t="inlineStr"/>
      <c r="BP236" s="5" t="inlineStr"/>
      <c r="BQ236" s="5" t="inlineStr"/>
    </row>
    <row r="237">
      <c r="A237" s="10" t="inlineStr">
        <is>
          <t>WY-0151</t>
        </is>
      </c>
      <c r="B237" s="10" t="inlineStr">
        <is>
          <t>WY-0151-01</t>
        </is>
      </c>
      <c r="C237" s="10" t="inlineStr"/>
      <c r="D237" s="10" t="inlineStr">
        <is>
          <t>Soothill Convenience Store &amp; Off Licence</t>
        </is>
      </c>
      <c r="E237" s="10" t="inlineStr">
        <is>
          <t>Soothill Convenience Store &amp; Off Licence</t>
        </is>
      </c>
      <c r="F237" s="10" t="inlineStr">
        <is>
          <t>Soothill Convenience Store &amp; Off Licence Limited</t>
        </is>
      </c>
      <c r="G237" s="10" t="inlineStr">
        <is>
          <t>Convenience Store</t>
        </is>
      </c>
      <c r="H237" s="10" t="inlineStr">
        <is>
          <t>Convenience store and off-licence</t>
        </is>
      </c>
      <c r="I237" s="10" t="inlineStr">
        <is>
          <t>Independent</t>
        </is>
      </c>
      <c r="J237" s="10" t="inlineStr">
        <is>
          <t>1</t>
        </is>
      </c>
      <c r="K237" s="10" t="inlineStr"/>
      <c r="L237" s="10" t="inlineStr"/>
      <c r="M237" s="10" t="inlineStr"/>
      <c r="N237" s="10" t="inlineStr"/>
      <c r="O237" s="10" t="inlineStr"/>
      <c r="P237" s="10" t="inlineStr">
        <is>
          <t>Soothill</t>
        </is>
      </c>
      <c r="Q237" s="10" t="inlineStr">
        <is>
          <t>Batley</t>
        </is>
      </c>
      <c r="R237" s="10" t="inlineStr">
        <is>
          <t>West Yorkshire</t>
        </is>
      </c>
      <c r="S237" s="10" t="inlineStr"/>
      <c r="T237" s="10" t="inlineStr">
        <is>
          <t>Yorkshire &amp; Humber</t>
        </is>
      </c>
      <c r="U237" s="10" t="inlineStr">
        <is>
          <t>England</t>
        </is>
      </c>
      <c r="V237" s="10" t="inlineStr"/>
      <c r="W237" s="10" t="inlineStr"/>
      <c r="X237" s="10" t="inlineStr"/>
      <c r="Y237" s="10" t="inlineStr"/>
      <c r="Z237" s="10" t="inlineStr"/>
      <c r="AA237" s="10" t="inlineStr"/>
      <c r="AB237" s="10" t="inlineStr"/>
      <c r="AC237" s="10" t="inlineStr"/>
      <c r="AD237" s="10" t="inlineStr"/>
      <c r="AE237" s="10" t="inlineStr">
        <is>
          <t>11966163</t>
        </is>
      </c>
      <c r="AF237" s="10" t="inlineStr"/>
      <c r="AG237" s="10" t="inlineStr">
        <is>
          <t>SOOTHILL CONVENIENCE STORE &amp; OFF LICENCE LIMITED</t>
        </is>
      </c>
      <c r="AH237" s="10" t="inlineStr"/>
      <c r="AI237" s="10" t="inlineStr"/>
      <c r="AJ237" s="10" t="inlineStr"/>
      <c r="AK237" s="10" t="inlineStr">
        <is>
          <t>convenience goods; alcohol</t>
        </is>
      </c>
      <c r="AL237" s="10" t="inlineStr"/>
      <c r="AM237" s="10" t="inlineStr">
        <is>
          <t>Convenience Store</t>
        </is>
      </c>
      <c r="AN237" s="10" t="inlineStr"/>
      <c r="AO237" s="10" t="inlineStr">
        <is>
          <t>Registered company found via Companies House search results; a store at 25a Grace Leather Lane, Soothill WF17 6PP appears in directories but was not confirmed as this company's trading address, so left blank.</t>
        </is>
      </c>
      <c r="AP237" s="10" t="inlineStr">
        <is>
          <t>Low</t>
        </is>
      </c>
      <c r="AQ237" s="10" t="inlineStr">
        <is>
          <t>Independent retailer; Relevant category</t>
        </is>
      </c>
      <c r="AR237" s="10" t="inlineStr">
        <is>
          <t>https://find-and-update.company-information.service.gov.uk/company/11966163/persons-with-significant-control</t>
        </is>
      </c>
      <c r="AS237" s="10" t="inlineStr">
        <is>
          <t>https://open.endole.co.uk/insight/company/11966163-soothill-convenience-store-off-licence-limited</t>
        </is>
      </c>
      <c r="AT237" s="10" t="inlineStr">
        <is>
          <t>2</t>
        </is>
      </c>
      <c r="AU237" s="10" t="inlineStr">
        <is>
          <t>No</t>
        </is>
      </c>
      <c r="AV237" s="10" t="inlineStr">
        <is>
          <t>No</t>
        </is>
      </c>
      <c r="AW237" s="10" t="inlineStr">
        <is>
          <t>No</t>
        </is>
      </c>
      <c r="AX237" s="10" t="inlineStr">
        <is>
          <t>No</t>
        </is>
      </c>
      <c r="AY237" s="10" t="inlineStr">
        <is>
          <t>Not Found</t>
        </is>
      </c>
      <c r="AZ237" s="10" t="inlineStr">
        <is>
          <t>Not Found</t>
        </is>
      </c>
      <c r="BA237" s="10" t="inlineStr">
        <is>
          <t>2026-09-16</t>
        </is>
      </c>
      <c r="BB237" s="10" t="inlineStr">
        <is>
          <t>Requires Verification</t>
        </is>
      </c>
      <c r="BC237" s="10" t="inlineStr">
        <is>
          <t>Low</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2026-09-16</t>
        </is>
      </c>
      <c r="BJ237" s="10" t="inlineStr">
        <is>
          <t>New</t>
        </is>
      </c>
      <c r="BK237" s="10" t="inlineStr">
        <is>
          <t>2026-09-16</t>
        </is>
      </c>
      <c r="BL237" s="10" t="inlineStr"/>
      <c r="BM237" s="10" t="inlineStr"/>
      <c r="BN237" s="10" t="inlineStr"/>
      <c r="BO237" s="10" t="inlineStr"/>
      <c r="BP237" s="10" t="inlineStr"/>
      <c r="BQ237" s="10" t="inlineStr"/>
    </row>
    <row r="238">
      <c r="A238" s="5" t="inlineStr">
        <is>
          <t>WY-0152</t>
        </is>
      </c>
      <c r="B238" s="5" t="inlineStr">
        <is>
          <t>WY-0152-01</t>
        </is>
      </c>
      <c r="C238" s="5" t="inlineStr"/>
      <c r="D238" s="5" t="inlineStr">
        <is>
          <t>Springfield Garage (Keighley)</t>
        </is>
      </c>
      <c r="E238" s="5" t="inlineStr">
        <is>
          <t>Springfield Garage (Gulf)</t>
        </is>
      </c>
      <c r="F238" s="5" t="inlineStr">
        <is>
          <t>Springfield Garage (Keighley) Limited</t>
        </is>
      </c>
      <c r="G238" s="5" t="inlineStr">
        <is>
          <t>Petrol Station / Forecourt</t>
        </is>
      </c>
      <c r="H238" s="5" t="inlineStr">
        <is>
          <t>Independent Gulf-branded forecourt with shop</t>
        </is>
      </c>
      <c r="I238" s="5" t="inlineStr">
        <is>
          <t>Independent</t>
        </is>
      </c>
      <c r="J238" s="5" t="inlineStr">
        <is>
          <t>1</t>
        </is>
      </c>
      <c r="K238" s="5" t="inlineStr"/>
      <c r="L238" s="5" t="inlineStr"/>
      <c r="M238" s="5" t="inlineStr"/>
      <c r="N238" s="5" t="inlineStr"/>
      <c r="O238" s="5" t="inlineStr">
        <is>
          <t>Oakworth Road</t>
        </is>
      </c>
      <c r="P238" s="5" t="inlineStr"/>
      <c r="Q238" s="5" t="inlineStr">
        <is>
          <t>Keighley</t>
        </is>
      </c>
      <c r="R238" s="5" t="inlineStr">
        <is>
          <t>West Yorkshire</t>
        </is>
      </c>
      <c r="S238" s="5" t="inlineStr">
        <is>
          <t>BD21 1QQ</t>
        </is>
      </c>
      <c r="T238" s="5" t="inlineStr">
        <is>
          <t>Yorkshire &amp; Humber</t>
        </is>
      </c>
      <c r="U238" s="5" t="inlineStr">
        <is>
          <t>England</t>
        </is>
      </c>
      <c r="V238" s="5" t="inlineStr">
        <is>
          <t>01535 604629</t>
        </is>
      </c>
      <c r="W238" s="5" t="inlineStr"/>
      <c r="X238" s="5" t="inlineStr"/>
      <c r="Y238" s="5" t="inlineStr"/>
      <c r="Z238" s="5" t="inlineStr"/>
      <c r="AA238" s="5" t="inlineStr"/>
      <c r="AB238" s="5" t="inlineStr"/>
      <c r="AC238" s="5" t="inlineStr"/>
      <c r="AD238" s="5" t="inlineStr"/>
      <c r="AE238" s="5" t="inlineStr">
        <is>
          <t>00871540</t>
        </is>
      </c>
      <c r="AF238" s="5" t="inlineStr"/>
      <c r="AG238" s="5" t="inlineStr">
        <is>
          <t>SPRINGFIELD GARAGE (KEIGHLEY) LIMITED</t>
        </is>
      </c>
      <c r="AH238" s="5" t="inlineStr"/>
      <c r="AI238" s="5" t="inlineStr"/>
      <c r="AJ238" s="5" t="inlineStr"/>
      <c r="AK238" s="5" t="inlineStr">
        <is>
          <t>fuel; convenience shop lines</t>
        </is>
      </c>
      <c r="AL238" s="5" t="inlineStr"/>
      <c r="AM238" s="5" t="inlineStr">
        <is>
          <t>Petrol Station / Forecourt</t>
        </is>
      </c>
      <c r="AN238" s="5" t="inlineStr"/>
      <c r="AO238" s="5" t="inlineStr">
        <is>
          <t>Long-established family limited company (very old CH number 00871540, 1960s incorporation) running a Gulf-branded forecourt on Oakworth Road. Open 6am-10pm daily per directory listing.</t>
        </is>
      </c>
      <c r="AP238" s="5" t="inlineStr">
        <is>
          <t>Low</t>
        </is>
      </c>
      <c r="AQ238" s="5" t="inlineStr">
        <is>
          <t>Independent retailer; Relevant category</t>
        </is>
      </c>
      <c r="AR238" s="5" t="inlineStr">
        <is>
          <t>https://find-and-update.company-information.service.gov.uk/company/00871540</t>
        </is>
      </c>
      <c r="AS238" s="5" t="inlineStr">
        <is>
          <t>https://www.mylocalservices.co.uk/Springfield+Garage-Keighley-2646735.html</t>
        </is>
      </c>
      <c r="AT238" s="5" t="inlineStr">
        <is>
          <t>3</t>
        </is>
      </c>
      <c r="AU238" s="5" t="inlineStr">
        <is>
          <t>No</t>
        </is>
      </c>
      <c r="AV238" s="5" t="inlineStr">
        <is>
          <t>No</t>
        </is>
      </c>
      <c r="AW238" s="5" t="inlineStr">
        <is>
          <t>No</t>
        </is>
      </c>
      <c r="AX238" s="5" t="inlineStr">
        <is>
          <t>Yes</t>
        </is>
      </c>
      <c r="AY238" s="5" t="inlineStr">
        <is>
          <t>Verified directory</t>
        </is>
      </c>
      <c r="AZ238" s="5" t="inlineStr">
        <is>
          <t>Not Found</t>
        </is>
      </c>
      <c r="BA238" s="5" t="inlineStr">
        <is>
          <t>2026-09-16</t>
        </is>
      </c>
      <c r="BB238" s="5" t="inlineStr">
        <is>
          <t>Partially Verified</t>
        </is>
      </c>
      <c r="BC238" s="5" t="inlineStr">
        <is>
          <t>Medium</t>
        </is>
      </c>
      <c r="BD238" s="5" t="inlineStr"/>
      <c r="BE238" s="5" t="inlineStr">
        <is>
          <t>Business (B2B)</t>
        </is>
      </c>
      <c r="BF238" s="5" t="inlineStr">
        <is>
          <t>Legitimate interest (B2B) - assess per campaign; PECR: corporate subscribers</t>
        </is>
      </c>
      <c r="BG238" s="5" t="inlineStr"/>
      <c r="BH238" s="5" t="inlineStr">
        <is>
          <t>No</t>
        </is>
      </c>
      <c r="BI238" s="5" t="inlineStr">
        <is>
          <t>2026-09-16</t>
        </is>
      </c>
      <c r="BJ238" s="5" t="inlineStr">
        <is>
          <t>New</t>
        </is>
      </c>
      <c r="BK238" s="5" t="inlineStr">
        <is>
          <t>2026-09-16</t>
        </is>
      </c>
      <c r="BL238" s="5" t="inlineStr"/>
      <c r="BM238" s="5" t="inlineStr"/>
      <c r="BN238" s="5" t="inlineStr"/>
      <c r="BO238" s="5" t="inlineStr"/>
      <c r="BP238" s="5" t="inlineStr"/>
      <c r="BQ238" s="5" t="inlineStr"/>
    </row>
    <row r="239">
      <c r="A239" s="10" t="inlineStr">
        <is>
          <t>UK-000279</t>
        </is>
      </c>
      <c r="B239" s="10" t="inlineStr">
        <is>
          <t>UK-000279-01</t>
        </is>
      </c>
      <c r="C239" s="10" t="inlineStr"/>
      <c r="D239" s="10" t="inlineStr">
        <is>
          <t>Sprouts Supermarket</t>
        </is>
      </c>
      <c r="E239" s="10" t="inlineStr">
        <is>
          <t>Sprouts Supermarket</t>
        </is>
      </c>
      <c r="F239" s="10" t="inlineStr"/>
      <c r="G239" s="10" t="inlineStr">
        <is>
          <t>Independent Supermarket</t>
        </is>
      </c>
      <c r="H239" s="10" t="inlineStr">
        <is>
          <t>International / South Asian &amp; Caribbean supermarket</t>
        </is>
      </c>
      <c r="I239" s="10" t="inlineStr">
        <is>
          <t>Independent</t>
        </is>
      </c>
      <c r="J239" s="10" t="inlineStr">
        <is>
          <t>1</t>
        </is>
      </c>
      <c r="K239" s="10" t="inlineStr"/>
      <c r="L239" s="10" t="inlineStr"/>
      <c r="M239" s="10" t="inlineStr"/>
      <c r="N239" s="10" t="inlineStr"/>
      <c r="O239" s="10" t="inlineStr">
        <is>
          <t>174 Wellgate</t>
        </is>
      </c>
      <c r="P239" s="10" t="inlineStr"/>
      <c r="Q239" s="10" t="inlineStr">
        <is>
          <t>Rotherham</t>
        </is>
      </c>
      <c r="R239" s="10" t="inlineStr">
        <is>
          <t>South Yorkshire</t>
        </is>
      </c>
      <c r="S239" s="10" t="inlineStr">
        <is>
          <t>S60 2PE</t>
        </is>
      </c>
      <c r="T239" s="10" t="inlineStr">
        <is>
          <t>Yorkshire &amp; Humber</t>
        </is>
      </c>
      <c r="U239" s="10" t="inlineStr">
        <is>
          <t>England</t>
        </is>
      </c>
      <c r="V239" s="10" t="inlineStr">
        <is>
          <t>01709 839980</t>
        </is>
      </c>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fresh produce; spices; South Asian foods; Caribbean foods; groceries</t>
        </is>
      </c>
      <c r="AL239" s="10" t="inlineStr"/>
      <c r="AM239" s="10" t="inlineStr">
        <is>
          <t>Independent Supermarket</t>
        </is>
      </c>
      <c r="AN239" s="10" t="inlineStr"/>
      <c r="AO239" s="10" t="inlineStr">
        <is>
          <t>Independent international supermarket at 174 Wellgate, Rotherham, with South Asian and Caribbean sections. Address/postcode/phone cross-checked in Thomson Local and UKInTouch listings.</t>
        </is>
      </c>
      <c r="AP239" s="10" t="inlineStr">
        <is>
          <t>Low</t>
        </is>
      </c>
      <c r="AQ239" s="10" t="inlineStr">
        <is>
          <t>Independent retailer; Relevant category</t>
        </is>
      </c>
      <c r="AR239" s="10" t="inlineStr">
        <is>
          <t>https://www.thomsonlocal.com/search/supermarkets/rotherham/sprouts-supermarket/3066529/01709839980</t>
        </is>
      </c>
      <c r="AS239" s="10" t="inlineStr">
        <is>
          <t>https://rotherham.ukintouch.com/store/sprouts-supermarket/</t>
        </is>
      </c>
      <c r="AT239" s="10" t="inlineStr">
        <is>
          <t>2</t>
        </is>
      </c>
      <c r="AU239" s="10" t="inlineStr">
        <is>
          <t>No</t>
        </is>
      </c>
      <c r="AV239" s="10" t="inlineStr">
        <is>
          <t>No</t>
        </is>
      </c>
      <c r="AW239" s="10" t="inlineStr">
        <is>
          <t>No</t>
        </is>
      </c>
      <c r="AX239" s="10" t="inlineStr">
        <is>
          <t>No</t>
        </is>
      </c>
      <c r="AY239" s="10" t="inlineStr">
        <is>
          <t>Verified directory</t>
        </is>
      </c>
      <c r="AZ239" s="10" t="inlineStr">
        <is>
          <t>Not Found</t>
        </is>
      </c>
      <c r="BA239" s="10" t="inlineStr">
        <is>
          <t>2026-09-16</t>
        </is>
      </c>
      <c r="BB239" s="10" t="inlineStr">
        <is>
          <t>Requires Verification</t>
        </is>
      </c>
      <c r="BC239" s="10" t="inlineStr">
        <is>
          <t>Medium</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2026-09-16</t>
        </is>
      </c>
      <c r="BJ239" s="10" t="inlineStr">
        <is>
          <t>New</t>
        </is>
      </c>
      <c r="BK239" s="10" t="inlineStr">
        <is>
          <t>2026-09-16</t>
        </is>
      </c>
      <c r="BL239" s="10" t="inlineStr"/>
      <c r="BM239" s="10" t="inlineStr"/>
      <c r="BN239" s="10" t="inlineStr"/>
      <c r="BO239" s="10" t="inlineStr"/>
      <c r="BP239" s="10" t="inlineStr"/>
      <c r="BQ239" s="10" t="inlineStr"/>
    </row>
    <row r="240">
      <c r="A240" s="5" t="inlineStr">
        <is>
          <t>WY-0153</t>
        </is>
      </c>
      <c r="B240" s="5" t="inlineStr">
        <is>
          <t>WY-0153-01</t>
        </is>
      </c>
      <c r="C240" s="5" t="inlineStr"/>
      <c r="D240" s="5" t="inlineStr">
        <is>
          <t>Stainbeck Off Licence (Best-one)</t>
        </is>
      </c>
      <c r="E240" s="5" t="inlineStr">
        <is>
          <t>Stainbeck Off Licence</t>
        </is>
      </c>
      <c r="F240" s="5" t="inlineStr"/>
      <c r="G240" s="5" t="inlineStr">
        <is>
          <t>Off-Licence</t>
        </is>
      </c>
      <c r="H240" s="5" t="inlineStr">
        <is>
          <t>Off-licence and convenience store under Best-one symbol</t>
        </is>
      </c>
      <c r="I240" s="5" t="inlineStr">
        <is>
          <t>Franchise / Symbol Group</t>
        </is>
      </c>
      <c r="J240" s="5" t="inlineStr">
        <is>
          <t>1</t>
        </is>
      </c>
      <c r="K240" s="5" t="inlineStr"/>
      <c r="L240" s="5" t="inlineStr"/>
      <c r="M240" s="5" t="inlineStr"/>
      <c r="N240" s="5" t="inlineStr"/>
      <c r="O240" s="5" t="inlineStr"/>
      <c r="P240" s="5" t="inlineStr">
        <is>
          <t>Chapel Allerton / Meanwood</t>
        </is>
      </c>
      <c r="Q240" s="5" t="inlineStr">
        <is>
          <t>Leeds</t>
        </is>
      </c>
      <c r="R240" s="5" t="inlineStr">
        <is>
          <t>West Yorkshire</t>
        </is>
      </c>
      <c r="S240" s="5" t="inlineStr"/>
      <c r="T240" s="5" t="inlineStr">
        <is>
          <t>Yorkshire &amp; Humber</t>
        </is>
      </c>
      <c r="U240" s="5" t="inlineStr">
        <is>
          <t>England</t>
        </is>
      </c>
      <c r="V240" s="5" t="inlineStr"/>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alcohol; groceries; snacks</t>
        </is>
      </c>
      <c r="AL240" s="5" t="inlineStr"/>
      <c r="AM240" s="5" t="inlineStr">
        <is>
          <t>Off-Licence</t>
        </is>
      </c>
      <c r="AN240" s="5" t="inlineStr">
        <is>
          <t>Best-one (Bestway) symbol group</t>
        </is>
      </c>
      <c r="AO240" s="5" t="inlineStr">
        <is>
          <t>Independent retailer trading under the Best-one symbol group in the Chapel Allerton area; street address not captured - follow up.</t>
        </is>
      </c>
      <c r="AP240" s="5" t="inlineStr">
        <is>
          <t>Low</t>
        </is>
      </c>
      <c r="AQ240" s="5" t="inlineStr">
        <is>
          <t>Independent retailer; Relevant category</t>
        </is>
      </c>
      <c r="AR240" s="5" t="inlineStr">
        <is>
          <t>https://www.yorkshire.com/chapel-allerton/shopping/off-license</t>
        </is>
      </c>
      <c r="AS240" s="5" t="inlineStr"/>
      <c r="AT240" s="5" t="inlineStr">
        <is>
          <t>1</t>
        </is>
      </c>
      <c r="AU240" s="5" t="inlineStr">
        <is>
          <t>No</t>
        </is>
      </c>
      <c r="AV240" s="5" t="inlineStr">
        <is>
          <t>No</t>
        </is>
      </c>
      <c r="AW240" s="5" t="inlineStr">
        <is>
          <t>No</t>
        </is>
      </c>
      <c r="AX240" s="5" t="inlineStr">
        <is>
          <t>No</t>
        </is>
      </c>
      <c r="AY240" s="5" t="inlineStr">
        <is>
          <t>Not Found</t>
        </is>
      </c>
      <c r="AZ240" s="5" t="inlineStr">
        <is>
          <t>Not Found</t>
        </is>
      </c>
      <c r="BA240" s="5" t="inlineStr">
        <is>
          <t>2026-09-16</t>
        </is>
      </c>
      <c r="BB240" s="5" t="inlineStr">
        <is>
          <t>Requires Verification</t>
        </is>
      </c>
      <c r="BC240" s="5" t="inlineStr">
        <is>
          <t>Low</t>
        </is>
      </c>
      <c r="BD240" s="5" t="inlineStr"/>
      <c r="BE240" s="5" t="inlineStr">
        <is>
          <t>Business (B2B)</t>
        </is>
      </c>
      <c r="BF240" s="5" t="inlineStr">
        <is>
          <t>Legitimate interest (B2B) - assess per campaign; PECR: corporate subscribers</t>
        </is>
      </c>
      <c r="BG240" s="5" t="inlineStr"/>
      <c r="BH240" s="5" t="inlineStr">
        <is>
          <t>No</t>
        </is>
      </c>
      <c r="BI240" s="5" t="inlineStr">
        <is>
          <t>2026-09-16</t>
        </is>
      </c>
      <c r="BJ240" s="5" t="inlineStr">
        <is>
          <t>New</t>
        </is>
      </c>
      <c r="BK240" s="5" t="inlineStr">
        <is>
          <t>2026-09-16</t>
        </is>
      </c>
      <c r="BL240" s="5" t="inlineStr"/>
      <c r="BM240" s="5" t="inlineStr"/>
      <c r="BN240" s="5" t="inlineStr"/>
      <c r="BO240" s="5" t="inlineStr"/>
      <c r="BP240" s="5" t="inlineStr"/>
      <c r="BQ240" s="5" t="inlineStr"/>
    </row>
    <row r="241">
      <c r="A241" s="10" t="inlineStr">
        <is>
          <t>WY-0154</t>
        </is>
      </c>
      <c r="B241" s="10" t="inlineStr">
        <is>
          <t>WY-0154-01</t>
        </is>
      </c>
      <c r="C241" s="10" t="inlineStr"/>
      <c r="D241" s="10" t="inlineStr">
        <is>
          <t>Star Express Off-Licence &amp; Convenience Store</t>
        </is>
      </c>
      <c r="E241" s="10" t="inlineStr">
        <is>
          <t>Star Express</t>
        </is>
      </c>
      <c r="F241" s="10" t="inlineStr"/>
      <c r="G241" s="10" t="inlineStr">
        <is>
          <t>Off-Licence</t>
        </is>
      </c>
      <c r="H241" s="10" t="inlineStr">
        <is>
          <t>Off-licence and convenience store</t>
        </is>
      </c>
      <c r="I241" s="10" t="inlineStr">
        <is>
          <t>Independent</t>
        </is>
      </c>
      <c r="J241" s="10" t="inlineStr">
        <is>
          <t>1</t>
        </is>
      </c>
      <c r="K241" s="10" t="inlineStr"/>
      <c r="L241" s="10" t="inlineStr"/>
      <c r="M241" s="10" t="inlineStr"/>
      <c r="N241" s="10" t="inlineStr"/>
      <c r="O241" s="10" t="inlineStr">
        <is>
          <t>Norfolk Avenue</t>
        </is>
      </c>
      <c r="P241" s="10" t="inlineStr"/>
      <c r="Q241" s="10" t="inlineStr">
        <is>
          <t>Huddersfield</t>
        </is>
      </c>
      <c r="R241" s="10" t="inlineStr">
        <is>
          <t>West Yorkshire</t>
        </is>
      </c>
      <c r="S241" s="10" t="inlineStr"/>
      <c r="T241" s="10" t="inlineStr">
        <is>
          <t>Yorkshire &amp; Humber</t>
        </is>
      </c>
      <c r="U241" s="10" t="inlineStr">
        <is>
          <t>England</t>
        </is>
      </c>
      <c r="V241" s="10" t="inlineStr"/>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alcohol; convenience goods; tobacco</t>
        </is>
      </c>
      <c r="AL241" s="10" t="inlineStr"/>
      <c r="AM241" s="10" t="inlineStr">
        <is>
          <t>Off-Licence</t>
        </is>
      </c>
      <c r="AN241" s="10" t="inlineStr"/>
      <c r="AO241" s="10" t="inlineStr">
        <is>
          <t>Open 10:00-22:00 seven days, 4.7 Google rating per Yorkshire.com listing; street number and phone not published in accessible sources.</t>
        </is>
      </c>
      <c r="AP241" s="10" t="inlineStr">
        <is>
          <t>Low</t>
        </is>
      </c>
      <c r="AQ241" s="10" t="inlineStr">
        <is>
          <t>Independent retailer; Relevant category</t>
        </is>
      </c>
      <c r="AR241" s="10" t="inlineStr">
        <is>
          <t>https://www.yorkshire.com/huddersfield/shopping/off-license/star-express-off-licence-convenience-store</t>
        </is>
      </c>
      <c r="AS241" s="10" t="inlineStr"/>
      <c r="AT241" s="10" t="inlineStr">
        <is>
          <t>1</t>
        </is>
      </c>
      <c r="AU241" s="10" t="inlineStr">
        <is>
          <t>No</t>
        </is>
      </c>
      <c r="AV241" s="10" t="inlineStr">
        <is>
          <t>No</t>
        </is>
      </c>
      <c r="AW241" s="10" t="inlineStr">
        <is>
          <t>No</t>
        </is>
      </c>
      <c r="AX241" s="10" t="inlineStr">
        <is>
          <t>No</t>
        </is>
      </c>
      <c r="AY241" s="10" t="inlineStr">
        <is>
          <t>Not Found</t>
        </is>
      </c>
      <c r="AZ241" s="10" t="inlineStr">
        <is>
          <t>Not Found</t>
        </is>
      </c>
      <c r="BA241" s="10" t="inlineStr">
        <is>
          <t>2026-09-16</t>
        </is>
      </c>
      <c r="BB241" s="10" t="inlineStr">
        <is>
          <t>Requires Verification</t>
        </is>
      </c>
      <c r="BC241" s="10" t="inlineStr">
        <is>
          <t>Low</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2026-09-16</t>
        </is>
      </c>
      <c r="BJ241" s="10" t="inlineStr">
        <is>
          <t>New</t>
        </is>
      </c>
      <c r="BK241" s="10" t="inlineStr">
        <is>
          <t>2026-09-16</t>
        </is>
      </c>
      <c r="BL241" s="10" t="inlineStr"/>
      <c r="BM241" s="10" t="inlineStr"/>
      <c r="BN241" s="10" t="inlineStr"/>
      <c r="BO241" s="10" t="inlineStr"/>
      <c r="BP241" s="10" t="inlineStr"/>
      <c r="BQ241" s="10" t="inlineStr"/>
    </row>
    <row r="242">
      <c r="A242" s="5" t="inlineStr">
        <is>
          <t>WY-0155</t>
        </is>
      </c>
      <c r="B242" s="5" t="inlineStr">
        <is>
          <t>WY-0155-01</t>
        </is>
      </c>
      <c r="C242" s="5" t="inlineStr"/>
      <c r="D242" s="5" t="inlineStr">
        <is>
          <t>Stringers Service Station</t>
        </is>
      </c>
      <c r="E242" s="5" t="inlineStr">
        <is>
          <t>Stringers Service Station</t>
        </is>
      </c>
      <c r="F242" s="5" t="inlineStr"/>
      <c r="G242" s="5" t="inlineStr">
        <is>
          <t>Petrol Station / Forecourt</t>
        </is>
      </c>
      <c r="H242" s="5" t="inlineStr">
        <is>
          <t>Independent forecourt (Murco fuel) with shop</t>
        </is>
      </c>
      <c r="I242" s="5" t="inlineStr">
        <is>
          <t>Independent</t>
        </is>
      </c>
      <c r="J242" s="5" t="inlineStr">
        <is>
          <t>1</t>
        </is>
      </c>
      <c r="K242" s="5" t="inlineStr"/>
      <c r="L242" s="5" t="inlineStr"/>
      <c r="M242" s="5" t="inlineStr"/>
      <c r="N242" s="5" t="inlineStr"/>
      <c r="O242" s="5" t="inlineStr">
        <is>
          <t>102 Southgate</t>
        </is>
      </c>
      <c r="P242" s="5" t="inlineStr"/>
      <c r="Q242" s="5" t="inlineStr">
        <is>
          <t>Pontefract</t>
        </is>
      </c>
      <c r="R242" s="5" t="inlineStr">
        <is>
          <t>West Yorkshire</t>
        </is>
      </c>
      <c r="S242" s="5" t="inlineStr">
        <is>
          <t>WF8 1PN</t>
        </is>
      </c>
      <c r="T242" s="5" t="inlineStr">
        <is>
          <t>Yorkshire &amp; Humber</t>
        </is>
      </c>
      <c r="U242" s="5" t="inlineStr">
        <is>
          <t>England</t>
        </is>
      </c>
      <c r="V242" s="5" t="inlineStr"/>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fuel; convenience shop; car cleaning</t>
        </is>
      </c>
      <c r="AL242" s="5" t="inlineStr"/>
      <c r="AM242" s="5" t="inlineStr">
        <is>
          <t>Petrol Station / Forecourt</t>
        </is>
      </c>
      <c r="AN242" s="5" t="inlineStr">
        <is>
          <t>Murco-branded fuel (dealer site)</t>
        </is>
      </c>
      <c r="AO242" s="5" t="inlineStr">
        <is>
          <t>Also listed as 'Stringers Friarwood Lane Service Station' (Grove Road, WF8 1PN) on PetrolPrices - same site, alternative address details.</t>
        </is>
      </c>
      <c r="AP242" s="5" t="inlineStr">
        <is>
          <t>Low</t>
        </is>
      </c>
      <c r="AQ242" s="5" t="inlineStr">
        <is>
          <t>Independent retailer; Relevant category</t>
        </is>
      </c>
      <c r="AR242" s="5" t="inlineStr">
        <is>
          <t>https://www.petrolprices.com/locations/pontefract/grove-road/6837</t>
        </is>
      </c>
      <c r="AS242" s="5" t="inlineStr">
        <is>
          <t>https://ratings.food.gov.uk/business/313271/stringers-service-station-pontefract</t>
        </is>
      </c>
      <c r="AT242" s="5" t="inlineStr">
        <is>
          <t>2</t>
        </is>
      </c>
      <c r="AU242" s="5" t="inlineStr">
        <is>
          <t>No</t>
        </is>
      </c>
      <c r="AV242" s="5" t="inlineStr">
        <is>
          <t>No</t>
        </is>
      </c>
      <c r="AW242" s="5" t="inlineStr">
        <is>
          <t>No</t>
        </is>
      </c>
      <c r="AX242" s="5" t="inlineStr">
        <is>
          <t>No</t>
        </is>
      </c>
      <c r="AY242" s="5" t="inlineStr">
        <is>
          <t>Not Found</t>
        </is>
      </c>
      <c r="AZ242" s="5" t="inlineStr">
        <is>
          <t>Not Found</t>
        </is>
      </c>
      <c r="BA242" s="5" t="inlineStr">
        <is>
          <t>2026-09-16</t>
        </is>
      </c>
      <c r="BB242" s="5" t="inlineStr">
        <is>
          <t>Requires Verification</t>
        </is>
      </c>
      <c r="BC242" s="5" t="inlineStr">
        <is>
          <t>Medium</t>
        </is>
      </c>
      <c r="BD242" s="5" t="inlineStr"/>
      <c r="BE242" s="5" t="inlineStr">
        <is>
          <t>Business (B2B)</t>
        </is>
      </c>
      <c r="BF242" s="5" t="inlineStr">
        <is>
          <t>Legitimate interest (B2B) - assess per campaign; PECR: corporate subscribers</t>
        </is>
      </c>
      <c r="BG242" s="5" t="inlineStr"/>
      <c r="BH242" s="5" t="inlineStr">
        <is>
          <t>No</t>
        </is>
      </c>
      <c r="BI242" s="5" t="inlineStr">
        <is>
          <t>2026-09-16</t>
        </is>
      </c>
      <c r="BJ242" s="5" t="inlineStr">
        <is>
          <t>New</t>
        </is>
      </c>
      <c r="BK242" s="5" t="inlineStr">
        <is>
          <t>2026-09-16</t>
        </is>
      </c>
      <c r="BL242" s="5" t="inlineStr"/>
      <c r="BM242" s="5" t="inlineStr"/>
      <c r="BN242" s="5" t="inlineStr"/>
      <c r="BO242" s="5" t="inlineStr"/>
      <c r="BP242" s="5" t="inlineStr"/>
      <c r="BQ242" s="5" t="inlineStr"/>
    </row>
    <row r="243">
      <c r="A243" s="10" t="inlineStr">
        <is>
          <t>WY-0156</t>
        </is>
      </c>
      <c r="B243" s="10" t="inlineStr">
        <is>
          <t>WY-0156-01</t>
        </is>
      </c>
      <c r="C243" s="10" t="inlineStr"/>
      <c r="D243" s="10" t="inlineStr">
        <is>
          <t>Suki's Cash &amp; Carry</t>
        </is>
      </c>
      <c r="E243" s="10" t="inlineStr">
        <is>
          <t>Suki's Cash &amp; Carry Wholesalers</t>
        </is>
      </c>
      <c r="F243" s="10" t="inlineStr"/>
      <c r="G243" s="10" t="inlineStr">
        <is>
          <t>Cash &amp; Carry</t>
        </is>
      </c>
      <c r="H243" s="10" t="inlineStr">
        <is>
          <t>Household goods, partyware, toys &amp; disposables wholesaler</t>
        </is>
      </c>
      <c r="I243" s="10" t="inlineStr">
        <is>
          <t>Independent</t>
        </is>
      </c>
      <c r="J243" s="10" t="inlineStr">
        <is>
          <t>1</t>
        </is>
      </c>
      <c r="K243" s="10" t="inlineStr">
        <is>
          <t>https://sukiscashandcarry.co.uk/</t>
        </is>
      </c>
      <c r="L243" s="10" t="inlineStr">
        <is>
          <t>https://www.facebook.com/sukiscashandcarry/</t>
        </is>
      </c>
      <c r="M243" s="10" t="inlineStr">
        <is>
          <t>https://www.instagram.com/sukiscashandcarrybradford/</t>
        </is>
      </c>
      <c r="N243" s="10" t="inlineStr">
        <is>
          <t>https://nextdoor.co.uk/pages/sukis-cash-carry-wholesalers/</t>
        </is>
      </c>
      <c r="O243" s="10" t="inlineStr">
        <is>
          <t>Garnett Street</t>
        </is>
      </c>
      <c r="P243" s="10" t="inlineStr">
        <is>
          <t>Off Leeds Road</t>
        </is>
      </c>
      <c r="Q243" s="10" t="inlineStr">
        <is>
          <t>Bradford</t>
        </is>
      </c>
      <c r="R243" s="10" t="inlineStr">
        <is>
          <t>West Yorkshire</t>
        </is>
      </c>
      <c r="S243" s="10" t="inlineStr">
        <is>
          <t>BD3 9HN</t>
        </is>
      </c>
      <c r="T243" s="10" t="inlineStr">
        <is>
          <t>Yorkshire &amp; Humber</t>
        </is>
      </c>
      <c r="U243" s="10" t="inlineStr">
        <is>
          <t>England</t>
        </is>
      </c>
      <c r="V243" s="10" t="inlineStr">
        <is>
          <t>01274 736093</t>
        </is>
      </c>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partyware; giftware; disposables; toiletries; cleaning; toys; stationery; DIY</t>
        </is>
      </c>
      <c r="AL243" s="10" t="inlineStr"/>
      <c r="AM243" s="10" t="inlineStr">
        <is>
          <t>Cash &amp; Carry</t>
        </is>
      </c>
      <c r="AN243" s="10" t="inlineStr">
        <is>
          <t>Importers, exporters and distributors of haberdashery products and accessories</t>
        </is>
      </c>
      <c r="AO243" s="10" t="inlineStr">
        <is>
          <t>Self-described 'Bradford's No.1 household goods cash &amp; carry'. Sister site sukisfireworks.co.uk. Postcode BD3 9HN from official-site snippet; one directory shows BD3 9HB.</t>
        </is>
      </c>
      <c r="AP243" s="10" t="inlineStr">
        <is>
          <t>Medium</t>
        </is>
      </c>
      <c r="AQ243" s="10" t="inlineStr">
        <is>
          <t>Independent retailer; Core relevant category; Active website; Social presence</t>
        </is>
      </c>
      <c r="AR243" s="10" t="inlineStr">
        <is>
          <t>https://sukiscashandcarry.co.uk/</t>
        </is>
      </c>
      <c r="AS243" s="10" t="inlineStr">
        <is>
          <t>https://sukiscashandcarry.co.uk/pages/contact-us</t>
        </is>
      </c>
      <c r="AT243" s="10" t="inlineStr">
        <is>
          <t>6</t>
        </is>
      </c>
      <c r="AU243" s="10" t="inlineStr">
        <is>
          <t>Yes</t>
        </is>
      </c>
      <c r="AV243" s="10" t="inlineStr">
        <is>
          <t>No</t>
        </is>
      </c>
      <c r="AW243" s="10" t="inlineStr">
        <is>
          <t>No</t>
        </is>
      </c>
      <c r="AX243" s="10" t="inlineStr">
        <is>
          <t>No</t>
        </is>
      </c>
      <c r="AY243" s="10" t="inlineStr">
        <is>
          <t>Verified directory</t>
        </is>
      </c>
      <c r="AZ243" s="10" t="inlineStr">
        <is>
          <t>Website Found</t>
        </is>
      </c>
      <c r="BA243" s="10" t="inlineStr">
        <is>
          <t>2026-09-16</t>
        </is>
      </c>
      <c r="BB243" s="10" t="inlineStr">
        <is>
          <t>Partially Verified</t>
        </is>
      </c>
      <c r="BC243" s="10" t="inlineStr">
        <is>
          <t>Medium</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2026-09-16</t>
        </is>
      </c>
      <c r="BJ243" s="10" t="inlineStr">
        <is>
          <t>New</t>
        </is>
      </c>
      <c r="BK243" s="10" t="inlineStr">
        <is>
          <t>2026-09-16</t>
        </is>
      </c>
      <c r="BL243" s="10" t="inlineStr"/>
      <c r="BM243" s="10" t="inlineStr"/>
      <c r="BN243" s="10" t="inlineStr"/>
      <c r="BO243" s="10" t="inlineStr"/>
      <c r="BP243" s="10" t="inlineStr"/>
      <c r="BQ243" s="10" t="inlineStr"/>
    </row>
    <row r="244">
      <c r="A244" s="5" t="inlineStr">
        <is>
          <t>WY-0157</t>
        </is>
      </c>
      <c r="B244" s="5" t="inlineStr">
        <is>
          <t>WY-0157-01</t>
        </is>
      </c>
      <c r="C244" s="5" t="inlineStr"/>
      <c r="D244" s="5" t="inlineStr">
        <is>
          <t>Sup Mirfield</t>
        </is>
      </c>
      <c r="E244" s="5" t="inlineStr">
        <is>
          <t>Sup Mirfield</t>
        </is>
      </c>
      <c r="F244" s="5" t="inlineStr"/>
      <c r="G244" s="5" t="inlineStr">
        <is>
          <t>Convenience Store</t>
        </is>
      </c>
      <c r="H244" s="5" t="inlineStr">
        <is>
          <t>Convenience store</t>
        </is>
      </c>
      <c r="I244" s="5" t="inlineStr">
        <is>
          <t>Independent</t>
        </is>
      </c>
      <c r="J244" s="5" t="inlineStr">
        <is>
          <t>1</t>
        </is>
      </c>
      <c r="K244" s="5" t="inlineStr"/>
      <c r="L244" s="5" t="inlineStr">
        <is>
          <t>https://www.facebook.com/supmirfield/</t>
        </is>
      </c>
      <c r="M244" s="5" t="inlineStr"/>
      <c r="N244" s="5" t="inlineStr"/>
      <c r="O244" s="5" t="inlineStr">
        <is>
          <t>2 Nettleton Road</t>
        </is>
      </c>
      <c r="P244" s="5" t="inlineStr"/>
      <c r="Q244" s="5" t="inlineStr">
        <is>
          <t>Mirfield</t>
        </is>
      </c>
      <c r="R244" s="5" t="inlineStr">
        <is>
          <t>West Yorkshire</t>
        </is>
      </c>
      <c r="S244" s="5" t="inlineStr"/>
      <c r="T244" s="5" t="inlineStr">
        <is>
          <t>Yorkshire &amp; Humber</t>
        </is>
      </c>
      <c r="U244" s="5" t="inlineStr">
        <is>
          <t>England</t>
        </is>
      </c>
      <c r="V244" s="5" t="inlineStr">
        <is>
          <t>07387 294049</t>
        </is>
      </c>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convenience goods; drinks; snacks</t>
        </is>
      </c>
      <c r="AL244" s="5" t="inlineStr"/>
      <c r="AM244" s="5" t="inlineStr">
        <is>
          <t>Convenience Store</t>
        </is>
      </c>
      <c r="AN244" s="5" t="inlineStr"/>
      <c r="AO244" s="5" t="inlineStr">
        <is>
          <t>Address and mobile number taken from the store's own Facebook page details shown in search results; postcode not published.</t>
        </is>
      </c>
      <c r="AP244" s="5" t="inlineStr">
        <is>
          <t>Medium</t>
        </is>
      </c>
      <c r="AQ244" s="5" t="inlineStr">
        <is>
          <t>Independent retailer; Relevant category; Social presence</t>
        </is>
      </c>
      <c r="AR244" s="5" t="inlineStr">
        <is>
          <t>https://www.facebook.com/supmirfield/</t>
        </is>
      </c>
      <c r="AS244" s="5" t="inlineStr"/>
      <c r="AT244" s="5" t="inlineStr">
        <is>
          <t>1</t>
        </is>
      </c>
      <c r="AU244" s="5" t="inlineStr">
        <is>
          <t>No</t>
        </is>
      </c>
      <c r="AV244" s="5" t="inlineStr">
        <is>
          <t>No</t>
        </is>
      </c>
      <c r="AW244" s="5" t="inlineStr">
        <is>
          <t>No</t>
        </is>
      </c>
      <c r="AX244" s="5" t="inlineStr">
        <is>
          <t>No</t>
        </is>
      </c>
      <c r="AY244" s="5" t="inlineStr">
        <is>
          <t>Verified directory</t>
        </is>
      </c>
      <c r="AZ244" s="5" t="inlineStr">
        <is>
          <t>Not Found</t>
        </is>
      </c>
      <c r="BA244" s="5" t="inlineStr">
        <is>
          <t>2026-09-16</t>
        </is>
      </c>
      <c r="BB244" s="5" t="inlineStr">
        <is>
          <t>Requires Verification</t>
        </is>
      </c>
      <c r="BC244" s="5" t="inlineStr">
        <is>
          <t>Low</t>
        </is>
      </c>
      <c r="BD244" s="5" t="inlineStr"/>
      <c r="BE244" s="5" t="inlineStr">
        <is>
          <t>Business (B2B)</t>
        </is>
      </c>
      <c r="BF244" s="5" t="inlineStr">
        <is>
          <t>Legitimate interest (B2B) - assess per campaign; PECR: corporate subscribers</t>
        </is>
      </c>
      <c r="BG244" s="5" t="inlineStr"/>
      <c r="BH244" s="5" t="inlineStr">
        <is>
          <t>No</t>
        </is>
      </c>
      <c r="BI244" s="5" t="inlineStr">
        <is>
          <t>2026-09-16</t>
        </is>
      </c>
      <c r="BJ244" s="5" t="inlineStr">
        <is>
          <t>New</t>
        </is>
      </c>
      <c r="BK244" s="5" t="inlineStr">
        <is>
          <t>2026-09-16</t>
        </is>
      </c>
      <c r="BL244" s="5" t="inlineStr"/>
      <c r="BM244" s="5" t="inlineStr"/>
      <c r="BN244" s="5" t="inlineStr"/>
      <c r="BO244" s="5" t="inlineStr"/>
      <c r="BP244" s="5" t="inlineStr"/>
      <c r="BQ244" s="5" t="inlineStr"/>
    </row>
    <row r="245">
      <c r="A245" s="10" t="inlineStr">
        <is>
          <t>UK-000280</t>
        </is>
      </c>
      <c r="B245" s="10" t="inlineStr">
        <is>
          <t>UK-000280-01</t>
        </is>
      </c>
      <c r="C245" s="10" t="inlineStr"/>
      <c r="D245" s="10" t="inlineStr">
        <is>
          <t>TLC (Top Lines Catering Supplies)</t>
        </is>
      </c>
      <c r="E245" s="10" t="inlineStr">
        <is>
          <t>TLC Foods</t>
        </is>
      </c>
      <c r="F245" s="10" t="inlineStr">
        <is>
          <t>Top Lines Catering Supplies Limited</t>
        </is>
      </c>
      <c r="G245" s="10" t="inlineStr">
        <is>
          <t>Cash &amp; Carry</t>
        </is>
      </c>
      <c r="H245" s="10" t="inlineStr">
        <is>
          <t>Catering cash &amp; carry / wholesaler</t>
        </is>
      </c>
      <c r="I245" s="10" t="inlineStr">
        <is>
          <t>Independent</t>
        </is>
      </c>
      <c r="J245" s="10" t="inlineStr">
        <is>
          <t>1</t>
        </is>
      </c>
      <c r="K245" s="10" t="inlineStr">
        <is>
          <t>https://www.tlcfoods.com/</t>
        </is>
      </c>
      <c r="L245" s="10" t="inlineStr">
        <is>
          <t>https://www.facebook.com/tlcsheffield/</t>
        </is>
      </c>
      <c r="M245" s="10" t="inlineStr"/>
      <c r="N245" s="10" t="inlineStr"/>
      <c r="O245" s="10" t="inlineStr">
        <is>
          <t>21a Kimberley Street</t>
        </is>
      </c>
      <c r="P245" s="10" t="inlineStr"/>
      <c r="Q245" s="10" t="inlineStr">
        <is>
          <t>Sheffield</t>
        </is>
      </c>
      <c r="R245" s="10" t="inlineStr">
        <is>
          <t>South Yorkshire</t>
        </is>
      </c>
      <c r="S245" s="10" t="inlineStr">
        <is>
          <t>S9 3WX</t>
        </is>
      </c>
      <c r="T245" s="10" t="inlineStr">
        <is>
          <t>Yorkshire &amp; Humber</t>
        </is>
      </c>
      <c r="U245" s="10" t="inlineStr">
        <is>
          <t>England</t>
        </is>
      </c>
      <c r="V245" s="10" t="inlineStr">
        <is>
          <t>0114 261 9999</t>
        </is>
      </c>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catering supplies; pizza and takeaway ingredients; food packaging; drinks</t>
        </is>
      </c>
      <c r="AL245" s="10" t="inlineStr"/>
      <c r="AM245" s="10" t="inlineStr">
        <is>
          <t>Cash &amp; Carry</t>
        </is>
      </c>
      <c r="AN245" s="10" t="inlineStr"/>
      <c r="AO245" s="10"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245" s="10" t="inlineStr">
        <is>
          <t>Medium</t>
        </is>
      </c>
      <c r="AQ245" s="10" t="inlineStr">
        <is>
          <t>Independent retailer; Core relevant category; Active website; Social presence</t>
        </is>
      </c>
      <c r="AR245" s="10" t="inlineStr">
        <is>
          <t>https://www.tlcfoods.com/info/how-to-find-us</t>
        </is>
      </c>
      <c r="AS245" s="10" t="inlineStr">
        <is>
          <t>https://www.hotfrog.co.uk/company/1096961803157504/top-lines-catering-supplies/sheffield/foods</t>
        </is>
      </c>
      <c r="AT245" s="10" t="inlineStr">
        <is>
          <t>2</t>
        </is>
      </c>
      <c r="AU245" s="10" t="inlineStr">
        <is>
          <t>No</t>
        </is>
      </c>
      <c r="AV245" s="10" t="inlineStr">
        <is>
          <t>No</t>
        </is>
      </c>
      <c r="AW245" s="10" t="inlineStr">
        <is>
          <t>No</t>
        </is>
      </c>
      <c r="AX245" s="10" t="inlineStr">
        <is>
          <t>No</t>
        </is>
      </c>
      <c r="AY245" s="10" t="inlineStr">
        <is>
          <t>Verified directory</t>
        </is>
      </c>
      <c r="AZ245" s="10" t="inlineStr">
        <is>
          <t>Website Found</t>
        </is>
      </c>
      <c r="BA245" s="10" t="inlineStr">
        <is>
          <t>2026-09-16</t>
        </is>
      </c>
      <c r="BB245" s="10" t="inlineStr">
        <is>
          <t>Requires Verification</t>
        </is>
      </c>
      <c r="BC245" s="10" t="inlineStr">
        <is>
          <t>Medium</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2026-09-16</t>
        </is>
      </c>
      <c r="BJ245" s="10" t="inlineStr">
        <is>
          <t>New</t>
        </is>
      </c>
      <c r="BK245" s="10" t="inlineStr">
        <is>
          <t>2026-09-16</t>
        </is>
      </c>
      <c r="BL245" s="10" t="inlineStr"/>
      <c r="BM245" s="10" t="inlineStr"/>
      <c r="BN245" s="10" t="inlineStr"/>
      <c r="BO245" s="10" t="inlineStr"/>
      <c r="BP245" s="10" t="inlineStr"/>
      <c r="BQ245" s="10" t="inlineStr"/>
    </row>
    <row r="246">
      <c r="A246" s="5" t="inlineStr">
        <is>
          <t>UK-000281</t>
        </is>
      </c>
      <c r="B246" s="5" t="inlineStr">
        <is>
          <t>UK-000281-01</t>
        </is>
      </c>
      <c r="C246" s="5" t="inlineStr"/>
      <c r="D246" s="5" t="inlineStr">
        <is>
          <t>Tang Hall Food &amp; Wine</t>
        </is>
      </c>
      <c r="E246" s="5" t="inlineStr">
        <is>
          <t>Tang Hall Food &amp; Wine</t>
        </is>
      </c>
      <c r="F246" s="5" t="inlineStr"/>
      <c r="G246" s="5" t="inlineStr">
        <is>
          <t>Off-Licence</t>
        </is>
      </c>
      <c r="H246" s="5" t="inlineStr">
        <is>
          <t>Off-licence &amp; convenience</t>
        </is>
      </c>
      <c r="I246" s="5" t="inlineStr">
        <is>
          <t>Independent</t>
        </is>
      </c>
      <c r="J246" s="5" t="inlineStr">
        <is>
          <t>1</t>
        </is>
      </c>
      <c r="K246" s="5" t="inlineStr"/>
      <c r="L246" s="5" t="inlineStr"/>
      <c r="M246" s="5" t="inlineStr"/>
      <c r="N246" s="5" t="inlineStr"/>
      <c r="O246" s="5" t="inlineStr">
        <is>
          <t>202 Melrosegate</t>
        </is>
      </c>
      <c r="P246" s="5" t="inlineStr">
        <is>
          <t>Tang Hall</t>
        </is>
      </c>
      <c r="Q246" s="5" t="inlineStr">
        <is>
          <t>York</t>
        </is>
      </c>
      <c r="R246" s="5" t="inlineStr">
        <is>
          <t>North Yorkshire</t>
        </is>
      </c>
      <c r="S246" s="5" t="inlineStr">
        <is>
          <t>YO10 3SW</t>
        </is>
      </c>
      <c r="T246" s="5" t="inlineStr">
        <is>
          <t>Yorkshire &amp; Humber</t>
        </is>
      </c>
      <c r="U246" s="5" t="inlineStr">
        <is>
          <t>England</t>
        </is>
      </c>
      <c r="V246" s="5" t="inlineStr"/>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wines; spirits; beers; convenience groceries; tobacco</t>
        </is>
      </c>
      <c r="AL246" s="5" t="inlineStr"/>
      <c r="AM246" s="5" t="inlineStr">
        <is>
          <t>Off-Licence</t>
        </is>
      </c>
      <c r="AN246" s="5" t="inlineStr"/>
      <c r="AO246" s="5" t="inlineStr">
        <is>
          <t>Independent off-licence / convenience store in the Tang Hall area of York, 202 Melrosegate (YO10 3SW). From Yorkshire.com off-licence directory listing via search snippets. No phone surfaced.</t>
        </is>
      </c>
      <c r="AP246" s="5" t="inlineStr">
        <is>
          <t>Low</t>
        </is>
      </c>
      <c r="AQ246" s="5" t="inlineStr">
        <is>
          <t>Independent retailer; Relevant category</t>
        </is>
      </c>
      <c r="AR246" s="5" t="inlineStr">
        <is>
          <t>https://www.yorkshire.com/york/shopping/off-license</t>
        </is>
      </c>
      <c r="AS246" s="5" t="inlineStr"/>
      <c r="AT246" s="5" t="inlineStr">
        <is>
          <t>1</t>
        </is>
      </c>
      <c r="AU246" s="5" t="inlineStr">
        <is>
          <t>No</t>
        </is>
      </c>
      <c r="AV246" s="5" t="inlineStr">
        <is>
          <t>No</t>
        </is>
      </c>
      <c r="AW246" s="5" t="inlineStr">
        <is>
          <t>No</t>
        </is>
      </c>
      <c r="AX246" s="5" t="inlineStr">
        <is>
          <t>No</t>
        </is>
      </c>
      <c r="AY246" s="5" t="inlineStr">
        <is>
          <t>Not Found</t>
        </is>
      </c>
      <c r="AZ246" s="5" t="inlineStr">
        <is>
          <t>Not Found</t>
        </is>
      </c>
      <c r="BA246" s="5" t="inlineStr">
        <is>
          <t>2026-09-16</t>
        </is>
      </c>
      <c r="BB246" s="5" t="inlineStr">
        <is>
          <t>Requires Verification</t>
        </is>
      </c>
      <c r="BC246" s="5" t="inlineStr">
        <is>
          <t>Low</t>
        </is>
      </c>
      <c r="BD246" s="5" t="inlineStr"/>
      <c r="BE246" s="5" t="inlineStr">
        <is>
          <t>Business (B2B)</t>
        </is>
      </c>
      <c r="BF246" s="5" t="inlineStr">
        <is>
          <t>Legitimate interest (B2B) - assess per campaign; PECR: corporate subscribers</t>
        </is>
      </c>
      <c r="BG246" s="5" t="inlineStr"/>
      <c r="BH246" s="5" t="inlineStr">
        <is>
          <t>No</t>
        </is>
      </c>
      <c r="BI246" s="5" t="inlineStr">
        <is>
          <t>2026-09-16</t>
        </is>
      </c>
      <c r="BJ246" s="5" t="inlineStr">
        <is>
          <t>New</t>
        </is>
      </c>
      <c r="BK246" s="5" t="inlineStr">
        <is>
          <t>2026-09-16</t>
        </is>
      </c>
      <c r="BL246" s="5" t="inlineStr"/>
      <c r="BM246" s="5" t="inlineStr"/>
      <c r="BN246" s="5" t="inlineStr"/>
      <c r="BO246" s="5" t="inlineStr"/>
      <c r="BP246" s="5" t="inlineStr"/>
      <c r="BQ246" s="5" t="inlineStr"/>
    </row>
    <row r="247">
      <c r="A247" s="10" t="inlineStr">
        <is>
          <t>WY-0158</t>
        </is>
      </c>
      <c r="B247" s="10" t="inlineStr">
        <is>
          <t>WY-0158-01</t>
        </is>
      </c>
      <c r="C247" s="10" t="inlineStr"/>
      <c r="D247" s="10" t="inlineStr">
        <is>
          <t>Thali Outlet</t>
        </is>
      </c>
      <c r="E247" s="10" t="inlineStr">
        <is>
          <t>Thali Outlet</t>
        </is>
      </c>
      <c r="F247" s="10" t="inlineStr">
        <is>
          <t>Thali Outlet Ltd</t>
        </is>
      </c>
      <c r="G247" s="10" t="inlineStr">
        <is>
          <t>Cash &amp; Carry</t>
        </is>
      </c>
      <c r="H247" s="10" t="inlineStr">
        <is>
          <t>Trade cash &amp; carry - food packaging, disposables and cleaning products</t>
        </is>
      </c>
      <c r="I247" s="10" t="inlineStr">
        <is>
          <t>Independent</t>
        </is>
      </c>
      <c r="J247" s="10" t="inlineStr">
        <is>
          <t>1</t>
        </is>
      </c>
      <c r="K247" s="10" t="inlineStr">
        <is>
          <t>https://www.thalioutlet.com/</t>
        </is>
      </c>
      <c r="L247" s="10" t="inlineStr">
        <is>
          <t>https://www.facebook.com/thalioutlet/</t>
        </is>
      </c>
      <c r="M247" s="10" t="inlineStr"/>
      <c r="N247" s="10" t="inlineStr"/>
      <c r="O247" s="10" t="inlineStr">
        <is>
          <t>Meanwood Buildings, 277a Meanwood Road</t>
        </is>
      </c>
      <c r="P247" s="10" t="inlineStr">
        <is>
          <t>Meanwood</t>
        </is>
      </c>
      <c r="Q247" s="10" t="inlineStr">
        <is>
          <t>Leeds</t>
        </is>
      </c>
      <c r="R247" s="10" t="inlineStr">
        <is>
          <t>West Yorkshire</t>
        </is>
      </c>
      <c r="S247" s="10" t="inlineStr">
        <is>
          <t>LS7 2JD</t>
        </is>
      </c>
      <c r="T247" s="10" t="inlineStr">
        <is>
          <t>Yorkshire &amp; Humber</t>
        </is>
      </c>
      <c r="U247" s="10" t="inlineStr">
        <is>
          <t>England</t>
        </is>
      </c>
      <c r="V247" s="10" t="inlineStr">
        <is>
          <t>0113 394 8000</t>
        </is>
      </c>
      <c r="W247" s="10" t="inlineStr"/>
      <c r="X247" s="10" t="inlineStr"/>
      <c r="Y247" s="10" t="inlineStr">
        <is>
          <t>sales@thalioutlet.com</t>
        </is>
      </c>
      <c r="Z247" s="10" t="inlineStr">
        <is>
          <t>sales@thalioutlet.com</t>
        </is>
      </c>
      <c r="AA247" s="10" t="inlineStr"/>
      <c r="AB247" s="10" t="inlineStr"/>
      <c r="AC247" s="10" t="inlineStr"/>
      <c r="AD247" s="10" t="inlineStr"/>
      <c r="AE247" s="10" t="inlineStr">
        <is>
          <t>08555459</t>
        </is>
      </c>
      <c r="AF247" s="10" t="inlineStr"/>
      <c r="AG247" s="10" t="inlineStr">
        <is>
          <t>THALI OUTLET LTD</t>
        </is>
      </c>
      <c r="AH247" s="10" t="inlineStr"/>
      <c r="AI247" s="10" t="inlineStr"/>
      <c r="AJ247" s="10" t="inlineStr"/>
      <c r="AK247" s="10" t="inlineStr">
        <is>
          <t>food packaging; compostable tableware; carrier bags; cleaning products; catering supplies</t>
        </is>
      </c>
      <c r="AL247" s="10" t="inlineStr"/>
      <c r="AM247" s="10" t="inlineStr">
        <is>
          <t>Cash &amp; Carry</t>
        </is>
      </c>
      <c r="AN247" s="10" t="inlineStr"/>
      <c r="AO247" s="10" t="inlineStr">
        <is>
          <t>Trade counter with showroom and free parking. Company number from Kompass listing (GB08555459) - not verified directly at Companies House (site blocked by proxy).</t>
        </is>
      </c>
      <c r="AP247" s="10" t="inlineStr">
        <is>
          <t>High</t>
        </is>
      </c>
      <c r="AQ247" s="10" t="inlineStr">
        <is>
          <t>Independent retailer; Core relevant category; Public trade/sales contact; Active website; Social presence</t>
        </is>
      </c>
      <c r="AR247" s="10" t="inlineStr">
        <is>
          <t>https://www.thalioutlet.com/pages/contact</t>
        </is>
      </c>
      <c r="AS247" s="10" t="inlineStr">
        <is>
          <t>https://www.thomsonlocal.com/search/party-goods-novelties/leeds/thali-outlet/1678928/01133948000</t>
        </is>
      </c>
      <c r="AT247" s="10" t="inlineStr">
        <is>
          <t>3</t>
        </is>
      </c>
      <c r="AU247" s="10" t="inlineStr">
        <is>
          <t>No</t>
        </is>
      </c>
      <c r="AV247" s="10" t="inlineStr">
        <is>
          <t>No</t>
        </is>
      </c>
      <c r="AW247" s="10" t="inlineStr">
        <is>
          <t>No</t>
        </is>
      </c>
      <c r="AX247" s="10" t="inlineStr">
        <is>
          <t>No</t>
        </is>
      </c>
      <c r="AY247" s="10" t="inlineStr">
        <is>
          <t>Verified directory</t>
        </is>
      </c>
      <c r="AZ247" s="10" t="inlineStr">
        <is>
          <t>Publicly Listed</t>
        </is>
      </c>
      <c r="BA247" s="10" t="inlineStr">
        <is>
          <t>2026-09-16</t>
        </is>
      </c>
      <c r="BB247" s="10" t="inlineStr">
        <is>
          <t>Requires Verification</t>
        </is>
      </c>
      <c r="BC247" s="10" t="inlineStr">
        <is>
          <t>Medium</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2026-09-16</t>
        </is>
      </c>
      <c r="BJ247" s="10" t="inlineStr">
        <is>
          <t>New</t>
        </is>
      </c>
      <c r="BK247" s="10" t="inlineStr">
        <is>
          <t>2026-09-16</t>
        </is>
      </c>
      <c r="BL247" s="10" t="inlineStr"/>
      <c r="BM247" s="10" t="inlineStr"/>
      <c r="BN247" s="10" t="inlineStr"/>
      <c r="BO247" s="10" t="inlineStr"/>
      <c r="BP247" s="10" t="inlineStr"/>
      <c r="BQ247" s="10" t="inlineStr"/>
    </row>
    <row r="248">
      <c r="A248" s="5" t="inlineStr">
        <is>
          <t>UK-000282</t>
        </is>
      </c>
      <c r="B248" s="5" t="inlineStr">
        <is>
          <t>UK-000282-01</t>
        </is>
      </c>
      <c r="C248" s="5" t="inlineStr"/>
      <c r="D248" s="5" t="inlineStr">
        <is>
          <t>The Little Shop of Vapes</t>
        </is>
      </c>
      <c r="E248" s="5" t="inlineStr">
        <is>
          <t>The Little Shop of Vapes</t>
        </is>
      </c>
      <c r="F248" s="5" t="inlineStr"/>
      <c r="G248" s="5" t="inlineStr">
        <is>
          <t>Vape Shop</t>
        </is>
      </c>
      <c r="H248" s="5" t="inlineStr">
        <is>
          <t>Independent B&amp;M vape shop</t>
        </is>
      </c>
      <c r="I248" s="5" t="inlineStr">
        <is>
          <t>Independent</t>
        </is>
      </c>
      <c r="J248" s="5" t="inlineStr">
        <is>
          <t>1</t>
        </is>
      </c>
      <c r="K248" s="5" t="inlineStr"/>
      <c r="L248" s="5" t="inlineStr"/>
      <c r="M248" s="5" t="inlineStr"/>
      <c r="N248" s="5" t="inlineStr"/>
      <c r="O248" s="5" t="inlineStr">
        <is>
          <t>144 Victoria Road</t>
        </is>
      </c>
      <c r="P248" s="5" t="inlineStr"/>
      <c r="Q248" s="5" t="inlineStr">
        <is>
          <t>Scarborough</t>
        </is>
      </c>
      <c r="R248" s="5" t="inlineStr">
        <is>
          <t>North Yorkshire</t>
        </is>
      </c>
      <c r="S248" s="5" t="inlineStr">
        <is>
          <t>YO11 1SL</t>
        </is>
      </c>
      <c r="T248" s="5" t="inlineStr">
        <is>
          <t>Yorkshire &amp; Humber</t>
        </is>
      </c>
      <c r="U248" s="5" t="inlineStr">
        <is>
          <t>England</t>
        </is>
      </c>
      <c r="V248" s="5" t="inlineStr">
        <is>
          <t>01723 449978</t>
        </is>
      </c>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vape hardware; e-liquids; nic salts</t>
        </is>
      </c>
      <c r="AL248" s="5" t="inlineStr"/>
      <c r="AM248" s="5" t="inlineStr">
        <is>
          <t>Vape Shop</t>
        </is>
      </c>
      <c r="AN248" s="5" t="inlineStr"/>
      <c r="AO248" s="5"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248" s="5" t="inlineStr">
        <is>
          <t>Medium</t>
        </is>
      </c>
      <c r="AQ248" s="5" t="inlineStr">
        <is>
          <t>Independent retailer; Core relevant category</t>
        </is>
      </c>
      <c r="AR248" s="5" t="inlineStr">
        <is>
          <t>https://scarborough.cylex-uk.co.uk/company/the-little-shop-of-vapes-26778046.html</t>
        </is>
      </c>
      <c r="AS248" s="5" t="inlineStr">
        <is>
          <t>https://www.bizseek.co.uk/the-little-shop-of-vapes-01723-449978</t>
        </is>
      </c>
      <c r="AT248" s="5" t="inlineStr">
        <is>
          <t>3</t>
        </is>
      </c>
      <c r="AU248" s="5" t="inlineStr">
        <is>
          <t>No</t>
        </is>
      </c>
      <c r="AV248" s="5" t="inlineStr">
        <is>
          <t>No</t>
        </is>
      </c>
      <c r="AW248" s="5" t="inlineStr">
        <is>
          <t>No</t>
        </is>
      </c>
      <c r="AX248" s="5" t="inlineStr">
        <is>
          <t>No</t>
        </is>
      </c>
      <c r="AY248" s="5" t="inlineStr">
        <is>
          <t>Verified directory</t>
        </is>
      </c>
      <c r="AZ248" s="5" t="inlineStr">
        <is>
          <t>Not Found</t>
        </is>
      </c>
      <c r="BA248" s="5" t="inlineStr">
        <is>
          <t>2026-09-16</t>
        </is>
      </c>
      <c r="BB248" s="5" t="inlineStr">
        <is>
          <t>Requires Verification</t>
        </is>
      </c>
      <c r="BC248" s="5" t="inlineStr">
        <is>
          <t>Medium</t>
        </is>
      </c>
      <c r="BD248" s="5" t="inlineStr"/>
      <c r="BE248" s="5" t="inlineStr">
        <is>
          <t>Business (B2B)</t>
        </is>
      </c>
      <c r="BF248" s="5" t="inlineStr">
        <is>
          <t>Legitimate interest (B2B) - assess per campaign; PECR: corporate subscribers</t>
        </is>
      </c>
      <c r="BG248" s="5" t="inlineStr"/>
      <c r="BH248" s="5" t="inlineStr">
        <is>
          <t>No</t>
        </is>
      </c>
      <c r="BI248" s="5" t="inlineStr">
        <is>
          <t>2026-09-16</t>
        </is>
      </c>
      <c r="BJ248" s="5" t="inlineStr">
        <is>
          <t>New</t>
        </is>
      </c>
      <c r="BK248" s="5" t="inlineStr">
        <is>
          <t>2026-09-16</t>
        </is>
      </c>
      <c r="BL248" s="5" t="inlineStr"/>
      <c r="BM248" s="5" t="inlineStr"/>
      <c r="BN248" s="5" t="inlineStr"/>
      <c r="BO248" s="5" t="inlineStr"/>
      <c r="BP248" s="5" t="inlineStr"/>
      <c r="BQ248" s="5" t="inlineStr"/>
    </row>
    <row r="249">
      <c r="A249" s="10" t="inlineStr">
        <is>
          <t>WY-0159</t>
        </is>
      </c>
      <c r="B249" s="10" t="inlineStr">
        <is>
          <t>WY-0159-01</t>
        </is>
      </c>
      <c r="C249" s="10" t="inlineStr"/>
      <c r="D249" s="10" t="inlineStr">
        <is>
          <t>The Local: Elland</t>
        </is>
      </c>
      <c r="E249" s="10" t="inlineStr">
        <is>
          <t>The Local: Elland</t>
        </is>
      </c>
      <c r="F249" s="10" t="inlineStr"/>
      <c r="G249" s="10" t="inlineStr">
        <is>
          <t>Off-Licence</t>
        </is>
      </c>
      <c r="H249" s="10" t="inlineStr">
        <is>
          <t>Off-licence and everyday essentials</t>
        </is>
      </c>
      <c r="I249" s="10" t="inlineStr">
        <is>
          <t>Unknown</t>
        </is>
      </c>
      <c r="J249" s="10" t="inlineStr">
        <is>
          <t>1</t>
        </is>
      </c>
      <c r="K249" s="10" t="inlineStr"/>
      <c r="L249" s="10" t="inlineStr"/>
      <c r="M249" s="10" t="inlineStr"/>
      <c r="N249" s="10" t="inlineStr"/>
      <c r="O249" s="10" t="inlineStr">
        <is>
          <t>160 Westgate</t>
        </is>
      </c>
      <c r="P249" s="10" t="inlineStr"/>
      <c r="Q249" s="10" t="inlineStr">
        <is>
          <t>Elland</t>
        </is>
      </c>
      <c r="R249" s="10" t="inlineStr">
        <is>
          <t>West Yorkshire</t>
        </is>
      </c>
      <c r="S249" s="10" t="inlineStr">
        <is>
          <t>HX5 0BB</t>
        </is>
      </c>
      <c r="T249" s="10" t="inlineStr">
        <is>
          <t>Yorkshire &amp; Humber</t>
        </is>
      </c>
      <c r="U249" s="10" t="inlineStr">
        <is>
          <t>England</t>
        </is>
      </c>
      <c r="V249" s="10" t="inlineStr"/>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beers, wines and spirits; convenience</t>
        </is>
      </c>
      <c r="AL249" s="10" t="inlineStr"/>
      <c r="AM249" s="10" t="inlineStr">
        <is>
          <t>Off-Licence</t>
        </is>
      </c>
      <c r="AN249" s="10" t="inlineStr"/>
      <c r="AO249" s="10" t="inlineStr">
        <is>
          <t>'The Local' fascia is used by some symbol-group conversions; ownership not established.</t>
        </is>
      </c>
      <c r="AP249" s="10" t="inlineStr">
        <is>
          <t>Low</t>
        </is>
      </c>
      <c r="AQ249" s="10" t="inlineStr">
        <is>
          <t>Relevant category</t>
        </is>
      </c>
      <c r="AR249" s="10" t="inlineStr">
        <is>
          <t>https://www.yorkshire.com/elland/shopping/off-license</t>
        </is>
      </c>
      <c r="AS249" s="10" t="inlineStr"/>
      <c r="AT249" s="10" t="inlineStr">
        <is>
          <t>1</t>
        </is>
      </c>
      <c r="AU249" s="10" t="inlineStr">
        <is>
          <t>No</t>
        </is>
      </c>
      <c r="AV249" s="10" t="inlineStr">
        <is>
          <t>No</t>
        </is>
      </c>
      <c r="AW249" s="10" t="inlineStr">
        <is>
          <t>No</t>
        </is>
      </c>
      <c r="AX249" s="10" t="inlineStr">
        <is>
          <t>No</t>
        </is>
      </c>
      <c r="AY249" s="10" t="inlineStr">
        <is>
          <t>Not Found</t>
        </is>
      </c>
      <c r="AZ249" s="10" t="inlineStr">
        <is>
          <t>Not Found</t>
        </is>
      </c>
      <c r="BA249" s="10" t="inlineStr">
        <is>
          <t>2026-09-16</t>
        </is>
      </c>
      <c r="BB249" s="10" t="inlineStr">
        <is>
          <t>Requires Verification</t>
        </is>
      </c>
      <c r="BC249" s="10" t="inlineStr">
        <is>
          <t>Medium</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2026-09-16</t>
        </is>
      </c>
      <c r="BJ249" s="10" t="inlineStr">
        <is>
          <t>New</t>
        </is>
      </c>
      <c r="BK249" s="10" t="inlineStr">
        <is>
          <t>2026-09-16</t>
        </is>
      </c>
      <c r="BL249" s="10" t="inlineStr"/>
      <c r="BM249" s="10" t="inlineStr"/>
      <c r="BN249" s="10" t="inlineStr"/>
      <c r="BO249" s="10" t="inlineStr"/>
      <c r="BP249" s="10" t="inlineStr"/>
      <c r="BQ249" s="10" t="inlineStr"/>
    </row>
    <row r="250">
      <c r="A250" s="5" t="inlineStr">
        <is>
          <t>WY-0160</t>
        </is>
      </c>
      <c r="B250" s="5" t="inlineStr">
        <is>
          <t>WY-0160-01</t>
        </is>
      </c>
      <c r="C250" s="5" t="inlineStr"/>
      <c r="D250" s="5" t="inlineStr">
        <is>
          <t>The Shisha Shop Bradford</t>
        </is>
      </c>
      <c r="E250" s="5" t="inlineStr">
        <is>
          <t>The Shisha Shop Bradford</t>
        </is>
      </c>
      <c r="F250" s="5" t="inlineStr"/>
      <c r="G250" s="5" t="inlineStr">
        <is>
          <t>Smoke / Shisha Shop</t>
        </is>
      </c>
      <c r="H250" s="5" t="inlineStr">
        <is>
          <t>Shisha retail &amp; wholesale (pipes, flavour, charcoal)</t>
        </is>
      </c>
      <c r="I250" s="5" t="inlineStr">
        <is>
          <t>Independent</t>
        </is>
      </c>
      <c r="J250" s="5" t="inlineStr">
        <is>
          <t>1</t>
        </is>
      </c>
      <c r="K250" s="5" t="inlineStr"/>
      <c r="L250" s="5" t="inlineStr"/>
      <c r="M250" s="5" t="inlineStr">
        <is>
          <t>https://www.instagram.com/theshishashopbradford/</t>
        </is>
      </c>
      <c r="N250" s="5" t="inlineStr"/>
      <c r="O250" s="5" t="inlineStr">
        <is>
          <t>61 Leeds Road</t>
        </is>
      </c>
      <c r="P250" s="5" t="inlineStr"/>
      <c r="Q250" s="5" t="inlineStr">
        <is>
          <t>Bradford</t>
        </is>
      </c>
      <c r="R250" s="5" t="inlineStr">
        <is>
          <t>West Yorkshire</t>
        </is>
      </c>
      <c r="S250" s="5" t="inlineStr">
        <is>
          <t>BD1 5DY</t>
        </is>
      </c>
      <c r="T250" s="5" t="inlineStr">
        <is>
          <t>Yorkshire &amp; Humber</t>
        </is>
      </c>
      <c r="U250" s="5" t="inlineStr">
        <is>
          <t>England</t>
        </is>
      </c>
      <c r="V250" s="5" t="inlineStr">
        <is>
          <t>07466 392838</t>
        </is>
      </c>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shisha pipes; shisha flavour; charcoal; accessories</t>
        </is>
      </c>
      <c r="AL250" s="5" t="inlineStr"/>
      <c r="AM250" s="5" t="inlineStr">
        <is>
          <t>Smoke / Shisha Shop</t>
        </is>
      </c>
      <c r="AN250" s="5" t="inlineStr"/>
      <c r="AO250" s="5" t="inlineStr">
        <is>
          <t>Retails AND wholesales shisha products - potential trade buyer. Phone is a WhatsApp number taken from its Instagram profile as summarised in search results.</t>
        </is>
      </c>
      <c r="AP250" s="5" t="inlineStr">
        <is>
          <t>Medium</t>
        </is>
      </c>
      <c r="AQ250" s="5" t="inlineStr">
        <is>
          <t>Independent retailer; Core relevant category; Social presence</t>
        </is>
      </c>
      <c r="AR250" s="5" t="inlineStr">
        <is>
          <t>https://www.instagram.com/theshishashopbradford/</t>
        </is>
      </c>
      <c r="AS250" s="5" t="inlineStr"/>
      <c r="AT250" s="5" t="inlineStr">
        <is>
          <t>1</t>
        </is>
      </c>
      <c r="AU250" s="5" t="inlineStr">
        <is>
          <t>No</t>
        </is>
      </c>
      <c r="AV250" s="5" t="inlineStr">
        <is>
          <t>No</t>
        </is>
      </c>
      <c r="AW250" s="5" t="inlineStr">
        <is>
          <t>No</t>
        </is>
      </c>
      <c r="AX250" s="5" t="inlineStr">
        <is>
          <t>No</t>
        </is>
      </c>
      <c r="AY250" s="5" t="inlineStr">
        <is>
          <t>Unverified</t>
        </is>
      </c>
      <c r="AZ250" s="5" t="inlineStr">
        <is>
          <t>Not Found</t>
        </is>
      </c>
      <c r="BA250" s="5" t="inlineStr">
        <is>
          <t>2026-09-16</t>
        </is>
      </c>
      <c r="BB250" s="5" t="inlineStr">
        <is>
          <t>Requires Verification</t>
        </is>
      </c>
      <c r="BC250" s="5" t="inlineStr">
        <is>
          <t>Medium</t>
        </is>
      </c>
      <c r="BD250" s="5" t="inlineStr"/>
      <c r="BE250" s="5" t="inlineStr">
        <is>
          <t>Business (B2B)</t>
        </is>
      </c>
      <c r="BF250" s="5" t="inlineStr">
        <is>
          <t>Legitimate interest (B2B) - assess per campaign; PECR: corporate subscribers</t>
        </is>
      </c>
      <c r="BG250" s="5" t="inlineStr"/>
      <c r="BH250" s="5" t="inlineStr">
        <is>
          <t>No</t>
        </is>
      </c>
      <c r="BI250" s="5" t="inlineStr">
        <is>
          <t>2026-09-16</t>
        </is>
      </c>
      <c r="BJ250" s="5" t="inlineStr">
        <is>
          <t>New</t>
        </is>
      </c>
      <c r="BK250" s="5" t="inlineStr">
        <is>
          <t>2026-09-16</t>
        </is>
      </c>
      <c r="BL250" s="5" t="inlineStr"/>
      <c r="BM250" s="5" t="inlineStr"/>
      <c r="BN250" s="5" t="inlineStr"/>
      <c r="BO250" s="5" t="inlineStr"/>
      <c r="BP250" s="5" t="inlineStr"/>
      <c r="BQ250" s="5" t="inlineStr"/>
    </row>
    <row r="251">
      <c r="A251" s="10" t="inlineStr">
        <is>
          <t>UK-000283</t>
        </is>
      </c>
      <c r="B251" s="10" t="inlineStr">
        <is>
          <t>UK-000283-01</t>
        </is>
      </c>
      <c r="C251" s="10" t="inlineStr"/>
      <c r="D251" s="10" t="inlineStr">
        <is>
          <t>The Vape Centre York</t>
        </is>
      </c>
      <c r="E251" s="10" t="inlineStr">
        <is>
          <t>The Vape Centre</t>
        </is>
      </c>
      <c r="F251" s="10" t="inlineStr"/>
      <c r="G251" s="10" t="inlineStr">
        <is>
          <t>Vape Shop</t>
        </is>
      </c>
      <c r="H251" s="10" t="inlineStr">
        <is>
          <t>Vape hardware &amp; e-liquid shop</t>
        </is>
      </c>
      <c r="I251" s="10" t="inlineStr">
        <is>
          <t>Independent</t>
        </is>
      </c>
      <c r="J251" s="10" t="inlineStr">
        <is>
          <t>1</t>
        </is>
      </c>
      <c r="K251" s="10" t="inlineStr"/>
      <c r="L251" s="10" t="inlineStr"/>
      <c r="M251" s="10" t="inlineStr"/>
      <c r="N251" s="10" t="inlineStr"/>
      <c r="O251" s="10" t="inlineStr">
        <is>
          <t>2 Gillygate</t>
        </is>
      </c>
      <c r="P251" s="10" t="inlineStr"/>
      <c r="Q251" s="10" t="inlineStr">
        <is>
          <t>York</t>
        </is>
      </c>
      <c r="R251" s="10" t="inlineStr">
        <is>
          <t>North Yorkshire</t>
        </is>
      </c>
      <c r="S251" s="10" t="inlineStr">
        <is>
          <t>YO31 7EA</t>
        </is>
      </c>
      <c r="T251" s="10" t="inlineStr">
        <is>
          <t>Yorkshire &amp; Humber</t>
        </is>
      </c>
      <c r="U251" s="10" t="inlineStr">
        <is>
          <t>England</t>
        </is>
      </c>
      <c r="V251" s="10" t="inlineStr">
        <is>
          <t>01904 927903</t>
        </is>
      </c>
      <c r="W251" s="10" t="inlineStr"/>
      <c r="X251" s="10" t="inlineStr"/>
      <c r="Y251" s="10" t="inlineStr"/>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vape hardware; e-liquids; accessories</t>
        </is>
      </c>
      <c r="AL251" s="10" t="inlineStr"/>
      <c r="AM251" s="10" t="inlineStr">
        <is>
          <t>Vape Shop</t>
        </is>
      </c>
      <c r="AN251" s="10" t="inlineStr"/>
      <c r="AO251" s="10"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251" s="10" t="inlineStr">
        <is>
          <t>Medium</t>
        </is>
      </c>
      <c r="AQ251" s="10" t="inlineStr">
        <is>
          <t>Independent retailer; Core relevant category</t>
        </is>
      </c>
      <c r="AR251" s="10" t="inlineStr">
        <is>
          <t>https://the-vape-centre-york.wheree.com/</t>
        </is>
      </c>
      <c r="AS251" s="10" t="inlineStr">
        <is>
          <t>https://york.cylex-uk.co.uk/company/the-vape-centre-york-wetherby-27216167.html</t>
        </is>
      </c>
      <c r="AT251" s="10" t="inlineStr">
        <is>
          <t>2</t>
        </is>
      </c>
      <c r="AU251" s="10" t="inlineStr">
        <is>
          <t>No</t>
        </is>
      </c>
      <c r="AV251" s="10" t="inlineStr">
        <is>
          <t>No</t>
        </is>
      </c>
      <c r="AW251" s="10" t="inlineStr">
        <is>
          <t>No</t>
        </is>
      </c>
      <c r="AX251" s="10" t="inlineStr">
        <is>
          <t>No</t>
        </is>
      </c>
      <c r="AY251" s="10" t="inlineStr">
        <is>
          <t>Verified directory</t>
        </is>
      </c>
      <c r="AZ251" s="10" t="inlineStr">
        <is>
          <t>Not Found</t>
        </is>
      </c>
      <c r="BA251" s="10" t="inlineStr">
        <is>
          <t>2026-09-16</t>
        </is>
      </c>
      <c r="BB251" s="10" t="inlineStr">
        <is>
          <t>Requires Verification</t>
        </is>
      </c>
      <c r="BC251" s="10" t="inlineStr">
        <is>
          <t>Low</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2026-09-16</t>
        </is>
      </c>
      <c r="BJ251" s="10" t="inlineStr">
        <is>
          <t>New</t>
        </is>
      </c>
      <c r="BK251" s="10" t="inlineStr">
        <is>
          <t>2026-09-16</t>
        </is>
      </c>
      <c r="BL251" s="10" t="inlineStr"/>
      <c r="BM251" s="10" t="inlineStr"/>
      <c r="BN251" s="10" t="inlineStr"/>
      <c r="BO251" s="10" t="inlineStr"/>
      <c r="BP251" s="10" t="inlineStr"/>
      <c r="BQ251" s="10" t="inlineStr"/>
    </row>
    <row r="252">
      <c r="A252" s="5" t="inlineStr">
        <is>
          <t>WY-0161</t>
        </is>
      </c>
      <c r="B252" s="5" t="inlineStr">
        <is>
          <t>WY-0161-01</t>
        </is>
      </c>
      <c r="C252" s="5" t="inlineStr"/>
      <c r="D252" s="5" t="inlineStr">
        <is>
          <t>The Vape Hub</t>
        </is>
      </c>
      <c r="E252" s="5" t="inlineStr">
        <is>
          <t>The Vape Hub Bradford</t>
        </is>
      </c>
      <c r="F252" s="5" t="inlineStr"/>
      <c r="G252" s="5" t="inlineStr">
        <is>
          <t>Vape Shop</t>
        </is>
      </c>
      <c r="H252" s="5" t="inlineStr">
        <is>
          <t>Local vape shop</t>
        </is>
      </c>
      <c r="I252" s="5" t="inlineStr">
        <is>
          <t>Independent</t>
        </is>
      </c>
      <c r="J252" s="5" t="inlineStr">
        <is>
          <t>1</t>
        </is>
      </c>
      <c r="K252" s="5" t="inlineStr"/>
      <c r="L252" s="5" t="inlineStr">
        <is>
          <t>https://www.facebook.com/tvhbradford/</t>
        </is>
      </c>
      <c r="M252" s="5" t="inlineStr"/>
      <c r="N252" s="5" t="inlineStr"/>
      <c r="O252" s="5" t="inlineStr">
        <is>
          <t>105b Cooper Lane</t>
        </is>
      </c>
      <c r="P252" s="5" t="inlineStr"/>
      <c r="Q252" s="5" t="inlineStr">
        <is>
          <t>Bradford</t>
        </is>
      </c>
      <c r="R252" s="5" t="inlineStr">
        <is>
          <t>West Yorkshire</t>
        </is>
      </c>
      <c r="S252" s="5" t="inlineStr">
        <is>
          <t>BD6 3PB</t>
        </is>
      </c>
      <c r="T252" s="5" t="inlineStr">
        <is>
          <t>Yorkshire &amp; Humber</t>
        </is>
      </c>
      <c r="U252" s="5" t="inlineStr">
        <is>
          <t>England</t>
        </is>
      </c>
      <c r="V252" s="5" t="inlineStr">
        <is>
          <t>01274 785496</t>
        </is>
      </c>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vape hardware; e-liquids</t>
        </is>
      </c>
      <c r="AL252" s="5" t="inlineStr"/>
      <c r="AM252" s="5" t="inlineStr">
        <is>
          <t>Vape Shop</t>
        </is>
      </c>
      <c r="AN252" s="5" t="inlineStr"/>
      <c r="AO252" s="5" t="inlineStr">
        <is>
          <t>South Bradford (Buttershaw/Queensbury side). Address and phone consistent across Cylex and Yell listings.</t>
        </is>
      </c>
      <c r="AP252" s="5" t="inlineStr">
        <is>
          <t>Medium</t>
        </is>
      </c>
      <c r="AQ252" s="5" t="inlineStr">
        <is>
          <t>Independent retailer; Core relevant category; Social presence</t>
        </is>
      </c>
      <c r="AR252" s="5" t="inlineStr">
        <is>
          <t>https://www.yell.com/biz/the-vape-hub-bradford-10128282/</t>
        </is>
      </c>
      <c r="AS252" s="5" t="inlineStr">
        <is>
          <t>https://www.facebook.com/tvhbradford/</t>
        </is>
      </c>
      <c r="AT252" s="5" t="inlineStr">
        <is>
          <t>3</t>
        </is>
      </c>
      <c r="AU252" s="5" t="inlineStr">
        <is>
          <t>No</t>
        </is>
      </c>
      <c r="AV252" s="5" t="inlineStr">
        <is>
          <t>No</t>
        </is>
      </c>
      <c r="AW252" s="5" t="inlineStr">
        <is>
          <t>No</t>
        </is>
      </c>
      <c r="AX252" s="5" t="inlineStr">
        <is>
          <t>No</t>
        </is>
      </c>
      <c r="AY252" s="5" t="inlineStr">
        <is>
          <t>Verified directory</t>
        </is>
      </c>
      <c r="AZ252" s="5" t="inlineStr">
        <is>
          <t>Not Found</t>
        </is>
      </c>
      <c r="BA252" s="5" t="inlineStr">
        <is>
          <t>2026-09-16</t>
        </is>
      </c>
      <c r="BB252" s="5" t="inlineStr">
        <is>
          <t>Requires Verification</t>
        </is>
      </c>
      <c r="BC252" s="5" t="inlineStr">
        <is>
          <t>Medium</t>
        </is>
      </c>
      <c r="BD252" s="5" t="inlineStr"/>
      <c r="BE252" s="5" t="inlineStr">
        <is>
          <t>Business (B2B)</t>
        </is>
      </c>
      <c r="BF252" s="5" t="inlineStr">
        <is>
          <t>Legitimate interest (B2B) - assess per campaign; PECR: corporate subscribers</t>
        </is>
      </c>
      <c r="BG252" s="5" t="inlineStr"/>
      <c r="BH252" s="5" t="inlineStr">
        <is>
          <t>No</t>
        </is>
      </c>
      <c r="BI252" s="5" t="inlineStr">
        <is>
          <t>2026-09-16</t>
        </is>
      </c>
      <c r="BJ252" s="5" t="inlineStr">
        <is>
          <t>New</t>
        </is>
      </c>
      <c r="BK252" s="5" t="inlineStr">
        <is>
          <t>2026-09-16</t>
        </is>
      </c>
      <c r="BL252" s="5" t="inlineStr"/>
      <c r="BM252" s="5" t="inlineStr"/>
      <c r="BN252" s="5" t="inlineStr"/>
      <c r="BO252" s="5" t="inlineStr"/>
      <c r="BP252" s="5" t="inlineStr"/>
      <c r="BQ252" s="5" t="inlineStr"/>
    </row>
    <row r="253">
      <c r="A253" s="10" t="inlineStr">
        <is>
          <t>UK-000284</t>
        </is>
      </c>
      <c r="B253" s="10" t="inlineStr">
        <is>
          <t>UK-000284-01</t>
        </is>
      </c>
      <c r="C253" s="10" t="inlineStr"/>
      <c r="D253" s="10" t="inlineStr">
        <is>
          <t>The Vape Lounge Scunthorpe</t>
        </is>
      </c>
      <c r="E253" s="10" t="inlineStr">
        <is>
          <t>The Vape Lounge</t>
        </is>
      </c>
      <c r="F253" s="10" t="inlineStr"/>
      <c r="G253" s="10" t="inlineStr">
        <is>
          <t>Vape Shop</t>
        </is>
      </c>
      <c r="H253" s="10" t="inlineStr">
        <is>
          <t>E-liquid and hardware shop</t>
        </is>
      </c>
      <c r="I253" s="10" t="inlineStr">
        <is>
          <t>Independent</t>
        </is>
      </c>
      <c r="J253" s="10" t="inlineStr">
        <is>
          <t>1</t>
        </is>
      </c>
      <c r="K253" s="10" t="inlineStr"/>
      <c r="L253" s="10" t="inlineStr"/>
      <c r="M253" s="10" t="inlineStr"/>
      <c r="N253" s="10" t="inlineStr"/>
      <c r="O253" s="10" t="inlineStr">
        <is>
          <t>223-231 Ashby High Street</t>
        </is>
      </c>
      <c r="P253" s="10" t="inlineStr"/>
      <c r="Q253" s="10" t="inlineStr">
        <is>
          <t>Scunthorpe</t>
        </is>
      </c>
      <c r="R253" s="10" t="inlineStr">
        <is>
          <t>Lincolnshire</t>
        </is>
      </c>
      <c r="S253" s="10" t="inlineStr"/>
      <c r="T253" s="10" t="inlineStr">
        <is>
          <t>Yorkshire &amp; Humber</t>
        </is>
      </c>
      <c r="U253" s="10" t="inlineStr">
        <is>
          <t>England</t>
        </is>
      </c>
      <c r="V253" s="10" t="inlineStr">
        <is>
          <t>01724 858999</t>
        </is>
      </c>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e-liquids; vape hardware; disposables</t>
        </is>
      </c>
      <c r="AL253" s="10" t="inlineStr"/>
      <c r="AM253" s="10" t="inlineStr">
        <is>
          <t>Vape Shop</t>
        </is>
      </c>
      <c r="AN253" s="10" t="inlineStr"/>
      <c r="AO253" s="10" t="inlineStr">
        <is>
          <t>Independent vape shop on Ashby High Street. Sources give partial postcode (DN16) only.</t>
        </is>
      </c>
      <c r="AP253" s="10" t="inlineStr">
        <is>
          <t>Medium</t>
        </is>
      </c>
      <c r="AQ253" s="10" t="inlineStr">
        <is>
          <t>Independent retailer; Core relevant category</t>
        </is>
      </c>
      <c r="AR253" s="10" t="inlineStr">
        <is>
          <t>https://ecigdirectory.co.uk/vape-shop/listing/the-vape-lounge-scunthorpe</t>
        </is>
      </c>
      <c r="AS253" s="10" t="inlineStr"/>
      <c r="AT253" s="10" t="inlineStr">
        <is>
          <t>1</t>
        </is>
      </c>
      <c r="AU253" s="10" t="inlineStr">
        <is>
          <t>No</t>
        </is>
      </c>
      <c r="AV253" s="10" t="inlineStr">
        <is>
          <t>No</t>
        </is>
      </c>
      <c r="AW253" s="10" t="inlineStr">
        <is>
          <t>No</t>
        </is>
      </c>
      <c r="AX253" s="10" t="inlineStr">
        <is>
          <t>No</t>
        </is>
      </c>
      <c r="AY253" s="10" t="inlineStr">
        <is>
          <t>Verified directory</t>
        </is>
      </c>
      <c r="AZ253" s="10" t="inlineStr">
        <is>
          <t>Not Found</t>
        </is>
      </c>
      <c r="BA253" s="10" t="inlineStr">
        <is>
          <t>2026-09-16</t>
        </is>
      </c>
      <c r="BB253" s="10" t="inlineStr">
        <is>
          <t>Requires Verification</t>
        </is>
      </c>
      <c r="BC253" s="10" t="inlineStr">
        <is>
          <t>Low</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2026-09-16</t>
        </is>
      </c>
      <c r="BJ253" s="10" t="inlineStr">
        <is>
          <t>New</t>
        </is>
      </c>
      <c r="BK253" s="10" t="inlineStr">
        <is>
          <t>2026-09-16</t>
        </is>
      </c>
      <c r="BL253" s="10" t="inlineStr"/>
      <c r="BM253" s="10" t="inlineStr"/>
      <c r="BN253" s="10" t="inlineStr"/>
      <c r="BO253" s="10" t="inlineStr"/>
      <c r="BP253" s="10" t="inlineStr"/>
      <c r="BQ253" s="10" t="inlineStr"/>
    </row>
    <row r="254">
      <c r="A254" s="5" t="inlineStr">
        <is>
          <t>UK-000285</t>
        </is>
      </c>
      <c r="B254" s="5" t="inlineStr">
        <is>
          <t>UK-000285-01</t>
        </is>
      </c>
      <c r="C254" s="5" t="inlineStr"/>
      <c r="D254" s="5" t="inlineStr">
        <is>
          <t>The Vape Lounge Thirsk</t>
        </is>
      </c>
      <c r="E254" s="5" t="inlineStr">
        <is>
          <t>The Vape Lounge</t>
        </is>
      </c>
      <c r="F254" s="5" t="inlineStr"/>
      <c r="G254" s="5" t="inlineStr">
        <is>
          <t>Vape Shop</t>
        </is>
      </c>
      <c r="H254" s="5" t="inlineStr">
        <is>
          <t>Vape hardware &amp; e-liquid shop</t>
        </is>
      </c>
      <c r="I254" s="5" t="inlineStr">
        <is>
          <t>Independent</t>
        </is>
      </c>
      <c r="J254" s="5" t="inlineStr">
        <is>
          <t>1</t>
        </is>
      </c>
      <c r="K254" s="5" t="inlineStr"/>
      <c r="L254" s="5" t="inlineStr"/>
      <c r="M254" s="5" t="inlineStr"/>
      <c r="N254" s="5" t="inlineStr"/>
      <c r="O254" s="5" t="inlineStr">
        <is>
          <t>7 Market Place</t>
        </is>
      </c>
      <c r="P254" s="5" t="inlineStr"/>
      <c r="Q254" s="5" t="inlineStr">
        <is>
          <t>Thirsk</t>
        </is>
      </c>
      <c r="R254" s="5" t="inlineStr">
        <is>
          <t>North Yorkshire</t>
        </is>
      </c>
      <c r="S254" s="5" t="inlineStr">
        <is>
          <t>YO7 1HQ</t>
        </is>
      </c>
      <c r="T254" s="5" t="inlineStr">
        <is>
          <t>Yorkshire &amp; Humber</t>
        </is>
      </c>
      <c r="U254" s="5" t="inlineStr">
        <is>
          <t>England</t>
        </is>
      </c>
      <c r="V254" s="5" t="inlineStr">
        <is>
          <t>01845 525571</t>
        </is>
      </c>
      <c r="W254" s="5" t="inlineStr"/>
      <c r="X254" s="5" t="inlineStr"/>
      <c r="Y254" s="5" t="inlineStr"/>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vape hardware; e-liquids</t>
        </is>
      </c>
      <c r="AL254" s="5" t="inlineStr"/>
      <c r="AM254" s="5" t="inlineStr">
        <is>
          <t>Vape Shop</t>
        </is>
      </c>
      <c r="AN254" s="5" t="inlineStr"/>
      <c r="AO254" s="5" t="inlineStr">
        <is>
          <t>Independent vape shop on Thirsk market place (YO7 1HQ). Distinct from Vape Shop Guy Thirsk (2 Millgate). Address/phone from Crewe Chronicle directory / FindOpen / Cylex listings via search snippets.</t>
        </is>
      </c>
      <c r="AP254" s="5" t="inlineStr">
        <is>
          <t>Medium</t>
        </is>
      </c>
      <c r="AQ254" s="5" t="inlineStr">
        <is>
          <t>Independent retailer; Core relevant category</t>
        </is>
      </c>
      <c r="AR254" s="5" t="inlineStr">
        <is>
          <t>https://directory.crewechronicle.co.uk/company/742362676371456</t>
        </is>
      </c>
      <c r="AS254" s="5" t="inlineStr">
        <is>
          <t>https://ecigdirectory.co.uk/vape-shop/listing/the-vape-lounge-thirsk</t>
        </is>
      </c>
      <c r="AT254" s="5" t="inlineStr">
        <is>
          <t>2</t>
        </is>
      </c>
      <c r="AU254" s="5" t="inlineStr">
        <is>
          <t>No</t>
        </is>
      </c>
      <c r="AV254" s="5" t="inlineStr">
        <is>
          <t>No</t>
        </is>
      </c>
      <c r="AW254" s="5" t="inlineStr">
        <is>
          <t>No</t>
        </is>
      </c>
      <c r="AX254" s="5" t="inlineStr">
        <is>
          <t>No</t>
        </is>
      </c>
      <c r="AY254" s="5" t="inlineStr">
        <is>
          <t>Verified directory</t>
        </is>
      </c>
      <c r="AZ254" s="5" t="inlineStr">
        <is>
          <t>Not Found</t>
        </is>
      </c>
      <c r="BA254" s="5" t="inlineStr">
        <is>
          <t>2026-09-16</t>
        </is>
      </c>
      <c r="BB254" s="5" t="inlineStr">
        <is>
          <t>Requires Verification</t>
        </is>
      </c>
      <c r="BC254" s="5" t="inlineStr">
        <is>
          <t>Medium</t>
        </is>
      </c>
      <c r="BD254" s="5" t="inlineStr"/>
      <c r="BE254" s="5" t="inlineStr">
        <is>
          <t>Business (B2B)</t>
        </is>
      </c>
      <c r="BF254" s="5" t="inlineStr">
        <is>
          <t>Legitimate interest (B2B) - assess per campaign; PECR: corporate subscribers</t>
        </is>
      </c>
      <c r="BG254" s="5" t="inlineStr"/>
      <c r="BH254" s="5" t="inlineStr">
        <is>
          <t>No</t>
        </is>
      </c>
      <c r="BI254" s="5" t="inlineStr">
        <is>
          <t>2026-09-16</t>
        </is>
      </c>
      <c r="BJ254" s="5" t="inlineStr">
        <is>
          <t>New</t>
        </is>
      </c>
      <c r="BK254" s="5" t="inlineStr">
        <is>
          <t>2026-09-16</t>
        </is>
      </c>
      <c r="BL254" s="5" t="inlineStr"/>
      <c r="BM254" s="5" t="inlineStr"/>
      <c r="BN254" s="5" t="inlineStr"/>
      <c r="BO254" s="5" t="inlineStr"/>
      <c r="BP254" s="5" t="inlineStr"/>
      <c r="BQ254" s="5" t="inlineStr"/>
    </row>
    <row r="255">
      <c r="A255" s="10" t="inlineStr">
        <is>
          <t>WY-0162</t>
        </is>
      </c>
      <c r="B255" s="10" t="inlineStr">
        <is>
          <t>WY-0162-01</t>
        </is>
      </c>
      <c r="C255" s="10" t="inlineStr"/>
      <c r="D255" s="10" t="inlineStr">
        <is>
          <t>The Vape Shop Wakefield</t>
        </is>
      </c>
      <c r="E255" s="10" t="inlineStr">
        <is>
          <t>The Vape Shop</t>
        </is>
      </c>
      <c r="F255" s="10" t="inlineStr"/>
      <c r="G255" s="10" t="inlineStr">
        <is>
          <t>Vape Shop</t>
        </is>
      </c>
      <c r="H255" s="10" t="inlineStr">
        <is>
          <t>E-cigarettes and e-liquids (American and British ranges)</t>
        </is>
      </c>
      <c r="I255" s="10" t="inlineStr">
        <is>
          <t>Independent</t>
        </is>
      </c>
      <c r="J255" s="10" t="inlineStr">
        <is>
          <t>1</t>
        </is>
      </c>
      <c r="K255" s="10" t="inlineStr"/>
      <c r="L255" s="10" t="inlineStr">
        <is>
          <t>https://www.facebook.com/vapeshopwakefield.uk/</t>
        </is>
      </c>
      <c r="M255" s="10" t="inlineStr"/>
      <c r="N255" s="10" t="inlineStr"/>
      <c r="O255" s="10" t="inlineStr">
        <is>
          <t>Horbury Road</t>
        </is>
      </c>
      <c r="P255" s="10" t="inlineStr"/>
      <c r="Q255" s="10" t="inlineStr">
        <is>
          <t>Wakefield</t>
        </is>
      </c>
      <c r="R255" s="10" t="inlineStr">
        <is>
          <t>West Yorkshire</t>
        </is>
      </c>
      <c r="S255" s="10" t="inlineStr"/>
      <c r="T255" s="10" t="inlineStr">
        <is>
          <t>Yorkshire &amp; Humber</t>
        </is>
      </c>
      <c r="U255" s="10" t="inlineStr">
        <is>
          <t>England</t>
        </is>
      </c>
      <c r="V255" s="10" t="inlineStr"/>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e-cigarettes; e-liquids</t>
        </is>
      </c>
      <c r="AL255" s="10" t="inlineStr"/>
      <c r="AM255" s="10" t="inlineStr">
        <is>
          <t>Vape Shop</t>
        </is>
      </c>
      <c r="AN255" s="10" t="inlineStr"/>
      <c r="AO255" s="10" t="inlineStr">
        <is>
          <t>Facebook page describes a popular, well-established e-cig shop on the outskirts of Wakefield city centre; Cylex lists it on Horbury Road. Street number not captured.</t>
        </is>
      </c>
      <c r="AP255" s="10" t="inlineStr">
        <is>
          <t>Medium</t>
        </is>
      </c>
      <c r="AQ255" s="10" t="inlineStr">
        <is>
          <t>Independent retailer; Core relevant category; Social presence</t>
        </is>
      </c>
      <c r="AR255" s="10" t="inlineStr">
        <is>
          <t>https://www.facebook.com/vapeshopwakefield.uk/</t>
        </is>
      </c>
      <c r="AS255" s="10" t="inlineStr">
        <is>
          <t>https://wakefield.cylex-uk.co.uk/company/the-vape-shop-26780276.html</t>
        </is>
      </c>
      <c r="AT255" s="10" t="inlineStr">
        <is>
          <t>2</t>
        </is>
      </c>
      <c r="AU255" s="10" t="inlineStr">
        <is>
          <t>No</t>
        </is>
      </c>
      <c r="AV255" s="10" t="inlineStr">
        <is>
          <t>No</t>
        </is>
      </c>
      <c r="AW255" s="10" t="inlineStr">
        <is>
          <t>No</t>
        </is>
      </c>
      <c r="AX255" s="10" t="inlineStr">
        <is>
          <t>No</t>
        </is>
      </c>
      <c r="AY255" s="10" t="inlineStr">
        <is>
          <t>Not Found</t>
        </is>
      </c>
      <c r="AZ255" s="10" t="inlineStr">
        <is>
          <t>Not Found</t>
        </is>
      </c>
      <c r="BA255" s="10" t="inlineStr">
        <is>
          <t>2026-09-16</t>
        </is>
      </c>
      <c r="BB255" s="10" t="inlineStr">
        <is>
          <t>Requires Verification</t>
        </is>
      </c>
      <c r="BC255" s="10" t="inlineStr">
        <is>
          <t>Low</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2026-09-16</t>
        </is>
      </c>
      <c r="BJ255" s="10" t="inlineStr">
        <is>
          <t>New</t>
        </is>
      </c>
      <c r="BK255" s="10" t="inlineStr">
        <is>
          <t>2026-09-16</t>
        </is>
      </c>
      <c r="BL255" s="10" t="inlineStr"/>
      <c r="BM255" s="10" t="inlineStr"/>
      <c r="BN255" s="10" t="inlineStr"/>
      <c r="BO255" s="10" t="inlineStr"/>
      <c r="BP255" s="10" t="inlineStr"/>
      <c r="BQ255" s="10" t="inlineStr"/>
    </row>
    <row r="256">
      <c r="A256" s="5" t="inlineStr">
        <is>
          <t>UK-000286</t>
        </is>
      </c>
      <c r="B256" s="5" t="inlineStr">
        <is>
          <t>UK-000286-01</t>
        </is>
      </c>
      <c r="C256" s="5" t="inlineStr"/>
      <c r="D256" s="5" t="inlineStr">
        <is>
          <t>The Vape Supermarket</t>
        </is>
      </c>
      <c r="E256" s="5" t="inlineStr">
        <is>
          <t>The Vape Supermarket</t>
        </is>
      </c>
      <c r="F256" s="5" t="inlineStr"/>
      <c r="G256" s="5" t="inlineStr">
        <is>
          <t>Vape Shop</t>
        </is>
      </c>
      <c r="H256" s="5" t="inlineStr">
        <is>
          <t>Vape shop</t>
        </is>
      </c>
      <c r="I256" s="5" t="inlineStr">
        <is>
          <t>Independent</t>
        </is>
      </c>
      <c r="J256" s="5" t="inlineStr">
        <is>
          <t>1</t>
        </is>
      </c>
      <c r="K256" s="5" t="inlineStr"/>
      <c r="L256" s="5" t="inlineStr">
        <is>
          <t>https://www.facebook.com/TheVapeSupermarket/</t>
        </is>
      </c>
      <c r="M256" s="5" t="inlineStr"/>
      <c r="N256" s="5" t="inlineStr"/>
      <c r="O256" s="5" t="inlineStr"/>
      <c r="P256" s="5" t="inlineStr"/>
      <c r="Q256" s="5" t="inlineStr">
        <is>
          <t>Barnsley</t>
        </is>
      </c>
      <c r="R256" s="5" t="inlineStr">
        <is>
          <t>South Yorkshire</t>
        </is>
      </c>
      <c r="S256" s="5" t="inlineStr"/>
      <c r="T256" s="5" t="inlineStr">
        <is>
          <t>Yorkshire &amp; Humber</t>
        </is>
      </c>
      <c r="U256" s="5" t="inlineStr">
        <is>
          <t>England</t>
        </is>
      </c>
      <c r="V256" s="5" t="inlineStr"/>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coils; e-liquids; devices; disposables</t>
        </is>
      </c>
      <c r="AL256" s="5" t="inlineStr"/>
      <c r="AM256" s="5" t="inlineStr">
        <is>
          <t>Vape Shop</t>
        </is>
      </c>
      <c r="AN256" s="5" t="inlineStr"/>
      <c r="AO256" s="5" t="inlineStr">
        <is>
          <t>Independent vape shop in Barnsley; Facebook page found. Street address/postcode not captured from search results.</t>
        </is>
      </c>
      <c r="AP256" s="5" t="inlineStr">
        <is>
          <t>Medium</t>
        </is>
      </c>
      <c r="AQ256" s="5" t="inlineStr">
        <is>
          <t>Independent retailer; Core relevant category; Social presence</t>
        </is>
      </c>
      <c r="AR256" s="5" t="inlineStr">
        <is>
          <t>https://www.facebook.com/TheVapeSupermarket/</t>
        </is>
      </c>
      <c r="AS256" s="5" t="inlineStr"/>
      <c r="AT256" s="5" t="inlineStr">
        <is>
          <t>1</t>
        </is>
      </c>
      <c r="AU256" s="5" t="inlineStr">
        <is>
          <t>No</t>
        </is>
      </c>
      <c r="AV256" s="5" t="inlineStr">
        <is>
          <t>No</t>
        </is>
      </c>
      <c r="AW256" s="5" t="inlineStr">
        <is>
          <t>No</t>
        </is>
      </c>
      <c r="AX256" s="5" t="inlineStr">
        <is>
          <t>No</t>
        </is>
      </c>
      <c r="AY256" s="5" t="inlineStr">
        <is>
          <t>Not Found</t>
        </is>
      </c>
      <c r="AZ256" s="5" t="inlineStr">
        <is>
          <t>Not Found</t>
        </is>
      </c>
      <c r="BA256" s="5" t="inlineStr">
        <is>
          <t>2026-09-16</t>
        </is>
      </c>
      <c r="BB256" s="5" t="inlineStr">
        <is>
          <t>Requires Verification</t>
        </is>
      </c>
      <c r="BC256" s="5" t="inlineStr">
        <is>
          <t>Low</t>
        </is>
      </c>
      <c r="BD256" s="5" t="inlineStr"/>
      <c r="BE256" s="5" t="inlineStr">
        <is>
          <t>Business (B2B)</t>
        </is>
      </c>
      <c r="BF256" s="5" t="inlineStr">
        <is>
          <t>Legitimate interest (B2B) - assess per campaign; PECR: corporate subscribers</t>
        </is>
      </c>
      <c r="BG256" s="5" t="inlineStr"/>
      <c r="BH256" s="5" t="inlineStr">
        <is>
          <t>No</t>
        </is>
      </c>
      <c r="BI256" s="5" t="inlineStr">
        <is>
          <t>2026-09-16</t>
        </is>
      </c>
      <c r="BJ256" s="5" t="inlineStr">
        <is>
          <t>New</t>
        </is>
      </c>
      <c r="BK256" s="5" t="inlineStr">
        <is>
          <t>2026-09-16</t>
        </is>
      </c>
      <c r="BL256" s="5" t="inlineStr"/>
      <c r="BM256" s="5" t="inlineStr"/>
      <c r="BN256" s="5" t="inlineStr"/>
      <c r="BO256" s="5" t="inlineStr"/>
      <c r="BP256" s="5" t="inlineStr"/>
      <c r="BQ256" s="5" t="inlineStr"/>
    </row>
    <row r="257">
      <c r="A257" s="10" t="inlineStr">
        <is>
          <t>UK-000287</t>
        </is>
      </c>
      <c r="B257" s="10" t="inlineStr">
        <is>
          <t>UK-000287-01</t>
        </is>
      </c>
      <c r="C257" s="10" t="inlineStr"/>
      <c r="D257" s="10" t="inlineStr">
        <is>
          <t>The Vapers Guild</t>
        </is>
      </c>
      <c r="E257" s="10" t="inlineStr">
        <is>
          <t>The Vapers Guild</t>
        </is>
      </c>
      <c r="F257" s="10" t="inlineStr"/>
      <c r="G257" s="10" t="inlineStr">
        <is>
          <t>Vape Shop</t>
        </is>
      </c>
      <c r="H257" s="10" t="inlineStr">
        <is>
          <t>E-cigarette and e-liquid shop</t>
        </is>
      </c>
      <c r="I257" s="10" t="inlineStr">
        <is>
          <t>Independent</t>
        </is>
      </c>
      <c r="J257" s="10" t="inlineStr">
        <is>
          <t>1</t>
        </is>
      </c>
      <c r="K257" s="10" t="inlineStr"/>
      <c r="L257" s="10" t="inlineStr"/>
      <c r="M257" s="10" t="inlineStr"/>
      <c r="N257" s="10" t="inlineStr"/>
      <c r="O257" s="10" t="inlineStr"/>
      <c r="P257" s="10" t="inlineStr"/>
      <c r="Q257" s="10" t="inlineStr">
        <is>
          <t>Kingston upon Hull</t>
        </is>
      </c>
      <c r="R257" s="10" t="inlineStr">
        <is>
          <t>East Riding of Yorkshire</t>
        </is>
      </c>
      <c r="S257" s="10" t="inlineStr"/>
      <c r="T257" s="10" t="inlineStr">
        <is>
          <t>Yorkshire &amp; Humber</t>
        </is>
      </c>
      <c r="U257" s="10" t="inlineStr">
        <is>
          <t>England</t>
        </is>
      </c>
      <c r="V257" s="10" t="inlineStr"/>
      <c r="W257" s="10" t="inlineStr"/>
      <c r="X257" s="10" t="inlineStr"/>
      <c r="Y257" s="10" t="inlineStr"/>
      <c r="Z257" s="10" t="inlineStr"/>
      <c r="AA257" s="10" t="inlineStr"/>
      <c r="AB257" s="10" t="inlineStr"/>
      <c r="AC257" s="10" t="inlineStr"/>
      <c r="AD257" s="10" t="inlineStr"/>
      <c r="AE257" s="10" t="inlineStr"/>
      <c r="AF257" s="10" t="inlineStr"/>
      <c r="AG257" s="10" t="inlineStr"/>
      <c r="AH257" s="10" t="inlineStr"/>
      <c r="AI257" s="10" t="inlineStr"/>
      <c r="AJ257" s="10" t="inlineStr"/>
      <c r="AK257" s="10" t="inlineStr">
        <is>
          <t>e-liquids; mods; starter kits; tanks</t>
        </is>
      </c>
      <c r="AL257" s="10" t="inlineStr"/>
      <c r="AM257" s="10" t="inlineStr">
        <is>
          <t>Vape Shop</t>
        </is>
      </c>
      <c r="AN257" s="10" t="inlineStr"/>
      <c r="AO257" s="10" t="inlineStr">
        <is>
          <t>Independent e-cig store within walking distance of Hull city centre per eCig Directory. No street address/phone in search results.</t>
        </is>
      </c>
      <c r="AP257" s="10" t="inlineStr">
        <is>
          <t>Medium</t>
        </is>
      </c>
      <c r="AQ257" s="10" t="inlineStr">
        <is>
          <t>Independent retailer; Core relevant category</t>
        </is>
      </c>
      <c r="AR257" s="10" t="inlineStr">
        <is>
          <t>https://ecigdirectory.co.uk/vape-shop/listing/the-vapers-guild-hull</t>
        </is>
      </c>
      <c r="AS257" s="10" t="inlineStr"/>
      <c r="AT257" s="10" t="inlineStr">
        <is>
          <t>1</t>
        </is>
      </c>
      <c r="AU257" s="10" t="inlineStr">
        <is>
          <t>No</t>
        </is>
      </c>
      <c r="AV257" s="10" t="inlineStr">
        <is>
          <t>No</t>
        </is>
      </c>
      <c r="AW257" s="10" t="inlineStr">
        <is>
          <t>No</t>
        </is>
      </c>
      <c r="AX257" s="10" t="inlineStr">
        <is>
          <t>No</t>
        </is>
      </c>
      <c r="AY257" s="10" t="inlineStr">
        <is>
          <t>Not Found</t>
        </is>
      </c>
      <c r="AZ257" s="10" t="inlineStr">
        <is>
          <t>Not Found</t>
        </is>
      </c>
      <c r="BA257" s="10" t="inlineStr">
        <is>
          <t>2026-09-16</t>
        </is>
      </c>
      <c r="BB257" s="10" t="inlineStr">
        <is>
          <t>Requires Verification</t>
        </is>
      </c>
      <c r="BC257" s="10" t="inlineStr">
        <is>
          <t>Low</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2026-09-16</t>
        </is>
      </c>
      <c r="BJ257" s="10" t="inlineStr">
        <is>
          <t>New</t>
        </is>
      </c>
      <c r="BK257" s="10" t="inlineStr">
        <is>
          <t>2026-09-16</t>
        </is>
      </c>
      <c r="BL257" s="10" t="inlineStr"/>
      <c r="BM257" s="10" t="inlineStr"/>
      <c r="BN257" s="10" t="inlineStr"/>
      <c r="BO257" s="10" t="inlineStr"/>
      <c r="BP257" s="10" t="inlineStr"/>
      <c r="BQ257" s="10" t="inlineStr"/>
    </row>
    <row r="258">
      <c r="A258" s="5" t="inlineStr">
        <is>
          <t>WY-0163</t>
        </is>
      </c>
      <c r="B258" s="5" t="inlineStr">
        <is>
          <t>WY-0163-01</t>
        </is>
      </c>
      <c r="C258" s="5" t="inlineStr"/>
      <c r="D258" s="5" t="inlineStr">
        <is>
          <t>The Vintage Vapour Co</t>
        </is>
      </c>
      <c r="E258" s="5" t="inlineStr">
        <is>
          <t>The Vintage Vapour Co</t>
        </is>
      </c>
      <c r="F258" s="5" t="inlineStr">
        <is>
          <t>The Vintage Vapour Co Ltd</t>
        </is>
      </c>
      <c r="G258" s="5" t="inlineStr">
        <is>
          <t>Vape Shop</t>
        </is>
      </c>
      <c r="H258" s="5" t="inlineStr">
        <is>
          <t>Vape retailer</t>
        </is>
      </c>
      <c r="I258" s="5" t="inlineStr">
        <is>
          <t>Independent</t>
        </is>
      </c>
      <c r="J258" s="5" t="inlineStr">
        <is>
          <t>1</t>
        </is>
      </c>
      <c r="K258" s="5" t="inlineStr"/>
      <c r="L258" s="5" t="inlineStr"/>
      <c r="M258" s="5" t="inlineStr"/>
      <c r="N258" s="5" t="inlineStr"/>
      <c r="O258" s="5" t="inlineStr">
        <is>
          <t>12 Town End</t>
        </is>
      </c>
      <c r="P258" s="5" t="inlineStr"/>
      <c r="Q258" s="5" t="inlineStr">
        <is>
          <t>Ossett</t>
        </is>
      </c>
      <c r="R258" s="5" t="inlineStr">
        <is>
          <t>West Yorkshire</t>
        </is>
      </c>
      <c r="S258" s="5" t="inlineStr">
        <is>
          <t>WF5 8BJ</t>
        </is>
      </c>
      <c r="T258" s="5" t="inlineStr">
        <is>
          <t>Yorkshire &amp; Humber</t>
        </is>
      </c>
      <c r="U258" s="5" t="inlineStr">
        <is>
          <t>England</t>
        </is>
      </c>
      <c r="V258" s="5" t="inlineStr"/>
      <c r="W258" s="5" t="inlineStr"/>
      <c r="X258" s="5" t="inlineStr"/>
      <c r="Y258" s="5" t="inlineStr"/>
      <c r="Z258" s="5" t="inlineStr"/>
      <c r="AA258" s="5" t="inlineStr"/>
      <c r="AB258" s="5" t="inlineStr"/>
      <c r="AC258" s="5" t="inlineStr"/>
      <c r="AD258" s="5" t="inlineStr"/>
      <c r="AE258" s="5" t="inlineStr"/>
      <c r="AF258" s="5" t="inlineStr"/>
      <c r="AG258" s="5" t="inlineStr"/>
      <c r="AH258" s="5" t="inlineStr"/>
      <c r="AI258" s="5" t="inlineStr"/>
      <c r="AJ258" s="5" t="inlineStr"/>
      <c r="AK258" s="5" t="inlineStr">
        <is>
          <t>vape hardware; e-liquids</t>
        </is>
      </c>
      <c r="AL258" s="5" t="inlineStr"/>
      <c r="AM258" s="5" t="inlineStr">
        <is>
          <t>Vape Shop</t>
        </is>
      </c>
      <c r="AN258" s="5" t="inlineStr"/>
      <c r="AO258" s="5" t="inlineStr">
        <is>
          <t>Listed in Vape Geezer West Yorkshire directory as 'The Vintage Vapour Co Ltd' - limited company suffix from the directory listing; Companies House record not yet verified.</t>
        </is>
      </c>
      <c r="AP258" s="5" t="inlineStr">
        <is>
          <t>Medium</t>
        </is>
      </c>
      <c r="AQ258" s="5" t="inlineStr">
        <is>
          <t>Independent retailer; Core relevant category</t>
        </is>
      </c>
      <c r="AR258" s="5" t="inlineStr">
        <is>
          <t>https://vapegeezer.co.uk/vape-shop-directory/locations/west-yorkshire/</t>
        </is>
      </c>
      <c r="AS258" s="5" t="inlineStr"/>
      <c r="AT258" s="5" t="inlineStr">
        <is>
          <t>1</t>
        </is>
      </c>
      <c r="AU258" s="5" t="inlineStr">
        <is>
          <t>No</t>
        </is>
      </c>
      <c r="AV258" s="5" t="inlineStr">
        <is>
          <t>No</t>
        </is>
      </c>
      <c r="AW258" s="5" t="inlineStr">
        <is>
          <t>No</t>
        </is>
      </c>
      <c r="AX258" s="5" t="inlineStr">
        <is>
          <t>No</t>
        </is>
      </c>
      <c r="AY258" s="5" t="inlineStr">
        <is>
          <t>Not Found</t>
        </is>
      </c>
      <c r="AZ258" s="5" t="inlineStr">
        <is>
          <t>Not Found</t>
        </is>
      </c>
      <c r="BA258" s="5" t="inlineStr">
        <is>
          <t>2026-09-16</t>
        </is>
      </c>
      <c r="BB258" s="5" t="inlineStr">
        <is>
          <t>Requires Verification</t>
        </is>
      </c>
      <c r="BC258" s="5" t="inlineStr">
        <is>
          <t>Low</t>
        </is>
      </c>
      <c r="BD258" s="5" t="inlineStr"/>
      <c r="BE258" s="5" t="inlineStr">
        <is>
          <t>Business (B2B)</t>
        </is>
      </c>
      <c r="BF258" s="5" t="inlineStr">
        <is>
          <t>Legitimate interest (B2B) - assess per campaign; PECR: corporate subscribers</t>
        </is>
      </c>
      <c r="BG258" s="5" t="inlineStr"/>
      <c r="BH258" s="5" t="inlineStr">
        <is>
          <t>No</t>
        </is>
      </c>
      <c r="BI258" s="5" t="inlineStr">
        <is>
          <t>2026-09-16</t>
        </is>
      </c>
      <c r="BJ258" s="5" t="inlineStr">
        <is>
          <t>New</t>
        </is>
      </c>
      <c r="BK258" s="5" t="inlineStr">
        <is>
          <t>2026-09-16</t>
        </is>
      </c>
      <c r="BL258" s="5" t="inlineStr"/>
      <c r="BM258" s="5" t="inlineStr"/>
      <c r="BN258" s="5" t="inlineStr"/>
      <c r="BO258" s="5" t="inlineStr"/>
      <c r="BP258" s="5" t="inlineStr"/>
      <c r="BQ258" s="5" t="inlineStr"/>
    </row>
    <row r="259">
      <c r="A259" s="10" t="inlineStr">
        <is>
          <t>WY-0164</t>
        </is>
      </c>
      <c r="B259" s="10" t="inlineStr">
        <is>
          <t>WY-0164-01</t>
        </is>
      </c>
      <c r="C259" s="10" t="inlineStr"/>
      <c r="D259" s="10" t="inlineStr">
        <is>
          <t>Thornhill Convenience Store</t>
        </is>
      </c>
      <c r="E259" s="10" t="inlineStr">
        <is>
          <t>Thornhill Convenience Store</t>
        </is>
      </c>
      <c r="F259" s="10" t="inlineStr"/>
      <c r="G259" s="10" t="inlineStr">
        <is>
          <t>Convenience Store</t>
        </is>
      </c>
      <c r="H259" s="10" t="inlineStr">
        <is>
          <t>Convenience store</t>
        </is>
      </c>
      <c r="I259" s="10" t="inlineStr">
        <is>
          <t>Independent</t>
        </is>
      </c>
      <c r="J259" s="10" t="inlineStr">
        <is>
          <t>1</t>
        </is>
      </c>
      <c r="K259" s="10" t="inlineStr"/>
      <c r="L259" s="10" t="inlineStr"/>
      <c r="M259" s="10" t="inlineStr"/>
      <c r="N259" s="10" t="inlineStr"/>
      <c r="O259" s="10" t="inlineStr">
        <is>
          <t>1b Brewery Lane</t>
        </is>
      </c>
      <c r="P259" s="10" t="inlineStr">
        <is>
          <t>Thornhill</t>
        </is>
      </c>
      <c r="Q259" s="10" t="inlineStr">
        <is>
          <t>Dewsbury</t>
        </is>
      </c>
      <c r="R259" s="10" t="inlineStr">
        <is>
          <t>West Yorkshire</t>
        </is>
      </c>
      <c r="S259" s="10" t="inlineStr">
        <is>
          <t>WF12 9DZ</t>
        </is>
      </c>
      <c r="T259" s="10" t="inlineStr">
        <is>
          <t>Yorkshire &amp; Humber</t>
        </is>
      </c>
      <c r="U259" s="10" t="inlineStr">
        <is>
          <t>England</t>
        </is>
      </c>
      <c r="V259" s="10" t="inlineStr">
        <is>
          <t>01924 462478</t>
        </is>
      </c>
      <c r="W259" s="10" t="inlineStr"/>
      <c r="X259" s="10" t="inlineStr"/>
      <c r="Y259" s="10" t="inlineStr"/>
      <c r="Z259" s="10" t="inlineStr"/>
      <c r="AA259" s="10" t="inlineStr"/>
      <c r="AB259" s="10" t="inlineStr"/>
      <c r="AC259" s="10" t="inlineStr"/>
      <c r="AD259" s="10" t="inlineStr"/>
      <c r="AE259" s="10" t="inlineStr"/>
      <c r="AF259" s="10" t="inlineStr"/>
      <c r="AG259" s="10" t="inlineStr"/>
      <c r="AH259" s="10" t="inlineStr"/>
      <c r="AI259" s="10" t="inlineStr"/>
      <c r="AJ259" s="10" t="inlineStr"/>
      <c r="AK259" s="10" t="inlineStr">
        <is>
          <t>convenience goods; groceries; tobacco</t>
        </is>
      </c>
      <c r="AL259" s="10" t="inlineStr"/>
      <c r="AM259" s="10" t="inlineStr">
        <is>
          <t>Convenience Store</t>
        </is>
      </c>
      <c r="AN259" s="10" t="inlineStr"/>
      <c r="AO259" s="10" t="inlineStr"/>
      <c r="AP259" s="10" t="inlineStr">
        <is>
          <t>Low</t>
        </is>
      </c>
      <c r="AQ259" s="10" t="inlineStr">
        <is>
          <t>Independent retailer; Relevant category</t>
        </is>
      </c>
      <c r="AR259" s="10" t="inlineStr">
        <is>
          <t>https://dewsbury.cylex-uk.co.uk/company/thornhill-convenience-store-28660320.html</t>
        </is>
      </c>
      <c r="AS259" s="10" t="inlineStr"/>
      <c r="AT259" s="10" t="inlineStr">
        <is>
          <t>1</t>
        </is>
      </c>
      <c r="AU259" s="10" t="inlineStr">
        <is>
          <t>No</t>
        </is>
      </c>
      <c r="AV259" s="10" t="inlineStr">
        <is>
          <t>No</t>
        </is>
      </c>
      <c r="AW259" s="10" t="inlineStr">
        <is>
          <t>No</t>
        </is>
      </c>
      <c r="AX259" s="10" t="inlineStr">
        <is>
          <t>No</t>
        </is>
      </c>
      <c r="AY259" s="10" t="inlineStr">
        <is>
          <t>Verified directory</t>
        </is>
      </c>
      <c r="AZ259" s="10" t="inlineStr">
        <is>
          <t>Not Found</t>
        </is>
      </c>
      <c r="BA259" s="10" t="inlineStr">
        <is>
          <t>2026-09-16</t>
        </is>
      </c>
      <c r="BB259" s="10" t="inlineStr">
        <is>
          <t>Requires Verification</t>
        </is>
      </c>
      <c r="BC259" s="10" t="inlineStr">
        <is>
          <t>Medium</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2026-09-16</t>
        </is>
      </c>
      <c r="BJ259" s="10" t="inlineStr">
        <is>
          <t>New</t>
        </is>
      </c>
      <c r="BK259" s="10" t="inlineStr">
        <is>
          <t>2026-09-16</t>
        </is>
      </c>
      <c r="BL259" s="10" t="inlineStr"/>
      <c r="BM259" s="10" t="inlineStr"/>
      <c r="BN259" s="10" t="inlineStr"/>
      <c r="BO259" s="10" t="inlineStr"/>
      <c r="BP259" s="10" t="inlineStr"/>
      <c r="BQ259" s="10" t="inlineStr"/>
    </row>
    <row r="260">
      <c r="A260" s="5" t="inlineStr">
        <is>
          <t>WY-0165</t>
        </is>
      </c>
      <c r="B260" s="5" t="inlineStr">
        <is>
          <t>WY-0165-01</t>
        </is>
      </c>
      <c r="C260" s="5" t="inlineStr"/>
      <c r="D260" s="5" t="inlineStr">
        <is>
          <t>Todmorden Newscentre</t>
        </is>
      </c>
      <c r="E260" s="5" t="inlineStr">
        <is>
          <t>Todmorden Newscentre (formerly Cryers News)</t>
        </is>
      </c>
      <c r="F260" s="5" t="inlineStr">
        <is>
          <t>TODMORDEN NEWS CENTRE LIMITED</t>
        </is>
      </c>
      <c r="G260" s="5" t="inlineStr">
        <is>
          <t>Newsagent</t>
        </is>
      </c>
      <c r="H260" s="5" t="inlineStr">
        <is>
          <t>Newsagent with Amazon Counter parcel service</t>
        </is>
      </c>
      <c r="I260" s="5" t="inlineStr">
        <is>
          <t>Independent</t>
        </is>
      </c>
      <c r="J260" s="5" t="inlineStr">
        <is>
          <t>1</t>
        </is>
      </c>
      <c r="K260" s="5" t="inlineStr"/>
      <c r="L260" s="5" t="inlineStr"/>
      <c r="M260" s="5" t="inlineStr"/>
      <c r="N260" s="5" t="inlineStr"/>
      <c r="O260" s="5" t="inlineStr">
        <is>
          <t>15 Bridge Street</t>
        </is>
      </c>
      <c r="P260" s="5" t="inlineStr"/>
      <c r="Q260" s="5" t="inlineStr">
        <is>
          <t>Todmorden</t>
        </is>
      </c>
      <c r="R260" s="5" t="inlineStr">
        <is>
          <t>West Yorkshire</t>
        </is>
      </c>
      <c r="S260" s="5" t="inlineStr">
        <is>
          <t>OL14 5AQ</t>
        </is>
      </c>
      <c r="T260" s="5" t="inlineStr">
        <is>
          <t>Yorkshire &amp; Humber</t>
        </is>
      </c>
      <c r="U260" s="5" t="inlineStr">
        <is>
          <t>England</t>
        </is>
      </c>
      <c r="V260" s="5" t="inlineStr">
        <is>
          <t>01706 819889</t>
        </is>
      </c>
      <c r="W260" s="5" t="inlineStr"/>
      <c r="X260" s="5" t="inlineStr"/>
      <c r="Y260" s="5" t="inlineStr"/>
      <c r="Z260" s="5" t="inlineStr"/>
      <c r="AA260" s="5" t="inlineStr"/>
      <c r="AB260" s="5" t="inlineStr"/>
      <c r="AC260" s="5" t="inlineStr"/>
      <c r="AD260" s="5" t="inlineStr"/>
      <c r="AE260" s="5" t="inlineStr">
        <is>
          <t>07292504</t>
        </is>
      </c>
      <c r="AF260" s="5" t="inlineStr">
        <is>
          <t>Active</t>
        </is>
      </c>
      <c r="AG260" s="5" t="inlineStr">
        <is>
          <t>TODMORDEN NEWS CENTRE LIMITED</t>
        </is>
      </c>
      <c r="AH260" s="5" t="inlineStr">
        <is>
          <t>15 Bridge Street, Todmorden, Lancashire, OL14 5AQ</t>
        </is>
      </c>
      <c r="AI260" s="5" t="inlineStr">
        <is>
          <t>2010-06-22</t>
        </is>
      </c>
      <c r="AJ260" s="5" t="inlineStr"/>
      <c r="AK260" s="5" t="inlineStr">
        <is>
          <t>news; tobacco; confectionery; convenience</t>
        </is>
      </c>
      <c r="AL260" s="5" t="inlineStr"/>
      <c r="AM260" s="5" t="inlineStr">
        <is>
          <t>Newsagent</t>
        </is>
      </c>
      <c r="AN260" s="5" t="inlineStr"/>
      <c r="AO260" s="5" t="inlineStr">
        <is>
          <t>SIC: retail sale in non-specialised stores with food, beverages or tobacco predominating. Micro company. Registered office address uses the historic 'Lancashire' postal county; the town is in Calderdale, West Yorkshire.</t>
        </is>
      </c>
      <c r="AP260" s="5" t="inlineStr">
        <is>
          <t>Low</t>
        </is>
      </c>
      <c r="AQ260" s="5" t="inlineStr">
        <is>
          <t>Independent retailer; Relevant category</t>
        </is>
      </c>
      <c r="AR260" s="5" t="inlineStr">
        <is>
          <t>https://find-and-update.company-information.service.gov.uk/company/07292504</t>
        </is>
      </c>
      <c r="AS260" s="5" t="inlineStr">
        <is>
          <t>https://www.yell.com/biz/todmorden-newscentre-ltd-formerly-cryers-news-todmorden-1105850/</t>
        </is>
      </c>
      <c r="AT260" s="5" t="inlineStr">
        <is>
          <t>3</t>
        </is>
      </c>
      <c r="AU260" s="5" t="inlineStr">
        <is>
          <t>No</t>
        </is>
      </c>
      <c r="AV260" s="5" t="inlineStr">
        <is>
          <t>No</t>
        </is>
      </c>
      <c r="AW260" s="5" t="inlineStr">
        <is>
          <t>No</t>
        </is>
      </c>
      <c r="AX260" s="5" t="inlineStr">
        <is>
          <t>Yes</t>
        </is>
      </c>
      <c r="AY260" s="5" t="inlineStr">
        <is>
          <t>Verified directory</t>
        </is>
      </c>
      <c r="AZ260" s="5" t="inlineStr">
        <is>
          <t>Not Found</t>
        </is>
      </c>
      <c r="BA260" s="5" t="inlineStr">
        <is>
          <t>2026-09-16</t>
        </is>
      </c>
      <c r="BB260" s="5" t="inlineStr">
        <is>
          <t>Partially Verified</t>
        </is>
      </c>
      <c r="BC260" s="5" t="inlineStr">
        <is>
          <t>Medium</t>
        </is>
      </c>
      <c r="BD260" s="5" t="inlineStr"/>
      <c r="BE260" s="5" t="inlineStr">
        <is>
          <t>Business (B2B)</t>
        </is>
      </c>
      <c r="BF260" s="5" t="inlineStr">
        <is>
          <t>Legitimate interest (B2B) - assess per campaign; PECR: corporate subscribers</t>
        </is>
      </c>
      <c r="BG260" s="5" t="inlineStr"/>
      <c r="BH260" s="5" t="inlineStr">
        <is>
          <t>No</t>
        </is>
      </c>
      <c r="BI260" s="5" t="inlineStr">
        <is>
          <t>2026-09-16</t>
        </is>
      </c>
      <c r="BJ260" s="5" t="inlineStr">
        <is>
          <t>New</t>
        </is>
      </c>
      <c r="BK260" s="5" t="inlineStr">
        <is>
          <t>2026-09-16</t>
        </is>
      </c>
      <c r="BL260" s="5" t="inlineStr"/>
      <c r="BM260" s="5" t="inlineStr"/>
      <c r="BN260" s="5" t="inlineStr"/>
      <c r="BO260" s="5" t="inlineStr"/>
      <c r="BP260" s="5" t="inlineStr"/>
      <c r="BQ260" s="5" t="inlineStr"/>
    </row>
    <row r="261">
      <c r="A261" s="10" t="inlineStr">
        <is>
          <t>WY-0166</t>
        </is>
      </c>
      <c r="B261" s="10" t="inlineStr">
        <is>
          <t>WY-0166-01</t>
        </is>
      </c>
      <c r="C261" s="10" t="inlineStr"/>
      <c r="D261" s="10" t="inlineStr">
        <is>
          <t>Told Vape Co</t>
        </is>
      </c>
      <c r="E261" s="10" t="inlineStr">
        <is>
          <t>Told Vape Co</t>
        </is>
      </c>
      <c r="F261" s="10" t="inlineStr"/>
      <c r="G261" s="10" t="inlineStr">
        <is>
          <t>Vape Shop</t>
        </is>
      </c>
      <c r="H261" s="10" t="inlineStr">
        <is>
          <t>Vape retailer</t>
        </is>
      </c>
      <c r="I261" s="10" t="inlineStr">
        <is>
          <t>Independent</t>
        </is>
      </c>
      <c r="J261" s="10" t="inlineStr">
        <is>
          <t>1</t>
        </is>
      </c>
      <c r="K261" s="10" t="inlineStr"/>
      <c r="L261" s="10" t="inlineStr"/>
      <c r="M261" s="10" t="inlineStr"/>
      <c r="N261" s="10" t="inlineStr"/>
      <c r="O261" s="10" t="inlineStr">
        <is>
          <t>29 Queen Street</t>
        </is>
      </c>
      <c r="P261" s="10" t="inlineStr"/>
      <c r="Q261" s="10" t="inlineStr">
        <is>
          <t>Horbury</t>
        </is>
      </c>
      <c r="R261" s="10" t="inlineStr">
        <is>
          <t>West Yorkshire</t>
        </is>
      </c>
      <c r="S261" s="10" t="inlineStr">
        <is>
          <t>WF4 6LP</t>
        </is>
      </c>
      <c r="T261" s="10" t="inlineStr">
        <is>
          <t>Yorkshire &amp; Humber</t>
        </is>
      </c>
      <c r="U261" s="10" t="inlineStr">
        <is>
          <t>England</t>
        </is>
      </c>
      <c r="V261" s="10" t="inlineStr"/>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vape hardware; e-liquids</t>
        </is>
      </c>
      <c r="AL261" s="10" t="inlineStr"/>
      <c r="AM261" s="10" t="inlineStr">
        <is>
          <t>Vape Shop</t>
        </is>
      </c>
      <c r="AN261" s="10" t="inlineStr"/>
      <c r="AO261" s="10" t="inlineStr">
        <is>
          <t>Independent vape shop on Horbury high street (Queen Street).</t>
        </is>
      </c>
      <c r="AP261" s="10" t="inlineStr">
        <is>
          <t>Medium</t>
        </is>
      </c>
      <c r="AQ261" s="10" t="inlineStr">
        <is>
          <t>Independent retailer; Core relevant category</t>
        </is>
      </c>
      <c r="AR261" s="10" t="inlineStr">
        <is>
          <t>https://ecigdirectory.co.uk/vape-shop/listing/told-vape-co</t>
        </is>
      </c>
      <c r="AS261" s="10" t="inlineStr"/>
      <c r="AT261" s="10" t="inlineStr">
        <is>
          <t>1</t>
        </is>
      </c>
      <c r="AU261" s="10" t="inlineStr">
        <is>
          <t>No</t>
        </is>
      </c>
      <c r="AV261" s="10" t="inlineStr">
        <is>
          <t>No</t>
        </is>
      </c>
      <c r="AW261" s="10" t="inlineStr">
        <is>
          <t>No</t>
        </is>
      </c>
      <c r="AX261" s="10" t="inlineStr">
        <is>
          <t>No</t>
        </is>
      </c>
      <c r="AY261" s="10" t="inlineStr">
        <is>
          <t>Not Found</t>
        </is>
      </c>
      <c r="AZ261" s="10" t="inlineStr">
        <is>
          <t>Not Found</t>
        </is>
      </c>
      <c r="BA261" s="10" t="inlineStr">
        <is>
          <t>2026-09-16</t>
        </is>
      </c>
      <c r="BB261" s="10" t="inlineStr">
        <is>
          <t>Requires Verification</t>
        </is>
      </c>
      <c r="BC261" s="10" t="inlineStr">
        <is>
          <t>Medium</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2026-09-16</t>
        </is>
      </c>
      <c r="BJ261" s="10" t="inlineStr">
        <is>
          <t>New</t>
        </is>
      </c>
      <c r="BK261" s="10" t="inlineStr">
        <is>
          <t>2026-09-16</t>
        </is>
      </c>
      <c r="BL261" s="10" t="inlineStr"/>
      <c r="BM261" s="10" t="inlineStr"/>
      <c r="BN261" s="10" t="inlineStr"/>
      <c r="BO261" s="10" t="inlineStr"/>
      <c r="BP261" s="10" t="inlineStr"/>
      <c r="BQ261" s="10" t="inlineStr"/>
    </row>
    <row r="262">
      <c r="A262" s="5" t="inlineStr">
        <is>
          <t>WY-0167</t>
        </is>
      </c>
      <c r="B262" s="5" t="inlineStr">
        <is>
          <t>WY-0167-01</t>
        </is>
      </c>
      <c r="C262" s="5" t="inlineStr"/>
      <c r="D262" s="5" t="inlineStr">
        <is>
          <t>Top Shelf Off Licence</t>
        </is>
      </c>
      <c r="E262" s="5" t="inlineStr">
        <is>
          <t>Top Shelf Off Licence</t>
        </is>
      </c>
      <c r="F262" s="5" t="inlineStr"/>
      <c r="G262" s="5" t="inlineStr">
        <is>
          <t>Off-Licence</t>
        </is>
      </c>
      <c r="H262" s="5" t="inlineStr">
        <is>
          <t>Off-licence</t>
        </is>
      </c>
      <c r="I262" s="5" t="inlineStr">
        <is>
          <t>Independent</t>
        </is>
      </c>
      <c r="J262" s="5" t="inlineStr">
        <is>
          <t>1</t>
        </is>
      </c>
      <c r="K262" s="5" t="inlineStr"/>
      <c r="L262" s="5" t="inlineStr"/>
      <c r="M262" s="5" t="inlineStr"/>
      <c r="N262" s="5" t="inlineStr"/>
      <c r="O262" s="5" t="inlineStr">
        <is>
          <t>557 Leeds Road</t>
        </is>
      </c>
      <c r="P262" s="5" t="inlineStr">
        <is>
          <t>Outwood</t>
        </is>
      </c>
      <c r="Q262" s="5" t="inlineStr">
        <is>
          <t>Wakefield</t>
        </is>
      </c>
      <c r="R262" s="5" t="inlineStr">
        <is>
          <t>West Yorkshire</t>
        </is>
      </c>
      <c r="S262" s="5" t="inlineStr">
        <is>
          <t>WF1 2JL</t>
        </is>
      </c>
      <c r="T262" s="5" t="inlineStr">
        <is>
          <t>Yorkshire &amp; Humber</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alcohol; tobacco; convenience</t>
        </is>
      </c>
      <c r="AL262" s="5" t="inlineStr"/>
      <c r="AM262" s="5" t="inlineStr">
        <is>
          <t>Off-Licence</t>
        </is>
      </c>
      <c r="AN262" s="5" t="inlineStr"/>
      <c r="AO262" s="5" t="inlineStr">
        <is>
          <t>Address surfaced from Wakefield Council food-hygiene-derived listings in search results.</t>
        </is>
      </c>
      <c r="AP262" s="5" t="inlineStr">
        <is>
          <t>Low</t>
        </is>
      </c>
      <c r="AQ262" s="5" t="inlineStr">
        <is>
          <t>Independent retailer; Relevant category</t>
        </is>
      </c>
      <c r="AR262" s="5" t="inlineStr">
        <is>
          <t>https://www.foodhygienerankings.co.uk/authorities/wakefield</t>
        </is>
      </c>
      <c r="AS262" s="5" t="inlineStr"/>
      <c r="AT262" s="5" t="inlineStr">
        <is>
          <t>1</t>
        </is>
      </c>
      <c r="AU262" s="5" t="inlineStr">
        <is>
          <t>No</t>
        </is>
      </c>
      <c r="AV262" s="5" t="inlineStr">
        <is>
          <t>No</t>
        </is>
      </c>
      <c r="AW262" s="5" t="inlineStr">
        <is>
          <t>No</t>
        </is>
      </c>
      <c r="AX262" s="5" t="inlineStr">
        <is>
          <t>No</t>
        </is>
      </c>
      <c r="AY262" s="5" t="inlineStr">
        <is>
          <t>Not Found</t>
        </is>
      </c>
      <c r="AZ262" s="5" t="inlineStr">
        <is>
          <t>Not Found</t>
        </is>
      </c>
      <c r="BA262" s="5" t="inlineStr">
        <is>
          <t>2026-09-16</t>
        </is>
      </c>
      <c r="BB262" s="5" t="inlineStr">
        <is>
          <t>Requires Verification</t>
        </is>
      </c>
      <c r="BC262" s="5" t="inlineStr">
        <is>
          <t>Low</t>
        </is>
      </c>
      <c r="BD262" s="5" t="inlineStr"/>
      <c r="BE262" s="5" t="inlineStr">
        <is>
          <t>Business (B2B)</t>
        </is>
      </c>
      <c r="BF262" s="5" t="inlineStr">
        <is>
          <t>Legitimate interest (B2B) - assess per campaign; PECR: corporate subscribers</t>
        </is>
      </c>
      <c r="BG262" s="5" t="inlineStr"/>
      <c r="BH262" s="5" t="inlineStr">
        <is>
          <t>No</t>
        </is>
      </c>
      <c r="BI262" s="5" t="inlineStr">
        <is>
          <t>2026-09-16</t>
        </is>
      </c>
      <c r="BJ262" s="5" t="inlineStr">
        <is>
          <t>New</t>
        </is>
      </c>
      <c r="BK262" s="5" t="inlineStr">
        <is>
          <t>2026-09-16</t>
        </is>
      </c>
      <c r="BL262" s="5" t="inlineStr"/>
      <c r="BM262" s="5" t="inlineStr"/>
      <c r="BN262" s="5" t="inlineStr"/>
      <c r="BO262" s="5" t="inlineStr"/>
      <c r="BP262" s="5" t="inlineStr"/>
      <c r="BQ262" s="5" t="inlineStr"/>
    </row>
    <row r="263">
      <c r="A263" s="10" t="inlineStr">
        <is>
          <t>WY-0168</t>
        </is>
      </c>
      <c r="B263" s="10" t="inlineStr">
        <is>
          <t>WY-0168-01</t>
        </is>
      </c>
      <c r="C263" s="10" t="inlineStr"/>
      <c r="D263" s="10" t="inlineStr">
        <is>
          <t>Turners Food &amp; Wine</t>
        </is>
      </c>
      <c r="E263" s="10" t="inlineStr">
        <is>
          <t>Turners Food &amp; Wine</t>
        </is>
      </c>
      <c r="F263" s="10" t="inlineStr">
        <is>
          <t>Turners Food &amp; Wine Ltd</t>
        </is>
      </c>
      <c r="G263" s="10" t="inlineStr">
        <is>
          <t>Convenience Store</t>
        </is>
      </c>
      <c r="H263" s="10" t="inlineStr">
        <is>
          <t>Convenience store with off-licence</t>
        </is>
      </c>
      <c r="I263" s="10" t="inlineStr">
        <is>
          <t>Independent</t>
        </is>
      </c>
      <c r="J263" s="10" t="inlineStr">
        <is>
          <t>1</t>
        </is>
      </c>
      <c r="K263" s="10" t="inlineStr"/>
      <c r="L263" s="10" t="inlineStr"/>
      <c r="M263" s="10" t="inlineStr"/>
      <c r="N263" s="10" t="inlineStr"/>
      <c r="O263" s="10" t="inlineStr"/>
      <c r="P263" s="10" t="inlineStr">
        <is>
          <t>Beeston</t>
        </is>
      </c>
      <c r="Q263" s="10" t="inlineStr">
        <is>
          <t>Leeds</t>
        </is>
      </c>
      <c r="R263" s="10" t="inlineStr">
        <is>
          <t>West Yorkshire</t>
        </is>
      </c>
      <c r="S263" s="10" t="inlineStr"/>
      <c r="T263" s="10" t="inlineStr">
        <is>
          <t>Yorkshire &amp; Humber</t>
        </is>
      </c>
      <c r="U263" s="10" t="inlineStr">
        <is>
          <t>England</t>
        </is>
      </c>
      <c r="V263" s="10" t="inlineStr"/>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groceries; alcohol</t>
        </is>
      </c>
      <c r="AL263" s="10" t="inlineStr"/>
      <c r="AM263" s="10" t="inlineStr">
        <is>
          <t>Convenience Store</t>
        </is>
      </c>
      <c r="AN263" s="10" t="inlineStr"/>
      <c r="AO263" s="10" t="inlineStr">
        <is>
          <t>Local convenience store in Beeston listed as 'Turners Food &amp; Wine Ltd' (limited company) in Yorkshire.com off-licence listings; street address not captured - follow up.</t>
        </is>
      </c>
      <c r="AP263" s="10" t="inlineStr">
        <is>
          <t>Low</t>
        </is>
      </c>
      <c r="AQ263" s="10" t="inlineStr">
        <is>
          <t>Independent retailer; Relevant category</t>
        </is>
      </c>
      <c r="AR263" s="10" t="inlineStr">
        <is>
          <t>https://www.yorkshire.com/leeds/shopping/off-license</t>
        </is>
      </c>
      <c r="AS263" s="10" t="inlineStr"/>
      <c r="AT263" s="10" t="inlineStr">
        <is>
          <t>1</t>
        </is>
      </c>
      <c r="AU263" s="10" t="inlineStr">
        <is>
          <t>No</t>
        </is>
      </c>
      <c r="AV263" s="10" t="inlineStr">
        <is>
          <t>No</t>
        </is>
      </c>
      <c r="AW263" s="10" t="inlineStr">
        <is>
          <t>No</t>
        </is>
      </c>
      <c r="AX263" s="10" t="inlineStr">
        <is>
          <t>No</t>
        </is>
      </c>
      <c r="AY263" s="10" t="inlineStr">
        <is>
          <t>Not Found</t>
        </is>
      </c>
      <c r="AZ263" s="10" t="inlineStr">
        <is>
          <t>Not Found</t>
        </is>
      </c>
      <c r="BA263" s="10" t="inlineStr">
        <is>
          <t>2026-09-16</t>
        </is>
      </c>
      <c r="BB263" s="10" t="inlineStr">
        <is>
          <t>Requires Verification</t>
        </is>
      </c>
      <c r="BC263" s="10" t="inlineStr">
        <is>
          <t>Low</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2026-09-16</t>
        </is>
      </c>
      <c r="BJ263" s="10" t="inlineStr">
        <is>
          <t>New</t>
        </is>
      </c>
      <c r="BK263" s="10" t="inlineStr">
        <is>
          <t>2026-09-16</t>
        </is>
      </c>
      <c r="BL263" s="10" t="inlineStr"/>
      <c r="BM263" s="10" t="inlineStr"/>
      <c r="BN263" s="10" t="inlineStr"/>
      <c r="BO263" s="10" t="inlineStr"/>
      <c r="BP263" s="10" t="inlineStr"/>
      <c r="BQ263" s="10" t="inlineStr"/>
    </row>
    <row r="264">
      <c r="A264" s="5" t="inlineStr">
        <is>
          <t>WY-0169</t>
        </is>
      </c>
      <c r="B264" s="5" t="inlineStr">
        <is>
          <t>WY-0169-01</t>
        </is>
      </c>
      <c r="C264" s="5" t="inlineStr"/>
      <c r="D264" s="5" t="inlineStr">
        <is>
          <t>Tylor's Booze</t>
        </is>
      </c>
      <c r="E264" s="5" t="inlineStr">
        <is>
          <t>Tylor's Booze</t>
        </is>
      </c>
      <c r="F264" s="5" t="inlineStr">
        <is>
          <t>Tylor Booze Shop Ltd</t>
        </is>
      </c>
      <c r="G264" s="5" t="inlineStr">
        <is>
          <t>Off-Licence</t>
        </is>
      </c>
      <c r="H264" s="5" t="inlineStr">
        <is>
          <t>Off-licence</t>
        </is>
      </c>
      <c r="I264" s="5" t="inlineStr">
        <is>
          <t>Independent</t>
        </is>
      </c>
      <c r="J264" s="5" t="inlineStr">
        <is>
          <t>1</t>
        </is>
      </c>
      <c r="K264" s="5" t="inlineStr"/>
      <c r="L264" s="5" t="inlineStr"/>
      <c r="M264" s="5" t="inlineStr"/>
      <c r="N264" s="5" t="inlineStr"/>
      <c r="O264" s="5" t="inlineStr">
        <is>
          <t>33 Albion Street</t>
        </is>
      </c>
      <c r="P264" s="5" t="inlineStr"/>
      <c r="Q264" s="5" t="inlineStr">
        <is>
          <t>Castleford</t>
        </is>
      </c>
      <c r="R264" s="5" t="inlineStr">
        <is>
          <t>West Yorkshire</t>
        </is>
      </c>
      <c r="S264" s="5" t="inlineStr">
        <is>
          <t>WF10 1EG</t>
        </is>
      </c>
      <c r="T264" s="5" t="inlineStr">
        <is>
          <t>Yorkshire &amp; Humber</t>
        </is>
      </c>
      <c r="U264" s="5" t="inlineStr">
        <is>
          <t>England</t>
        </is>
      </c>
      <c r="V264" s="5" t="inlineStr"/>
      <c r="W264" s="5" t="inlineStr"/>
      <c r="X264" s="5" t="inlineStr"/>
      <c r="Y264" s="5" t="inlineStr"/>
      <c r="Z264" s="5" t="inlineStr"/>
      <c r="AA264" s="5" t="inlineStr"/>
      <c r="AB264" s="5" t="inlineStr"/>
      <c r="AC264" s="5" t="inlineStr"/>
      <c r="AD264" s="5" t="inlineStr"/>
      <c r="AE264" s="5" t="inlineStr">
        <is>
          <t>12100725</t>
        </is>
      </c>
      <c r="AF264" s="5" t="inlineStr">
        <is>
          <t>Active</t>
        </is>
      </c>
      <c r="AG264" s="5" t="inlineStr">
        <is>
          <t>TYLOR BOOZE SHOP LTD</t>
        </is>
      </c>
      <c r="AH264" s="5" t="inlineStr"/>
      <c r="AI264" s="5" t="inlineStr">
        <is>
          <t>2019-07-12</t>
        </is>
      </c>
      <c r="AJ264" s="5" t="inlineStr"/>
      <c r="AK264" s="5" t="inlineStr">
        <is>
          <t>alcohol; spirits; convenience</t>
        </is>
      </c>
      <c r="AL264" s="5" t="inlineStr"/>
      <c r="AM264" s="5" t="inlineStr">
        <is>
          <t>Off-Licence</t>
        </is>
      </c>
      <c r="AN264" s="5" t="inlineStr"/>
      <c r="AO264" s="5"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264" s="5" t="inlineStr">
        <is>
          <t>Low</t>
        </is>
      </c>
      <c r="AQ264" s="5" t="inlineStr">
        <is>
          <t>Independent retailer; Relevant category</t>
        </is>
      </c>
      <c r="AR264" s="5" t="inlineStr">
        <is>
          <t>https://find-and-update.company-information.service.gov.uk/company/12100725</t>
        </is>
      </c>
      <c r="AS264" s="5" t="inlineStr">
        <is>
          <t>https://www.yorkshire.com/castleford/shopping/off-license/tylors-booze</t>
        </is>
      </c>
      <c r="AT264" s="5" t="inlineStr">
        <is>
          <t>4</t>
        </is>
      </c>
      <c r="AU264" s="5" t="inlineStr">
        <is>
          <t>No</t>
        </is>
      </c>
      <c r="AV264" s="5" t="inlineStr">
        <is>
          <t>No</t>
        </is>
      </c>
      <c r="AW264" s="5" t="inlineStr">
        <is>
          <t>No</t>
        </is>
      </c>
      <c r="AX264" s="5" t="inlineStr">
        <is>
          <t>Yes</t>
        </is>
      </c>
      <c r="AY264" s="5" t="inlineStr">
        <is>
          <t>Not Found</t>
        </is>
      </c>
      <c r="AZ264" s="5" t="inlineStr">
        <is>
          <t>Not Found</t>
        </is>
      </c>
      <c r="BA264" s="5" t="inlineStr">
        <is>
          <t>2026-09-16</t>
        </is>
      </c>
      <c r="BB264" s="5" t="inlineStr">
        <is>
          <t>Partially Verified</t>
        </is>
      </c>
      <c r="BC264" s="5" t="inlineStr">
        <is>
          <t>Medium</t>
        </is>
      </c>
      <c r="BD264" s="5" t="inlineStr"/>
      <c r="BE264" s="5" t="inlineStr">
        <is>
          <t>Business (B2B)</t>
        </is>
      </c>
      <c r="BF264" s="5" t="inlineStr">
        <is>
          <t>Legitimate interest (B2B) - assess per campaign; PECR: corporate subscribers</t>
        </is>
      </c>
      <c r="BG264" s="5" t="inlineStr"/>
      <c r="BH264" s="5" t="inlineStr">
        <is>
          <t>No</t>
        </is>
      </c>
      <c r="BI264" s="5" t="inlineStr">
        <is>
          <t>2026-09-16</t>
        </is>
      </c>
      <c r="BJ264" s="5" t="inlineStr">
        <is>
          <t>New</t>
        </is>
      </c>
      <c r="BK264" s="5" t="inlineStr">
        <is>
          <t>2026-09-16</t>
        </is>
      </c>
      <c r="BL264" s="5" t="inlineStr"/>
      <c r="BM264" s="5" t="inlineStr"/>
      <c r="BN264" s="5" t="inlineStr"/>
      <c r="BO264" s="5" t="inlineStr"/>
      <c r="BP264" s="5" t="inlineStr"/>
      <c r="BQ264" s="5" t="inlineStr"/>
    </row>
    <row r="265">
      <c r="A265" s="10" t="inlineStr">
        <is>
          <t>WY-0170</t>
        </is>
      </c>
      <c r="B265" s="10" t="inlineStr">
        <is>
          <t>WY-0170-01</t>
        </is>
      </c>
      <c r="C265" s="10" t="inlineStr"/>
      <c r="D265" s="10" t="inlineStr">
        <is>
          <t>Umrah Supermarket</t>
        </is>
      </c>
      <c r="E265" s="10" t="inlineStr">
        <is>
          <t>Umrah Supermarket</t>
        </is>
      </c>
      <c r="F265" s="10" t="inlineStr"/>
      <c r="G265" s="10" t="inlineStr">
        <is>
          <t>Independent Supermarket</t>
        </is>
      </c>
      <c r="H265" s="10" t="inlineStr">
        <is>
          <t>South Asian, Middle Eastern and African foods supermarket</t>
        </is>
      </c>
      <c r="I265" s="10" t="inlineStr">
        <is>
          <t>Independent</t>
        </is>
      </c>
      <c r="J265" s="10" t="inlineStr">
        <is>
          <t>1</t>
        </is>
      </c>
      <c r="K265" s="10" t="inlineStr"/>
      <c r="L265" s="10" t="inlineStr">
        <is>
          <t>https://www.facebook.com/p/Umrah-Supermarket-Huddersfield-61555683256072/</t>
        </is>
      </c>
      <c r="M265" s="10" t="inlineStr"/>
      <c r="N265" s="10" t="inlineStr"/>
      <c r="O265" s="10" t="inlineStr">
        <is>
          <t>Trinity Street</t>
        </is>
      </c>
      <c r="P265" s="10" t="inlineStr"/>
      <c r="Q265" s="10" t="inlineStr">
        <is>
          <t>Huddersfield</t>
        </is>
      </c>
      <c r="R265" s="10" t="inlineStr">
        <is>
          <t>West Yorkshire</t>
        </is>
      </c>
      <c r="S265" s="10" t="inlineStr"/>
      <c r="T265" s="10" t="inlineStr">
        <is>
          <t>Yorkshire &amp; Humber</t>
        </is>
      </c>
      <c r="U265" s="10" t="inlineStr">
        <is>
          <t>England</t>
        </is>
      </c>
      <c r="V265" s="10" t="inlineStr"/>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South Asian, Middle Eastern and African groceries; halal foods</t>
        </is>
      </c>
      <c r="AL265" s="10" t="inlineStr"/>
      <c r="AM265" s="10" t="inlineStr">
        <is>
          <t>Independent Supermarket</t>
        </is>
      </c>
      <c r="AN265" s="10" t="inlineStr"/>
      <c r="AO265" s="10" t="inlineStr">
        <is>
          <t>Open 08:00-22:00 Mon-Sat, 12:00-21:00 Sun per Yorkshire.com; street number and phone not published in accessible sources.</t>
        </is>
      </c>
      <c r="AP265" s="10" t="inlineStr">
        <is>
          <t>Medium</t>
        </is>
      </c>
      <c r="AQ265" s="10" t="inlineStr">
        <is>
          <t>Independent retailer; Relevant category; Social presence</t>
        </is>
      </c>
      <c r="AR265" s="10" t="inlineStr">
        <is>
          <t>https://www.facebook.com/p/Umrah-Supermarket-Huddersfield-61555683256072/</t>
        </is>
      </c>
      <c r="AS265" s="10" t="inlineStr">
        <is>
          <t>https://www.yorkshire.com/huddersfield/shopping/supermarkets/umrah-supermarket-huddersfield</t>
        </is>
      </c>
      <c r="AT265" s="10" t="inlineStr">
        <is>
          <t>2</t>
        </is>
      </c>
      <c r="AU265" s="10" t="inlineStr">
        <is>
          <t>No</t>
        </is>
      </c>
      <c r="AV265" s="10" t="inlineStr">
        <is>
          <t>No</t>
        </is>
      </c>
      <c r="AW265" s="10" t="inlineStr">
        <is>
          <t>No</t>
        </is>
      </c>
      <c r="AX265" s="10" t="inlineStr">
        <is>
          <t>No</t>
        </is>
      </c>
      <c r="AY265" s="10" t="inlineStr">
        <is>
          <t>Not Found</t>
        </is>
      </c>
      <c r="AZ265" s="10" t="inlineStr">
        <is>
          <t>Not Found</t>
        </is>
      </c>
      <c r="BA265" s="10" t="inlineStr">
        <is>
          <t>2026-09-16</t>
        </is>
      </c>
      <c r="BB265" s="10" t="inlineStr">
        <is>
          <t>Requires Verification</t>
        </is>
      </c>
      <c r="BC265" s="10" t="inlineStr">
        <is>
          <t>Low</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2026-09-16</t>
        </is>
      </c>
      <c r="BJ265" s="10" t="inlineStr">
        <is>
          <t>New</t>
        </is>
      </c>
      <c r="BK265" s="10" t="inlineStr">
        <is>
          <t>2026-09-16</t>
        </is>
      </c>
      <c r="BL265" s="10" t="inlineStr"/>
      <c r="BM265" s="10" t="inlineStr"/>
      <c r="BN265" s="10" t="inlineStr"/>
      <c r="BO265" s="10" t="inlineStr"/>
      <c r="BP265" s="10" t="inlineStr"/>
      <c r="BQ265" s="10" t="inlineStr"/>
    </row>
    <row r="266">
      <c r="A266" s="5" t="inlineStr">
        <is>
          <t>WY-0171</t>
        </is>
      </c>
      <c r="B266" s="5" t="inlineStr">
        <is>
          <t>WY-0171-01</t>
        </is>
      </c>
      <c r="C266" s="5" t="inlineStr"/>
      <c r="D266" s="5" t="inlineStr">
        <is>
          <t>VAPE (Heckmondwike)</t>
        </is>
      </c>
      <c r="E266" s="5" t="inlineStr">
        <is>
          <t>VAPE</t>
        </is>
      </c>
      <c r="F266" s="5" t="inlineStr"/>
      <c r="G266" s="5" t="inlineStr">
        <is>
          <t>Vape Shop</t>
        </is>
      </c>
      <c r="H266" s="5" t="inlineStr">
        <is>
          <t>Vape retailer</t>
        </is>
      </c>
      <c r="I266" s="5" t="inlineStr">
        <is>
          <t>Independent</t>
        </is>
      </c>
      <c r="J266" s="5" t="inlineStr">
        <is>
          <t>1</t>
        </is>
      </c>
      <c r="K266" s="5" t="inlineStr"/>
      <c r="L266" s="5" t="inlineStr"/>
      <c r="M266" s="5" t="inlineStr"/>
      <c r="N266" s="5" t="inlineStr"/>
      <c r="O266" s="5" t="inlineStr">
        <is>
          <t>36 Market Street</t>
        </is>
      </c>
      <c r="P266" s="5" t="inlineStr"/>
      <c r="Q266" s="5" t="inlineStr">
        <is>
          <t>Heckmondwike</t>
        </is>
      </c>
      <c r="R266" s="5" t="inlineStr">
        <is>
          <t>West Yorkshire</t>
        </is>
      </c>
      <c r="S266" s="5" t="inlineStr">
        <is>
          <t>WF16 0JG</t>
        </is>
      </c>
      <c r="T266" s="5" t="inlineStr">
        <is>
          <t>Yorkshire &amp; Humber</t>
        </is>
      </c>
      <c r="U266" s="5" t="inlineStr">
        <is>
          <t>England</t>
        </is>
      </c>
      <c r="V266" s="5" t="inlineStr">
        <is>
          <t>01924 650140</t>
        </is>
      </c>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vape hardware; e-liquids; disposable vapes</t>
        </is>
      </c>
      <c r="AL266" s="5" t="inlineStr"/>
      <c r="AM266" s="5" t="inlineStr">
        <is>
          <t>Vape Shop</t>
        </is>
      </c>
      <c r="AN266" s="5" t="inlineStr"/>
      <c r="AO266" s="5" t="inlineStr">
        <is>
          <t>Trades simply as 'VAPE' on Market Street; listed on eCig Directory UK and The UK High Street with matching address and phone.</t>
        </is>
      </c>
      <c r="AP266" s="5" t="inlineStr">
        <is>
          <t>Medium</t>
        </is>
      </c>
      <c r="AQ266" s="5" t="inlineStr">
        <is>
          <t>Independent retailer; Core relevant category</t>
        </is>
      </c>
      <c r="AR266" s="5" t="inlineStr">
        <is>
          <t>https://ecigdirectory.co.uk/vape-shop/listing/vape-heckmondwike</t>
        </is>
      </c>
      <c r="AS266" s="5" t="inlineStr">
        <is>
          <t>https://www.theukhighstreet.com/store/0/65960/757/</t>
        </is>
      </c>
      <c r="AT266" s="5" t="inlineStr">
        <is>
          <t>2</t>
        </is>
      </c>
      <c r="AU266" s="5" t="inlineStr">
        <is>
          <t>No</t>
        </is>
      </c>
      <c r="AV266" s="5" t="inlineStr">
        <is>
          <t>No</t>
        </is>
      </c>
      <c r="AW266" s="5" t="inlineStr">
        <is>
          <t>No</t>
        </is>
      </c>
      <c r="AX266" s="5" t="inlineStr">
        <is>
          <t>No</t>
        </is>
      </c>
      <c r="AY266" s="5" t="inlineStr">
        <is>
          <t>Verified directory</t>
        </is>
      </c>
      <c r="AZ266" s="5" t="inlineStr">
        <is>
          <t>Not Found</t>
        </is>
      </c>
      <c r="BA266" s="5" t="inlineStr">
        <is>
          <t>2026-09-16</t>
        </is>
      </c>
      <c r="BB266" s="5" t="inlineStr">
        <is>
          <t>Requires Verification</t>
        </is>
      </c>
      <c r="BC266" s="5" t="inlineStr">
        <is>
          <t>Medium</t>
        </is>
      </c>
      <c r="BD266" s="5" t="inlineStr"/>
      <c r="BE266" s="5" t="inlineStr">
        <is>
          <t>Business (B2B)</t>
        </is>
      </c>
      <c r="BF266" s="5" t="inlineStr">
        <is>
          <t>Legitimate interest (B2B) - assess per campaign; PECR: corporate subscribers</t>
        </is>
      </c>
      <c r="BG266" s="5" t="inlineStr"/>
      <c r="BH266" s="5" t="inlineStr">
        <is>
          <t>No</t>
        </is>
      </c>
      <c r="BI266" s="5" t="inlineStr">
        <is>
          <t>2026-09-16</t>
        </is>
      </c>
      <c r="BJ266" s="5" t="inlineStr">
        <is>
          <t>New</t>
        </is>
      </c>
      <c r="BK266" s="5" t="inlineStr">
        <is>
          <t>2026-09-16</t>
        </is>
      </c>
      <c r="BL266" s="5" t="inlineStr"/>
      <c r="BM266" s="5" t="inlineStr"/>
      <c r="BN266" s="5" t="inlineStr"/>
      <c r="BO266" s="5" t="inlineStr"/>
      <c r="BP266" s="5" t="inlineStr"/>
      <c r="BQ266" s="5" t="inlineStr"/>
    </row>
    <row r="267">
      <c r="A267" s="10" t="inlineStr">
        <is>
          <t>WY-0172</t>
        </is>
      </c>
      <c r="B267" s="10" t="inlineStr">
        <is>
          <t>WY-0172-01</t>
        </is>
      </c>
      <c r="C267" s="10" t="inlineStr"/>
      <c r="D267" s="10" t="inlineStr">
        <is>
          <t>Vape Dream</t>
        </is>
      </c>
      <c r="E267" s="10" t="inlineStr">
        <is>
          <t>Vape Dream</t>
        </is>
      </c>
      <c r="F267" s="10" t="inlineStr"/>
      <c r="G267" s="10" t="inlineStr">
        <is>
          <t>Vape Shop</t>
        </is>
      </c>
      <c r="H267" s="10" t="inlineStr">
        <is>
          <t>Vape retailer</t>
        </is>
      </c>
      <c r="I267" s="10" t="inlineStr">
        <is>
          <t>Independent</t>
        </is>
      </c>
      <c r="J267" s="10" t="inlineStr">
        <is>
          <t>1</t>
        </is>
      </c>
      <c r="K267" s="10" t="inlineStr"/>
      <c r="L267" s="10" t="inlineStr">
        <is>
          <t>https://www.facebook.com/p/Vape-Dream-Vape-Shop-61558567906935/</t>
        </is>
      </c>
      <c r="M267" s="10" t="inlineStr"/>
      <c r="N267" s="10" t="inlineStr"/>
      <c r="O267" s="10" t="inlineStr"/>
      <c r="P267" s="10" t="inlineStr"/>
      <c r="Q267" s="10" t="inlineStr">
        <is>
          <t>Dewsbury</t>
        </is>
      </c>
      <c r="R267" s="10" t="inlineStr">
        <is>
          <t>West Yorkshire</t>
        </is>
      </c>
      <c r="S267" s="10" t="inlineStr"/>
      <c r="T267" s="10" t="inlineStr">
        <is>
          <t>Yorkshire &amp; Humber</t>
        </is>
      </c>
      <c r="U267" s="10" t="inlineStr">
        <is>
          <t>England</t>
        </is>
      </c>
      <c r="V267" s="10" t="inlineStr"/>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vape hardware; e-liquids</t>
        </is>
      </c>
      <c r="AL267" s="10" t="inlineStr"/>
      <c r="AM267" s="10" t="inlineStr">
        <is>
          <t>Vape Shop</t>
        </is>
      </c>
      <c r="AN267" s="10" t="inlineStr"/>
      <c r="AO267" s="10" t="inlineStr">
        <is>
          <t>Active Facebook business page for a Dewsbury vape shop; street address not published in accessible sources.</t>
        </is>
      </c>
      <c r="AP267" s="10" t="inlineStr">
        <is>
          <t>Medium</t>
        </is>
      </c>
      <c r="AQ267" s="10" t="inlineStr">
        <is>
          <t>Independent retailer; Core relevant category; Social presence</t>
        </is>
      </c>
      <c r="AR267" s="10" t="inlineStr">
        <is>
          <t>https://www.facebook.com/p/Vape-Dream-Vape-Shop-61558567906935/</t>
        </is>
      </c>
      <c r="AS267" s="10" t="inlineStr"/>
      <c r="AT267" s="10" t="inlineStr">
        <is>
          <t>1</t>
        </is>
      </c>
      <c r="AU267" s="10" t="inlineStr">
        <is>
          <t>No</t>
        </is>
      </c>
      <c r="AV267" s="10" t="inlineStr">
        <is>
          <t>No</t>
        </is>
      </c>
      <c r="AW267" s="10" t="inlineStr">
        <is>
          <t>No</t>
        </is>
      </c>
      <c r="AX267" s="10" t="inlineStr">
        <is>
          <t>No</t>
        </is>
      </c>
      <c r="AY267" s="10" t="inlineStr">
        <is>
          <t>Not Found</t>
        </is>
      </c>
      <c r="AZ267" s="10" t="inlineStr">
        <is>
          <t>Not Found</t>
        </is>
      </c>
      <c r="BA267" s="10" t="inlineStr">
        <is>
          <t>2026-09-16</t>
        </is>
      </c>
      <c r="BB267" s="10" t="inlineStr">
        <is>
          <t>Requires Verification</t>
        </is>
      </c>
      <c r="BC267" s="10" t="inlineStr">
        <is>
          <t>Low</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2026-09-16</t>
        </is>
      </c>
      <c r="BJ267" s="10" t="inlineStr">
        <is>
          <t>New</t>
        </is>
      </c>
      <c r="BK267" s="10" t="inlineStr">
        <is>
          <t>2026-09-16</t>
        </is>
      </c>
      <c r="BL267" s="10" t="inlineStr"/>
      <c r="BM267" s="10" t="inlineStr"/>
      <c r="BN267" s="10" t="inlineStr"/>
      <c r="BO267" s="10" t="inlineStr"/>
      <c r="BP267" s="10" t="inlineStr"/>
      <c r="BQ267" s="10" t="inlineStr"/>
    </row>
    <row r="268">
      <c r="A268" s="5" t="inlineStr">
        <is>
          <t>UK-000288</t>
        </is>
      </c>
      <c r="B268" s="5" t="inlineStr">
        <is>
          <t>UK-000288-01</t>
        </is>
      </c>
      <c r="C268" s="5" t="inlineStr"/>
      <c r="D268" s="5" t="inlineStr">
        <is>
          <t>Vape HQ Stocksbridge</t>
        </is>
      </c>
      <c r="E268" s="5" t="inlineStr">
        <is>
          <t>Vape HQ</t>
        </is>
      </c>
      <c r="F268" s="5" t="inlineStr"/>
      <c r="G268" s="5" t="inlineStr">
        <is>
          <t>Vape Shop</t>
        </is>
      </c>
      <c r="H268" s="5" t="inlineStr">
        <is>
          <t>Vape shop</t>
        </is>
      </c>
      <c r="I268" s="5" t="inlineStr">
        <is>
          <t>Independent</t>
        </is>
      </c>
      <c r="J268" s="5" t="inlineStr">
        <is>
          <t>1</t>
        </is>
      </c>
      <c r="K268" s="5" t="inlineStr"/>
      <c r="L268" s="5" t="inlineStr">
        <is>
          <t>https://www.facebook.com/VHQStocksbridge/</t>
        </is>
      </c>
      <c r="M268" s="5" t="inlineStr"/>
      <c r="N268" s="5" t="inlineStr"/>
      <c r="O268" s="5" t="inlineStr"/>
      <c r="P268" s="5" t="inlineStr">
        <is>
          <t>Stocksbridge</t>
        </is>
      </c>
      <c r="Q268" s="5" t="inlineStr">
        <is>
          <t>Sheffield</t>
        </is>
      </c>
      <c r="R268" s="5" t="inlineStr">
        <is>
          <t>South Yorkshire</t>
        </is>
      </c>
      <c r="S268" s="5" t="inlineStr"/>
      <c r="T268" s="5" t="inlineStr">
        <is>
          <t>Yorkshire &amp; Humber</t>
        </is>
      </c>
      <c r="U268" s="5" t="inlineStr">
        <is>
          <t>England</t>
        </is>
      </c>
      <c r="V268" s="5" t="inlineStr"/>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vape hardware; e-liquids; disposables</t>
        </is>
      </c>
      <c r="AL268" s="5" t="inlineStr"/>
      <c r="AM268" s="5" t="inlineStr">
        <is>
          <t>Vape Shop</t>
        </is>
      </c>
      <c r="AN268" s="5" t="inlineStr"/>
      <c r="AO268" s="5" t="inlineStr">
        <is>
          <t>Independent vape shop in Stocksbridge; only a Facebook page found in search. Street address/postcode not captured.</t>
        </is>
      </c>
      <c r="AP268" s="5" t="inlineStr">
        <is>
          <t>Medium</t>
        </is>
      </c>
      <c r="AQ268" s="5" t="inlineStr">
        <is>
          <t>Independent retailer; Core relevant category; Social presence</t>
        </is>
      </c>
      <c r="AR268" s="5" t="inlineStr">
        <is>
          <t>https://www.facebook.com/VHQStocksbridge/</t>
        </is>
      </c>
      <c r="AS268" s="5" t="inlineStr"/>
      <c r="AT268" s="5" t="inlineStr">
        <is>
          <t>1</t>
        </is>
      </c>
      <c r="AU268" s="5" t="inlineStr">
        <is>
          <t>No</t>
        </is>
      </c>
      <c r="AV268" s="5" t="inlineStr">
        <is>
          <t>No</t>
        </is>
      </c>
      <c r="AW268" s="5" t="inlineStr">
        <is>
          <t>No</t>
        </is>
      </c>
      <c r="AX268" s="5" t="inlineStr">
        <is>
          <t>No</t>
        </is>
      </c>
      <c r="AY268" s="5" t="inlineStr">
        <is>
          <t>Not Found</t>
        </is>
      </c>
      <c r="AZ268" s="5" t="inlineStr">
        <is>
          <t>Not Found</t>
        </is>
      </c>
      <c r="BA268" s="5" t="inlineStr">
        <is>
          <t>2026-09-16</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2026-09-16</t>
        </is>
      </c>
      <c r="BJ268" s="5" t="inlineStr">
        <is>
          <t>New</t>
        </is>
      </c>
      <c r="BK268" s="5" t="inlineStr">
        <is>
          <t>2026-09-16</t>
        </is>
      </c>
      <c r="BL268" s="5" t="inlineStr"/>
      <c r="BM268" s="5" t="inlineStr"/>
      <c r="BN268" s="5" t="inlineStr"/>
      <c r="BO268" s="5" t="inlineStr"/>
      <c r="BP268" s="5" t="inlineStr"/>
      <c r="BQ268" s="5" t="inlineStr"/>
    </row>
    <row r="269">
      <c r="A269" s="10" t="inlineStr">
        <is>
          <t>WY-0173</t>
        </is>
      </c>
      <c r="B269" s="10" t="inlineStr">
        <is>
          <t>WY-0173-01</t>
        </is>
      </c>
      <c r="C269" s="10" t="inlineStr"/>
      <c r="D269" s="10" t="inlineStr">
        <is>
          <t>Vape N Go</t>
        </is>
      </c>
      <c r="E269" s="10" t="inlineStr">
        <is>
          <t>Vape N Go</t>
        </is>
      </c>
      <c r="F269" s="10" t="inlineStr"/>
      <c r="G269" s="10" t="inlineStr">
        <is>
          <t>Vape Shop</t>
        </is>
      </c>
      <c r="H269" s="10" t="inlineStr"/>
      <c r="I269" s="10" t="inlineStr">
        <is>
          <t>Independent</t>
        </is>
      </c>
      <c r="J269" s="10" t="inlineStr">
        <is>
          <t>1</t>
        </is>
      </c>
      <c r="K269" s="10" t="inlineStr"/>
      <c r="L269" s="10" t="inlineStr"/>
      <c r="M269" s="10" t="inlineStr"/>
      <c r="N269" s="10" t="inlineStr"/>
      <c r="O269" s="10" t="inlineStr">
        <is>
          <t>14 The Square</t>
        </is>
      </c>
      <c r="P269" s="10" t="inlineStr">
        <is>
          <t>Woolshops Shopping Centre</t>
        </is>
      </c>
      <c r="Q269" s="10" t="inlineStr">
        <is>
          <t>Halifax</t>
        </is>
      </c>
      <c r="R269" s="10" t="inlineStr">
        <is>
          <t>West Yorkshire</t>
        </is>
      </c>
      <c r="S269" s="10" t="inlineStr">
        <is>
          <t>HX1 1RU</t>
        </is>
      </c>
      <c r="T269" s="10" t="inlineStr">
        <is>
          <t>Yorkshire &amp; Humber</t>
        </is>
      </c>
      <c r="U269" s="10" t="inlineStr">
        <is>
          <t>England</t>
        </is>
      </c>
      <c r="V269" s="10" t="inlineStr"/>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vapes; e-liquids</t>
        </is>
      </c>
      <c r="AL269" s="10" t="inlineStr"/>
      <c r="AM269" s="10" t="inlineStr">
        <is>
          <t>Vape Shop</t>
        </is>
      </c>
      <c r="AN269" s="10" t="inlineStr"/>
      <c r="AO269" s="10" t="inlineStr"/>
      <c r="AP269" s="10" t="inlineStr">
        <is>
          <t>Medium</t>
        </is>
      </c>
      <c r="AQ269" s="10" t="inlineStr">
        <is>
          <t>Independent retailer; Core relevant category</t>
        </is>
      </c>
      <c r="AR269" s="10" t="inlineStr">
        <is>
          <t>https://www.yell.com/s/tobacconists-halifax.html</t>
        </is>
      </c>
      <c r="AS269" s="10" t="inlineStr"/>
      <c r="AT269" s="10" t="inlineStr">
        <is>
          <t>1</t>
        </is>
      </c>
      <c r="AU269" s="10" t="inlineStr">
        <is>
          <t>No</t>
        </is>
      </c>
      <c r="AV269" s="10" t="inlineStr">
        <is>
          <t>No</t>
        </is>
      </c>
      <c r="AW269" s="10" t="inlineStr">
        <is>
          <t>No</t>
        </is>
      </c>
      <c r="AX269" s="10" t="inlineStr">
        <is>
          <t>No</t>
        </is>
      </c>
      <c r="AY269" s="10" t="inlineStr">
        <is>
          <t>Not Found</t>
        </is>
      </c>
      <c r="AZ269" s="10" t="inlineStr">
        <is>
          <t>Not Found</t>
        </is>
      </c>
      <c r="BA269" s="10" t="inlineStr">
        <is>
          <t>2026-09-16</t>
        </is>
      </c>
      <c r="BB269" s="10" t="inlineStr">
        <is>
          <t>Requires Verification</t>
        </is>
      </c>
      <c r="BC269" s="10" t="inlineStr">
        <is>
          <t>Low</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2026-09-16</t>
        </is>
      </c>
      <c r="BJ269" s="10" t="inlineStr">
        <is>
          <t>New</t>
        </is>
      </c>
      <c r="BK269" s="10" t="inlineStr">
        <is>
          <t>2026-09-16</t>
        </is>
      </c>
      <c r="BL269" s="10" t="inlineStr"/>
      <c r="BM269" s="10" t="inlineStr"/>
      <c r="BN269" s="10" t="inlineStr"/>
      <c r="BO269" s="10" t="inlineStr"/>
      <c r="BP269" s="10" t="inlineStr"/>
      <c r="BQ269" s="10" t="inlineStr"/>
    </row>
    <row r="270">
      <c r="A270" s="5" t="inlineStr">
        <is>
          <t>WY-0174</t>
        </is>
      </c>
      <c r="B270" s="5" t="inlineStr">
        <is>
          <t>WY-0174-01</t>
        </is>
      </c>
      <c r="C270" s="5" t="inlineStr"/>
      <c r="D270" s="5" t="inlineStr">
        <is>
          <t>Vape Nation UK</t>
        </is>
      </c>
      <c r="E270" s="5" t="inlineStr">
        <is>
          <t>Vape Nation UK</t>
        </is>
      </c>
      <c r="F270" s="5" t="inlineStr"/>
      <c r="G270" s="5" t="inlineStr">
        <is>
          <t>Vape Shop</t>
        </is>
      </c>
      <c r="H270" s="5" t="inlineStr">
        <is>
          <t>E-cigarette / e-liquid retailer</t>
        </is>
      </c>
      <c r="I270" s="5" t="inlineStr">
        <is>
          <t>Independent</t>
        </is>
      </c>
      <c r="J270" s="5" t="inlineStr">
        <is>
          <t>1</t>
        </is>
      </c>
      <c r="K270" s="5" t="inlineStr">
        <is>
          <t>https://vapenationeshop.co.uk/</t>
        </is>
      </c>
      <c r="L270" s="5" t="inlineStr"/>
      <c r="M270" s="5" t="inlineStr"/>
      <c r="N270" s="5" t="inlineStr"/>
      <c r="O270" s="5" t="inlineStr">
        <is>
          <t>31 New Street</t>
        </is>
      </c>
      <c r="P270" s="5" t="inlineStr">
        <is>
          <t>Town Centre</t>
        </is>
      </c>
      <c r="Q270" s="5" t="inlineStr">
        <is>
          <t>Huddersfield</t>
        </is>
      </c>
      <c r="R270" s="5" t="inlineStr">
        <is>
          <t>West Yorkshire</t>
        </is>
      </c>
      <c r="S270" s="5" t="inlineStr">
        <is>
          <t>HD1 2AZ</t>
        </is>
      </c>
      <c r="T270" s="5" t="inlineStr">
        <is>
          <t>Yorkshire &amp; Humber</t>
        </is>
      </c>
      <c r="U270" s="5" t="inlineStr">
        <is>
          <t>England</t>
        </is>
      </c>
      <c r="V270" s="5" t="inlineStr">
        <is>
          <t>07809 655738</t>
        </is>
      </c>
      <c r="W270" s="5" t="inlineStr"/>
      <c r="X270" s="5" t="inlineStr"/>
      <c r="Y270" s="5" t="inlineStr">
        <is>
          <t>info@vapenationeshop.co.uk</t>
        </is>
      </c>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vape hardware; e-liquids; disposable vapes</t>
        </is>
      </c>
      <c r="AL270" s="5" t="inlineStr"/>
      <c r="AM270" s="5" t="inlineStr">
        <is>
          <t>Vape Shop</t>
        </is>
      </c>
      <c r="AN270" s="5" t="inlineStr"/>
      <c r="AO270" s="5" t="inlineStr">
        <is>
          <t>Town-centre store at the arcade entrance on New Street. Own e-shop site vapenationeshop.co.uk found in search results but could not be fetched (proxy blocked).</t>
        </is>
      </c>
      <c r="AP270" s="5" t="inlineStr">
        <is>
          <t>Medium</t>
        </is>
      </c>
      <c r="AQ270" s="5" t="inlineStr">
        <is>
          <t>Independent retailer; Core relevant category; Public email available; Active website</t>
        </is>
      </c>
      <c r="AR270" s="5" t="inlineStr">
        <is>
          <t>https://vapenationeshop.co.uk/contact-us/</t>
        </is>
      </c>
      <c r="AS270" s="5" t="inlineStr">
        <is>
          <t>https://ecigdirectory.co.uk/vape-shop/listing/vape-nation-uk-huddersfield</t>
        </is>
      </c>
      <c r="AT270" s="5" t="inlineStr">
        <is>
          <t>2</t>
        </is>
      </c>
      <c r="AU270" s="5" t="inlineStr">
        <is>
          <t>No</t>
        </is>
      </c>
      <c r="AV270" s="5" t="inlineStr">
        <is>
          <t>No</t>
        </is>
      </c>
      <c r="AW270" s="5" t="inlineStr">
        <is>
          <t>Yes</t>
        </is>
      </c>
      <c r="AX270" s="5" t="inlineStr">
        <is>
          <t>No</t>
        </is>
      </c>
      <c r="AY270" s="5" t="inlineStr">
        <is>
          <t>Verified directory</t>
        </is>
      </c>
      <c r="AZ270" s="5" t="inlineStr">
        <is>
          <t>Website Found</t>
        </is>
      </c>
      <c r="BA270" s="5" t="inlineStr">
        <is>
          <t>2026-09-16</t>
        </is>
      </c>
      <c r="BB270" s="5" t="inlineStr">
        <is>
          <t>Partially Verified</t>
        </is>
      </c>
      <c r="BC270" s="5" t="inlineStr">
        <is>
          <t>Medium</t>
        </is>
      </c>
      <c r="BD270" s="5" t="inlineStr"/>
      <c r="BE270" s="5" t="inlineStr">
        <is>
          <t>Business (B2B)</t>
        </is>
      </c>
      <c r="BF270" s="5" t="inlineStr">
        <is>
          <t>Legitimate interest (B2B) - assess per campaign; PECR: corporate subscribers</t>
        </is>
      </c>
      <c r="BG270" s="5" t="inlineStr"/>
      <c r="BH270" s="5" t="inlineStr">
        <is>
          <t>No</t>
        </is>
      </c>
      <c r="BI270" s="5" t="inlineStr">
        <is>
          <t>2026-09-16</t>
        </is>
      </c>
      <c r="BJ270" s="5" t="inlineStr">
        <is>
          <t>New</t>
        </is>
      </c>
      <c r="BK270" s="5" t="inlineStr">
        <is>
          <t>2026-09-16</t>
        </is>
      </c>
      <c r="BL270" s="5" t="inlineStr"/>
      <c r="BM270" s="5" t="inlineStr"/>
      <c r="BN270" s="5" t="inlineStr"/>
      <c r="BO270" s="5" t="inlineStr"/>
      <c r="BP270" s="5" t="inlineStr"/>
      <c r="BQ270" s="5" t="inlineStr"/>
    </row>
    <row r="271">
      <c r="A271" s="10" t="inlineStr">
        <is>
          <t>UK-000289</t>
        </is>
      </c>
      <c r="B271" s="10" t="inlineStr">
        <is>
          <t>UK-000289-01</t>
        </is>
      </c>
      <c r="C271" s="10" t="inlineStr"/>
      <c r="D271" s="10" t="inlineStr">
        <is>
          <t>Vape Newland</t>
        </is>
      </c>
      <c r="E271" s="10" t="inlineStr">
        <is>
          <t>Vape Newland</t>
        </is>
      </c>
      <c r="F271" s="10" t="inlineStr"/>
      <c r="G271" s="10" t="inlineStr">
        <is>
          <t>Vape Shop</t>
        </is>
      </c>
      <c r="H271" s="10" t="inlineStr">
        <is>
          <t>E-liquid and hardware shop</t>
        </is>
      </c>
      <c r="I271" s="10" t="inlineStr">
        <is>
          <t>Independent</t>
        </is>
      </c>
      <c r="J271" s="10" t="inlineStr">
        <is>
          <t>1</t>
        </is>
      </c>
      <c r="K271" s="10" t="inlineStr"/>
      <c r="L271" s="10" t="inlineStr">
        <is>
          <t>https://www.facebook.com/p/Vape-Newland-100086500027739/</t>
        </is>
      </c>
      <c r="M271" s="10" t="inlineStr"/>
      <c r="N271" s="10" t="inlineStr"/>
      <c r="O271" s="10" t="inlineStr">
        <is>
          <t>124 Newland Avenue</t>
        </is>
      </c>
      <c r="P271" s="10" t="inlineStr"/>
      <c r="Q271" s="10" t="inlineStr">
        <is>
          <t>Kingston upon Hull</t>
        </is>
      </c>
      <c r="R271" s="10" t="inlineStr">
        <is>
          <t>East Riding of Yorkshire</t>
        </is>
      </c>
      <c r="S271" s="10" t="inlineStr"/>
      <c r="T271" s="10" t="inlineStr">
        <is>
          <t>Yorkshire &amp; Humber</t>
        </is>
      </c>
      <c r="U271" s="10" t="inlineStr">
        <is>
          <t>England</t>
        </is>
      </c>
      <c r="V271" s="10" t="inlineStr"/>
      <c r="W271" s="10" t="inlineStr"/>
      <c r="X271" s="10" t="inlineStr"/>
      <c r="Y271" s="10" t="inlineStr"/>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vape hardware; e-liquids; disposables</t>
        </is>
      </c>
      <c r="AL271" s="10" t="inlineStr"/>
      <c r="AM271" s="10" t="inlineStr">
        <is>
          <t>Vape Shop</t>
        </is>
      </c>
      <c r="AN271" s="10" t="inlineStr"/>
      <c r="AO271" s="10" t="inlineStr">
        <is>
          <t>Premium e-cigarette and e-liquid provider on Newland Avenue per Facebook page. No postcode/phone published in search results.</t>
        </is>
      </c>
      <c r="AP271" s="10" t="inlineStr">
        <is>
          <t>Medium</t>
        </is>
      </c>
      <c r="AQ271" s="10" t="inlineStr">
        <is>
          <t>Independent retailer; Core relevant category; Social presence</t>
        </is>
      </c>
      <c r="AR271" s="10" t="inlineStr">
        <is>
          <t>https://www.facebook.com/p/Vape-Newland-100086500027739/</t>
        </is>
      </c>
      <c r="AS271" s="10" t="inlineStr"/>
      <c r="AT271" s="10" t="inlineStr">
        <is>
          <t>1</t>
        </is>
      </c>
      <c r="AU271" s="10" t="inlineStr">
        <is>
          <t>No</t>
        </is>
      </c>
      <c r="AV271" s="10" t="inlineStr">
        <is>
          <t>No</t>
        </is>
      </c>
      <c r="AW271" s="10" t="inlineStr">
        <is>
          <t>No</t>
        </is>
      </c>
      <c r="AX271" s="10" t="inlineStr">
        <is>
          <t>No</t>
        </is>
      </c>
      <c r="AY271" s="10" t="inlineStr">
        <is>
          <t>Not Found</t>
        </is>
      </c>
      <c r="AZ271" s="10" t="inlineStr">
        <is>
          <t>Not Found</t>
        </is>
      </c>
      <c r="BA271" s="10" t="inlineStr">
        <is>
          <t>2026-09-16</t>
        </is>
      </c>
      <c r="BB271" s="10" t="inlineStr">
        <is>
          <t>Requires Verification</t>
        </is>
      </c>
      <c r="BC271" s="10" t="inlineStr">
        <is>
          <t>Low</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2026-09-16</t>
        </is>
      </c>
      <c r="BJ271" s="10" t="inlineStr">
        <is>
          <t>New</t>
        </is>
      </c>
      <c r="BK271" s="10" t="inlineStr">
        <is>
          <t>2026-09-16</t>
        </is>
      </c>
      <c r="BL271" s="10" t="inlineStr"/>
      <c r="BM271" s="10" t="inlineStr"/>
      <c r="BN271" s="10" t="inlineStr"/>
      <c r="BO271" s="10" t="inlineStr"/>
      <c r="BP271" s="10" t="inlineStr"/>
      <c r="BQ271" s="10" t="inlineStr"/>
    </row>
    <row r="272">
      <c r="A272" s="5" t="inlineStr">
        <is>
          <t>WY-0175</t>
        </is>
      </c>
      <c r="B272" s="5" t="inlineStr">
        <is>
          <t>WY-0175-01</t>
        </is>
      </c>
      <c r="C272" s="5" t="inlineStr"/>
      <c r="D272" s="5" t="inlineStr">
        <is>
          <t>Vape Road</t>
        </is>
      </c>
      <c r="E272" s="5" t="inlineStr">
        <is>
          <t>Vape Road</t>
        </is>
      </c>
      <c r="F272" s="5" t="inlineStr"/>
      <c r="G272" s="5" t="inlineStr">
        <is>
          <t>Vape Shop</t>
        </is>
      </c>
      <c r="H272" s="5" t="inlineStr"/>
      <c r="I272" s="5" t="inlineStr">
        <is>
          <t>Independent</t>
        </is>
      </c>
      <c r="J272" s="5" t="inlineStr">
        <is>
          <t>1</t>
        </is>
      </c>
      <c r="K272" s="5" t="inlineStr"/>
      <c r="L272" s="5" t="inlineStr"/>
      <c r="M272" s="5" t="inlineStr"/>
      <c r="N272" s="5" t="inlineStr"/>
      <c r="O272" s="5" t="inlineStr">
        <is>
          <t>66 Commercial Street</t>
        </is>
      </c>
      <c r="P272" s="5" t="inlineStr"/>
      <c r="Q272" s="5" t="inlineStr">
        <is>
          <t>Brighouse</t>
        </is>
      </c>
      <c r="R272" s="5" t="inlineStr">
        <is>
          <t>West Yorkshire</t>
        </is>
      </c>
      <c r="S272" s="5" t="inlineStr">
        <is>
          <t>HD6 1AQ</t>
        </is>
      </c>
      <c r="T272" s="5" t="inlineStr">
        <is>
          <t>Yorkshire &amp; Humber</t>
        </is>
      </c>
      <c r="U272" s="5" t="inlineStr">
        <is>
          <t>England</t>
        </is>
      </c>
      <c r="V272" s="5" t="inlineStr">
        <is>
          <t>01484 917785</t>
        </is>
      </c>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vape hardware; e-liquids</t>
        </is>
      </c>
      <c r="AL272" s="5" t="inlineStr"/>
      <c r="AM272" s="5" t="inlineStr">
        <is>
          <t>Vape Shop</t>
        </is>
      </c>
      <c r="AN272" s="5" t="inlineStr"/>
      <c r="AO272" s="5" t="inlineStr">
        <is>
          <t>Well-reviewed for customer service and product range per Cylex AI review summary.</t>
        </is>
      </c>
      <c r="AP272" s="5" t="inlineStr">
        <is>
          <t>Medium</t>
        </is>
      </c>
      <c r="AQ272" s="5" t="inlineStr">
        <is>
          <t>Independent retailer; Core relevant category</t>
        </is>
      </c>
      <c r="AR272" s="5" t="inlineStr">
        <is>
          <t>https://brighouse.cylex-uk.co.uk/company/vape-road-27599481.html</t>
        </is>
      </c>
      <c r="AS272" s="5" t="inlineStr">
        <is>
          <t>https://www.visitbrighouse.co.uk/directory/vape-road/</t>
        </is>
      </c>
      <c r="AT272" s="5" t="inlineStr">
        <is>
          <t>2</t>
        </is>
      </c>
      <c r="AU272" s="5" t="inlineStr">
        <is>
          <t>No</t>
        </is>
      </c>
      <c r="AV272" s="5" t="inlineStr">
        <is>
          <t>No</t>
        </is>
      </c>
      <c r="AW272" s="5" t="inlineStr">
        <is>
          <t>No</t>
        </is>
      </c>
      <c r="AX272" s="5" t="inlineStr">
        <is>
          <t>No</t>
        </is>
      </c>
      <c r="AY272" s="5" t="inlineStr">
        <is>
          <t>Verified directory</t>
        </is>
      </c>
      <c r="AZ272" s="5" t="inlineStr">
        <is>
          <t>Not Found</t>
        </is>
      </c>
      <c r="BA272" s="5" t="inlineStr">
        <is>
          <t>2026-09-16</t>
        </is>
      </c>
      <c r="BB272" s="5" t="inlineStr">
        <is>
          <t>Requires Verification</t>
        </is>
      </c>
      <c r="BC272" s="5" t="inlineStr">
        <is>
          <t>Medium</t>
        </is>
      </c>
      <c r="BD272" s="5" t="inlineStr"/>
      <c r="BE272" s="5" t="inlineStr">
        <is>
          <t>Business (B2B)</t>
        </is>
      </c>
      <c r="BF272" s="5" t="inlineStr">
        <is>
          <t>Legitimate interest (B2B) - assess per campaign; PECR: corporate subscribers</t>
        </is>
      </c>
      <c r="BG272" s="5" t="inlineStr"/>
      <c r="BH272" s="5" t="inlineStr">
        <is>
          <t>No</t>
        </is>
      </c>
      <c r="BI272" s="5" t="inlineStr">
        <is>
          <t>2026-09-16</t>
        </is>
      </c>
      <c r="BJ272" s="5" t="inlineStr">
        <is>
          <t>New</t>
        </is>
      </c>
      <c r="BK272" s="5" t="inlineStr">
        <is>
          <t>2026-09-16</t>
        </is>
      </c>
      <c r="BL272" s="5" t="inlineStr"/>
      <c r="BM272" s="5" t="inlineStr"/>
      <c r="BN272" s="5" t="inlineStr"/>
      <c r="BO272" s="5" t="inlineStr"/>
      <c r="BP272" s="5" t="inlineStr"/>
      <c r="BQ272" s="5" t="inlineStr"/>
    </row>
    <row r="273">
      <c r="A273" s="10" t="inlineStr">
        <is>
          <t>WY-0176</t>
        </is>
      </c>
      <c r="B273" s="10" t="inlineStr">
        <is>
          <t>WY-0176-01</t>
        </is>
      </c>
      <c r="C273" s="10" t="inlineStr"/>
      <c r="D273" s="10" t="inlineStr">
        <is>
          <t>Vape Road Cleckheaton</t>
        </is>
      </c>
      <c r="E273" s="10" t="inlineStr">
        <is>
          <t>Vape Road</t>
        </is>
      </c>
      <c r="F273" s="10" t="inlineStr"/>
      <c r="G273" s="10" t="inlineStr">
        <is>
          <t>Vape Shop</t>
        </is>
      </c>
      <c r="H273" s="10" t="inlineStr">
        <is>
          <t>Vape retailer</t>
        </is>
      </c>
      <c r="I273" s="10" t="inlineStr">
        <is>
          <t>Independent</t>
        </is>
      </c>
      <c r="J273" s="10" t="inlineStr">
        <is>
          <t>1</t>
        </is>
      </c>
      <c r="K273" s="10" t="inlineStr"/>
      <c r="L273" s="10" t="inlineStr"/>
      <c r="M273" s="10" t="inlineStr"/>
      <c r="N273" s="10" t="inlineStr"/>
      <c r="O273" s="10" t="inlineStr">
        <is>
          <t>Railway Street</t>
        </is>
      </c>
      <c r="P273" s="10" t="inlineStr"/>
      <c r="Q273" s="10" t="inlineStr">
        <is>
          <t>Cleckheaton</t>
        </is>
      </c>
      <c r="R273" s="10" t="inlineStr">
        <is>
          <t>West Yorkshire</t>
        </is>
      </c>
      <c r="S273" s="10" t="inlineStr"/>
      <c r="T273" s="10" t="inlineStr">
        <is>
          <t>Yorkshire &amp; Humber</t>
        </is>
      </c>
      <c r="U273" s="10" t="inlineStr">
        <is>
          <t>England</t>
        </is>
      </c>
      <c r="V273" s="10" t="inlineStr"/>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vape hardware; e-liquids; disposable vapes</t>
        </is>
      </c>
      <c r="AL273" s="10" t="inlineStr"/>
      <c r="AM273" s="10" t="inlineStr">
        <is>
          <t>Vape Shop</t>
        </is>
      </c>
      <c r="AN273" s="10" t="inlineStr"/>
      <c r="AO273" s="10" t="inlineStr">
        <is>
          <t>Cylex lists it on Railway Street with an 01274 398xxx number shown only in truncated form, so no phone recorded.</t>
        </is>
      </c>
      <c r="AP273" s="10" t="inlineStr">
        <is>
          <t>Medium</t>
        </is>
      </c>
      <c r="AQ273" s="10" t="inlineStr">
        <is>
          <t>Independent retailer; Core relevant category</t>
        </is>
      </c>
      <c r="AR273" s="10" t="inlineStr">
        <is>
          <t>https://cleckheaton.cylex-uk.co.uk/company/vape-road-cleckheaton-26986187.html</t>
        </is>
      </c>
      <c r="AS273" s="10" t="inlineStr"/>
      <c r="AT273" s="10" t="inlineStr">
        <is>
          <t>1</t>
        </is>
      </c>
      <c r="AU273" s="10" t="inlineStr">
        <is>
          <t>No</t>
        </is>
      </c>
      <c r="AV273" s="10" t="inlineStr">
        <is>
          <t>No</t>
        </is>
      </c>
      <c r="AW273" s="10" t="inlineStr">
        <is>
          <t>No</t>
        </is>
      </c>
      <c r="AX273" s="10" t="inlineStr">
        <is>
          <t>No</t>
        </is>
      </c>
      <c r="AY273" s="10" t="inlineStr">
        <is>
          <t>Not Found</t>
        </is>
      </c>
      <c r="AZ273" s="10" t="inlineStr">
        <is>
          <t>Not Found</t>
        </is>
      </c>
      <c r="BA273" s="10" t="inlineStr">
        <is>
          <t>2026-09-16</t>
        </is>
      </c>
      <c r="BB273" s="10" t="inlineStr">
        <is>
          <t>Requires Verification</t>
        </is>
      </c>
      <c r="BC273" s="10" t="inlineStr">
        <is>
          <t>Low</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2026-09-16</t>
        </is>
      </c>
      <c r="BJ273" s="10" t="inlineStr">
        <is>
          <t>New</t>
        </is>
      </c>
      <c r="BK273" s="10" t="inlineStr">
        <is>
          <t>2026-09-16</t>
        </is>
      </c>
      <c r="BL273" s="10" t="inlineStr"/>
      <c r="BM273" s="10" t="inlineStr"/>
      <c r="BN273" s="10" t="inlineStr"/>
      <c r="BO273" s="10" t="inlineStr"/>
      <c r="BP273" s="10" t="inlineStr"/>
      <c r="BQ273" s="10" t="inlineStr"/>
    </row>
    <row r="274">
      <c r="A274" s="5" t="inlineStr">
        <is>
          <t>UK-000290</t>
        </is>
      </c>
      <c r="B274" s="5" t="inlineStr">
        <is>
          <t>UK-000290-01</t>
        </is>
      </c>
      <c r="C274" s="5" t="inlineStr"/>
      <c r="D274" s="5" t="inlineStr">
        <is>
          <t>Vape Safe Bridlington</t>
        </is>
      </c>
      <c r="E274" s="5" t="inlineStr">
        <is>
          <t>Vape Safe</t>
        </is>
      </c>
      <c r="F274" s="5" t="inlineStr"/>
      <c r="G274" s="5" t="inlineStr">
        <is>
          <t>Vape Shop</t>
        </is>
      </c>
      <c r="H274" s="5" t="inlineStr">
        <is>
          <t>E-liquid and hardware shop</t>
        </is>
      </c>
      <c r="I274" s="5" t="inlineStr">
        <is>
          <t>Independent</t>
        </is>
      </c>
      <c r="J274" s="5" t="inlineStr">
        <is>
          <t>1</t>
        </is>
      </c>
      <c r="K274" s="5" t="inlineStr"/>
      <c r="L274" s="5" t="inlineStr"/>
      <c r="M274" s="5" t="inlineStr"/>
      <c r="N274" s="5" t="inlineStr"/>
      <c r="O274" s="5" t="inlineStr">
        <is>
          <t>4b Promenade</t>
        </is>
      </c>
      <c r="P274" s="5" t="inlineStr"/>
      <c r="Q274" s="5" t="inlineStr">
        <is>
          <t>Bridlington</t>
        </is>
      </c>
      <c r="R274" s="5" t="inlineStr">
        <is>
          <t>East Riding of Yorkshire</t>
        </is>
      </c>
      <c r="S274" s="5" t="inlineStr">
        <is>
          <t>YO15 2PX</t>
        </is>
      </c>
      <c r="T274" s="5" t="inlineStr">
        <is>
          <t>Yorkshire &amp; Humber</t>
        </is>
      </c>
      <c r="U274" s="5" t="inlineStr">
        <is>
          <t>England</t>
        </is>
      </c>
      <c r="V274" s="5" t="inlineStr"/>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c r="AK274" s="5" t="inlineStr">
        <is>
          <t>e-liquids; pods; mods; disposables</t>
        </is>
      </c>
      <c r="AL274" s="5" t="inlineStr"/>
      <c r="AM274" s="5" t="inlineStr">
        <is>
          <t>Vape Shop</t>
        </is>
      </c>
      <c r="AN274" s="5" t="inlineStr"/>
      <c r="AO274" s="5" t="inlineStr">
        <is>
          <t>Independent vape shop on the Promenade, Bridlington. No phone published in search results.</t>
        </is>
      </c>
      <c r="AP274" s="5" t="inlineStr">
        <is>
          <t>Medium</t>
        </is>
      </c>
      <c r="AQ274" s="5" t="inlineStr">
        <is>
          <t>Independent retailer; Core relevant category</t>
        </is>
      </c>
      <c r="AR274" s="5" t="inlineStr">
        <is>
          <t>https://www.yell.com/s/vape+shops-bridlington.html</t>
        </is>
      </c>
      <c r="AS274" s="5" t="inlineStr"/>
      <c r="AT274" s="5" t="inlineStr">
        <is>
          <t>1</t>
        </is>
      </c>
      <c r="AU274" s="5" t="inlineStr">
        <is>
          <t>No</t>
        </is>
      </c>
      <c r="AV274" s="5" t="inlineStr">
        <is>
          <t>No</t>
        </is>
      </c>
      <c r="AW274" s="5" t="inlineStr">
        <is>
          <t>No</t>
        </is>
      </c>
      <c r="AX274" s="5" t="inlineStr">
        <is>
          <t>No</t>
        </is>
      </c>
      <c r="AY274" s="5" t="inlineStr">
        <is>
          <t>Not Found</t>
        </is>
      </c>
      <c r="AZ274" s="5" t="inlineStr">
        <is>
          <t>Not Found</t>
        </is>
      </c>
      <c r="BA274" s="5" t="inlineStr">
        <is>
          <t>2026-09-16</t>
        </is>
      </c>
      <c r="BB274" s="5" t="inlineStr">
        <is>
          <t>Requires Verification</t>
        </is>
      </c>
      <c r="BC274" s="5" t="inlineStr">
        <is>
          <t>Low</t>
        </is>
      </c>
      <c r="BD274" s="5" t="inlineStr"/>
      <c r="BE274" s="5" t="inlineStr">
        <is>
          <t>Business (B2B)</t>
        </is>
      </c>
      <c r="BF274" s="5" t="inlineStr">
        <is>
          <t>Legitimate interest (B2B) - assess per campaign; PECR: corporate subscribers</t>
        </is>
      </c>
      <c r="BG274" s="5" t="inlineStr"/>
      <c r="BH274" s="5" t="inlineStr">
        <is>
          <t>No</t>
        </is>
      </c>
      <c r="BI274" s="5" t="inlineStr">
        <is>
          <t>2026-09-16</t>
        </is>
      </c>
      <c r="BJ274" s="5" t="inlineStr">
        <is>
          <t>New</t>
        </is>
      </c>
      <c r="BK274" s="5" t="inlineStr">
        <is>
          <t>2026-09-16</t>
        </is>
      </c>
      <c r="BL274" s="5" t="inlineStr"/>
      <c r="BM274" s="5" t="inlineStr"/>
      <c r="BN274" s="5" t="inlineStr"/>
      <c r="BO274" s="5" t="inlineStr"/>
      <c r="BP274" s="5" t="inlineStr"/>
      <c r="BQ274" s="5" t="inlineStr"/>
    </row>
    <row r="275">
      <c r="A275" s="10" t="inlineStr">
        <is>
          <t>UK-000291</t>
        </is>
      </c>
      <c r="B275" s="10" t="inlineStr">
        <is>
          <t>UK-000291-01</t>
        </is>
      </c>
      <c r="C275" s="10" t="inlineStr"/>
      <c r="D275" s="10" t="inlineStr">
        <is>
          <t>Vape Store &amp; Bargains Galore</t>
        </is>
      </c>
      <c r="E275" s="10" t="inlineStr">
        <is>
          <t>Vape Store &amp; Bargains Galore</t>
        </is>
      </c>
      <c r="F275" s="10" t="inlineStr"/>
      <c r="G275" s="10" t="inlineStr">
        <is>
          <t>Vape Shop</t>
        </is>
      </c>
      <c r="H275" s="10" t="inlineStr">
        <is>
          <t>Vape shop and discount store</t>
        </is>
      </c>
      <c r="I275" s="10" t="inlineStr">
        <is>
          <t>Independent</t>
        </is>
      </c>
      <c r="J275" s="10" t="inlineStr">
        <is>
          <t>1</t>
        </is>
      </c>
      <c r="K275" s="10" t="inlineStr"/>
      <c r="L275" s="10" t="inlineStr">
        <is>
          <t>https://www.facebook.com/VapeStorebarnsley/</t>
        </is>
      </c>
      <c r="M275" s="10" t="inlineStr"/>
      <c r="N275" s="10" t="inlineStr"/>
      <c r="O275" s="10" t="inlineStr"/>
      <c r="P275" s="10" t="inlineStr"/>
      <c r="Q275" s="10" t="inlineStr">
        <is>
          <t>Barnsley</t>
        </is>
      </c>
      <c r="R275" s="10" t="inlineStr">
        <is>
          <t>South Yorkshire</t>
        </is>
      </c>
      <c r="S275" s="10" t="inlineStr"/>
      <c r="T275" s="10" t="inlineStr">
        <is>
          <t>Yorkshire &amp; Humber</t>
        </is>
      </c>
      <c r="U275" s="10" t="inlineStr">
        <is>
          <t>England</t>
        </is>
      </c>
      <c r="V275" s="10" t="inlineStr"/>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c r="AK275" s="10" t="inlineStr">
        <is>
          <t>e-liquids; mods; tanks; disposables; CBD; coils</t>
        </is>
      </c>
      <c r="AL275" s="10" t="inlineStr"/>
      <c r="AM275" s="10" t="inlineStr">
        <is>
          <t>Vape Shop</t>
        </is>
      </c>
      <c r="AN275" s="10" t="inlineStr"/>
      <c r="AO275" s="10" t="inlineStr">
        <is>
          <t>Independent vape shop with 'Barnsley's biggest range of juices'. Listed on Yell and Facebook; street address/postcode not captured from search results.</t>
        </is>
      </c>
      <c r="AP275" s="10" t="inlineStr">
        <is>
          <t>Medium</t>
        </is>
      </c>
      <c r="AQ275" s="10" t="inlineStr">
        <is>
          <t>Independent retailer; Core relevant category; Social presence</t>
        </is>
      </c>
      <c r="AR275" s="10" t="inlineStr">
        <is>
          <t>https://www.yell.com/biz/vape-store-and-bargains-galore-barnsley-10072936/</t>
        </is>
      </c>
      <c r="AS275" s="10" t="inlineStr"/>
      <c r="AT275" s="10" t="inlineStr">
        <is>
          <t>1</t>
        </is>
      </c>
      <c r="AU275" s="10" t="inlineStr">
        <is>
          <t>No</t>
        </is>
      </c>
      <c r="AV275" s="10" t="inlineStr">
        <is>
          <t>No</t>
        </is>
      </c>
      <c r="AW275" s="10" t="inlineStr">
        <is>
          <t>No</t>
        </is>
      </c>
      <c r="AX275" s="10" t="inlineStr">
        <is>
          <t>No</t>
        </is>
      </c>
      <c r="AY275" s="10" t="inlineStr">
        <is>
          <t>Not Found</t>
        </is>
      </c>
      <c r="AZ275" s="10" t="inlineStr">
        <is>
          <t>Not Found</t>
        </is>
      </c>
      <c r="BA275" s="10" t="inlineStr">
        <is>
          <t>2026-09-16</t>
        </is>
      </c>
      <c r="BB275" s="10" t="inlineStr">
        <is>
          <t>Requires Verification</t>
        </is>
      </c>
      <c r="BC275" s="10" t="inlineStr">
        <is>
          <t>Low</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2026-09-16</t>
        </is>
      </c>
      <c r="BJ275" s="10" t="inlineStr">
        <is>
          <t>New</t>
        </is>
      </c>
      <c r="BK275" s="10" t="inlineStr">
        <is>
          <t>2026-09-16</t>
        </is>
      </c>
      <c r="BL275" s="10" t="inlineStr"/>
      <c r="BM275" s="10" t="inlineStr"/>
      <c r="BN275" s="10" t="inlineStr"/>
      <c r="BO275" s="10" t="inlineStr"/>
      <c r="BP275" s="10" t="inlineStr"/>
      <c r="BQ275" s="10" t="inlineStr"/>
    </row>
    <row r="276">
      <c r="A276" s="5" t="inlineStr">
        <is>
          <t>WY-0177</t>
        </is>
      </c>
      <c r="B276" s="5" t="inlineStr">
        <is>
          <t>WY-0177-01</t>
        </is>
      </c>
      <c r="C276" s="5" t="inlineStr"/>
      <c r="D276" s="5" t="inlineStr">
        <is>
          <t>Vape Suite</t>
        </is>
      </c>
      <c r="E276" s="5" t="inlineStr">
        <is>
          <t>Vape Suite</t>
        </is>
      </c>
      <c r="F276" s="5" t="inlineStr">
        <is>
          <t>Vape Suite (Huddersfield) Ltd</t>
        </is>
      </c>
      <c r="G276" s="5" t="inlineStr">
        <is>
          <t>Vape Shop</t>
        </is>
      </c>
      <c r="H276" s="5" t="inlineStr">
        <is>
          <t>E-cigarette / e-liquid / disposables retailer</t>
        </is>
      </c>
      <c r="I276" s="5" t="inlineStr">
        <is>
          <t>Independent</t>
        </is>
      </c>
      <c r="J276" s="5" t="inlineStr">
        <is>
          <t>1</t>
        </is>
      </c>
      <c r="K276" s="5" t="inlineStr"/>
      <c r="L276" s="5" t="inlineStr"/>
      <c r="M276" s="5" t="inlineStr"/>
      <c r="N276" s="5" t="inlineStr"/>
      <c r="O276" s="5" t="inlineStr">
        <is>
          <t>7 King Street</t>
        </is>
      </c>
      <c r="P276" s="5" t="inlineStr">
        <is>
          <t>Town Centre</t>
        </is>
      </c>
      <c r="Q276" s="5" t="inlineStr">
        <is>
          <t>Huddersfield</t>
        </is>
      </c>
      <c r="R276" s="5" t="inlineStr">
        <is>
          <t>West Yorkshire</t>
        </is>
      </c>
      <c r="S276" s="5" t="inlineStr">
        <is>
          <t>HD1 2QD</t>
        </is>
      </c>
      <c r="T276" s="5" t="inlineStr">
        <is>
          <t>Yorkshire &amp; Humber</t>
        </is>
      </c>
      <c r="U276" s="5" t="inlineStr">
        <is>
          <t>England</t>
        </is>
      </c>
      <c r="V276" s="5" t="inlineStr">
        <is>
          <t>01484 312366</t>
        </is>
      </c>
      <c r="W276" s="5" t="inlineStr"/>
      <c r="X276" s="5" t="inlineStr"/>
      <c r="Y276" s="5" t="inlineStr"/>
      <c r="Z276" s="5" t="inlineStr"/>
      <c r="AA276" s="5" t="inlineStr"/>
      <c r="AB276" s="5" t="inlineStr"/>
      <c r="AC276" s="5" t="inlineStr"/>
      <c r="AD276" s="5" t="inlineStr"/>
      <c r="AE276" s="5" t="inlineStr">
        <is>
          <t>13476013</t>
        </is>
      </c>
      <c r="AF276" s="5" t="inlineStr"/>
      <c r="AG276" s="5" t="inlineStr">
        <is>
          <t>VAPE SUITE (HUDDERSFIELD) LTD</t>
        </is>
      </c>
      <c r="AH276" s="5" t="inlineStr"/>
      <c r="AI276" s="5" t="inlineStr"/>
      <c r="AJ276" s="5" t="inlineStr"/>
      <c r="AK276" s="5" t="inlineStr">
        <is>
          <t>vape hardware; e-liquids; disposable vapes</t>
        </is>
      </c>
      <c r="AL276" s="5" t="inlineStr"/>
      <c r="AM276" s="5" t="inlineStr">
        <is>
          <t>Vape Shop</t>
        </is>
      </c>
      <c r="AN276" s="5" t="inlineStr"/>
      <c r="AO276" s="5" t="inlineStr">
        <is>
          <t>Well-reviewed town-centre vape shop. Companies House match VAPE SUITE (HUDDERSFIELD) LTD found in search results; company page not opened, so status/incorporation not recorded.</t>
        </is>
      </c>
      <c r="AP276" s="5" t="inlineStr">
        <is>
          <t>Medium</t>
        </is>
      </c>
      <c r="AQ276" s="5" t="inlineStr">
        <is>
          <t>Independent retailer; Core relevant category</t>
        </is>
      </c>
      <c r="AR276" s="5" t="inlineStr">
        <is>
          <t>https://find-and-update.company-information.service.gov.uk/company/13476013</t>
        </is>
      </c>
      <c r="AS276" s="5" t="inlineStr">
        <is>
          <t>https://www.yell.com/biz/vape-suite-huddersfield-9317660/</t>
        </is>
      </c>
      <c r="AT276" s="5" t="inlineStr">
        <is>
          <t>4</t>
        </is>
      </c>
      <c r="AU276" s="5" t="inlineStr">
        <is>
          <t>No</t>
        </is>
      </c>
      <c r="AV276" s="5" t="inlineStr">
        <is>
          <t>No</t>
        </is>
      </c>
      <c r="AW276" s="5" t="inlineStr">
        <is>
          <t>No</t>
        </is>
      </c>
      <c r="AX276" s="5" t="inlineStr">
        <is>
          <t>No</t>
        </is>
      </c>
      <c r="AY276" s="5" t="inlineStr">
        <is>
          <t>Verified directory</t>
        </is>
      </c>
      <c r="AZ276" s="5" t="inlineStr">
        <is>
          <t>Not Found</t>
        </is>
      </c>
      <c r="BA276" s="5" t="inlineStr">
        <is>
          <t>2026-09-16</t>
        </is>
      </c>
      <c r="BB276" s="5" t="inlineStr">
        <is>
          <t>Requires Verification</t>
        </is>
      </c>
      <c r="BC276" s="5" t="inlineStr">
        <is>
          <t>Medium</t>
        </is>
      </c>
      <c r="BD276" s="5" t="inlineStr"/>
      <c r="BE276" s="5" t="inlineStr">
        <is>
          <t>Business (B2B)</t>
        </is>
      </c>
      <c r="BF276" s="5" t="inlineStr">
        <is>
          <t>Legitimate interest (B2B) - assess per campaign; PECR: corporate subscribers</t>
        </is>
      </c>
      <c r="BG276" s="5" t="inlineStr"/>
      <c r="BH276" s="5" t="inlineStr">
        <is>
          <t>No</t>
        </is>
      </c>
      <c r="BI276" s="5" t="inlineStr">
        <is>
          <t>2026-09-16</t>
        </is>
      </c>
      <c r="BJ276" s="5" t="inlineStr">
        <is>
          <t>New</t>
        </is>
      </c>
      <c r="BK276" s="5" t="inlineStr">
        <is>
          <t>2026-09-16</t>
        </is>
      </c>
      <c r="BL276" s="5" t="inlineStr"/>
      <c r="BM276" s="5" t="inlineStr"/>
      <c r="BN276" s="5" t="inlineStr"/>
      <c r="BO276" s="5" t="inlineStr"/>
      <c r="BP276" s="5" t="inlineStr"/>
      <c r="BQ276" s="5" t="inlineStr"/>
    </row>
    <row r="277">
      <c r="A277" s="10" t="inlineStr">
        <is>
          <t>WY-0178</t>
        </is>
      </c>
      <c r="B277" s="10" t="inlineStr">
        <is>
          <t>WY-0178-01</t>
        </is>
      </c>
      <c r="C277" s="10" t="inlineStr"/>
      <c r="D277" s="10" t="inlineStr">
        <is>
          <t>Vape and Wine Village</t>
        </is>
      </c>
      <c r="E277" s="10" t="inlineStr">
        <is>
          <t>Vape and Wine Village</t>
        </is>
      </c>
      <c r="F277" s="10" t="inlineStr"/>
      <c r="G277" s="10" t="inlineStr">
        <is>
          <t>Off-Licence</t>
        </is>
      </c>
      <c r="H277" s="10" t="inlineStr">
        <is>
          <t>Off-licence and vape shop</t>
        </is>
      </c>
      <c r="I277" s="10" t="inlineStr">
        <is>
          <t>Independent</t>
        </is>
      </c>
      <c r="J277" s="10" t="inlineStr">
        <is>
          <t>1</t>
        </is>
      </c>
      <c r="K277" s="10" t="inlineStr"/>
      <c r="L277" s="10" t="inlineStr"/>
      <c r="M277" s="10" t="inlineStr"/>
      <c r="N277" s="10" t="inlineStr"/>
      <c r="O277" s="10" t="inlineStr">
        <is>
          <t>13-15 Hyde Park Road</t>
        </is>
      </c>
      <c r="P277" s="10" t="inlineStr">
        <is>
          <t>Hyde Park / Burley</t>
        </is>
      </c>
      <c r="Q277" s="10" t="inlineStr">
        <is>
          <t>Leeds</t>
        </is>
      </c>
      <c r="R277" s="10" t="inlineStr">
        <is>
          <t>West Yorkshire</t>
        </is>
      </c>
      <c r="S277" s="10" t="inlineStr">
        <is>
          <t>LS6 1PY</t>
        </is>
      </c>
      <c r="T277" s="10" t="inlineStr">
        <is>
          <t>Yorkshire &amp; Humber</t>
        </is>
      </c>
      <c r="U277" s="10" t="inlineStr">
        <is>
          <t>England</t>
        </is>
      </c>
      <c r="V277" s="10" t="inlineStr"/>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wine; beer; spirits; vapes</t>
        </is>
      </c>
      <c r="AL277" s="10" t="inlineStr"/>
      <c r="AM277" s="10" t="inlineStr">
        <is>
          <t>Off-Licence</t>
        </is>
      </c>
      <c r="AN277" s="10" t="inlineStr"/>
      <c r="AO277" s="10" t="inlineStr">
        <is>
          <t>Combined off-licence and vape retailer serving the Hyde Park student area.</t>
        </is>
      </c>
      <c r="AP277" s="10" t="inlineStr">
        <is>
          <t>Low</t>
        </is>
      </c>
      <c r="AQ277" s="10" t="inlineStr">
        <is>
          <t>Independent retailer; Relevant category</t>
        </is>
      </c>
      <c r="AR277" s="10" t="inlineStr">
        <is>
          <t>https://www.yorkshire.com/leeds/shopping/off-license</t>
        </is>
      </c>
      <c r="AS277" s="10" t="inlineStr"/>
      <c r="AT277" s="10" t="inlineStr">
        <is>
          <t>1</t>
        </is>
      </c>
      <c r="AU277" s="10" t="inlineStr">
        <is>
          <t>No</t>
        </is>
      </c>
      <c r="AV277" s="10" t="inlineStr">
        <is>
          <t>No</t>
        </is>
      </c>
      <c r="AW277" s="10" t="inlineStr">
        <is>
          <t>No</t>
        </is>
      </c>
      <c r="AX277" s="10" t="inlineStr">
        <is>
          <t>No</t>
        </is>
      </c>
      <c r="AY277" s="10" t="inlineStr">
        <is>
          <t>Not Found</t>
        </is>
      </c>
      <c r="AZ277" s="10" t="inlineStr">
        <is>
          <t>Not Found</t>
        </is>
      </c>
      <c r="BA277" s="10" t="inlineStr">
        <is>
          <t>2026-09-16</t>
        </is>
      </c>
      <c r="BB277" s="10" t="inlineStr">
        <is>
          <t>Requires Verification</t>
        </is>
      </c>
      <c r="BC277" s="10" t="inlineStr">
        <is>
          <t>Low</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2026-09-16</t>
        </is>
      </c>
      <c r="BJ277" s="10" t="inlineStr">
        <is>
          <t>New</t>
        </is>
      </c>
      <c r="BK277" s="10" t="inlineStr">
        <is>
          <t>2026-09-16</t>
        </is>
      </c>
      <c r="BL277" s="10" t="inlineStr"/>
      <c r="BM277" s="10" t="inlineStr"/>
      <c r="BN277" s="10" t="inlineStr"/>
      <c r="BO277" s="10" t="inlineStr"/>
      <c r="BP277" s="10" t="inlineStr"/>
      <c r="BQ277" s="10" t="inlineStr"/>
    </row>
    <row r="278">
      <c r="A278" s="5" t="inlineStr">
        <is>
          <t>UK-000292</t>
        </is>
      </c>
      <c r="B278" s="5" t="inlineStr">
        <is>
          <t>UK-000292-01</t>
        </is>
      </c>
      <c r="C278" s="5" t="inlineStr"/>
      <c r="D278" s="5" t="inlineStr">
        <is>
          <t>Vape with Us Northallerton</t>
        </is>
      </c>
      <c r="E278" s="5" t="inlineStr">
        <is>
          <t>Vape with Us</t>
        </is>
      </c>
      <c r="F278" s="5" t="inlineStr">
        <is>
          <t>Vape With Us Northallerton Ltd</t>
        </is>
      </c>
      <c r="G278" s="5" t="inlineStr">
        <is>
          <t>Vape Shop</t>
        </is>
      </c>
      <c r="H278" s="5" t="inlineStr">
        <is>
          <t>E-cigarette &amp; e-liquid retailer</t>
        </is>
      </c>
      <c r="I278" s="5" t="inlineStr">
        <is>
          <t>Independent</t>
        </is>
      </c>
      <c r="J278" s="5" t="inlineStr">
        <is>
          <t>1</t>
        </is>
      </c>
      <c r="K278" s="5" t="inlineStr"/>
      <c r="L278" s="5" t="inlineStr">
        <is>
          <t>https://www.facebook.com/VAPEWITHUSNorthallerton/</t>
        </is>
      </c>
      <c r="M278" s="5" t="inlineStr"/>
      <c r="N278" s="5" t="inlineStr"/>
      <c r="O278" s="5" t="inlineStr">
        <is>
          <t>162 High Street</t>
        </is>
      </c>
      <c r="P278" s="5" t="inlineStr"/>
      <c r="Q278" s="5" t="inlineStr">
        <is>
          <t>Northallerton</t>
        </is>
      </c>
      <c r="R278" s="5" t="inlineStr">
        <is>
          <t>North Yorkshire</t>
        </is>
      </c>
      <c r="S278" s="5" t="inlineStr">
        <is>
          <t>DL7 8JZ</t>
        </is>
      </c>
      <c r="T278" s="5" t="inlineStr">
        <is>
          <t>Yorkshire &amp; Humber</t>
        </is>
      </c>
      <c r="U278" s="5" t="inlineStr">
        <is>
          <t>England</t>
        </is>
      </c>
      <c r="V278" s="5" t="inlineStr">
        <is>
          <t>01609 772799</t>
        </is>
      </c>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vape hardware; e-liquids; disposables</t>
        </is>
      </c>
      <c r="AL278" s="5" t="inlineStr"/>
      <c r="AM278" s="5" t="inlineStr">
        <is>
          <t>Vape Shop</t>
        </is>
      </c>
      <c r="AN278" s="5" t="inlineStr"/>
      <c r="AO278" s="5" t="inlineStr">
        <is>
          <t>Independent Northallerton High Street vape shop. Legal name 'Vape With Us Northallerton Ltd' referenced on a vaping forum thread (not verified at Companies House). Address/phone from Love Northallerton directory and Facebook via search snippets.</t>
        </is>
      </c>
      <c r="AP278" s="5" t="inlineStr">
        <is>
          <t>Medium</t>
        </is>
      </c>
      <c r="AQ278" s="5" t="inlineStr">
        <is>
          <t>Independent retailer; Core relevant category; Social presence</t>
        </is>
      </c>
      <c r="AR278" s="5" t="inlineStr">
        <is>
          <t>https://www.facebook.com/VAPEWITHUSNorthallerton/</t>
        </is>
      </c>
      <c r="AS278" s="5" t="inlineStr">
        <is>
          <t>https://www.lovenorthallerton.com/business-directory/vape-with-us/</t>
        </is>
      </c>
      <c r="AT278" s="5" t="inlineStr">
        <is>
          <t>2</t>
        </is>
      </c>
      <c r="AU278" s="5" t="inlineStr">
        <is>
          <t>No</t>
        </is>
      </c>
      <c r="AV278" s="5" t="inlineStr">
        <is>
          <t>No</t>
        </is>
      </c>
      <c r="AW278" s="5" t="inlineStr">
        <is>
          <t>No</t>
        </is>
      </c>
      <c r="AX278" s="5" t="inlineStr">
        <is>
          <t>No</t>
        </is>
      </c>
      <c r="AY278" s="5" t="inlineStr">
        <is>
          <t>Verified directory</t>
        </is>
      </c>
      <c r="AZ278" s="5" t="inlineStr">
        <is>
          <t>Not Found</t>
        </is>
      </c>
      <c r="BA278" s="5" t="inlineStr">
        <is>
          <t>2026-09-16</t>
        </is>
      </c>
      <c r="BB278" s="5" t="inlineStr">
        <is>
          <t>Requires Verification</t>
        </is>
      </c>
      <c r="BC278" s="5" t="inlineStr">
        <is>
          <t>Medium</t>
        </is>
      </c>
      <c r="BD278" s="5" t="inlineStr"/>
      <c r="BE278" s="5" t="inlineStr">
        <is>
          <t>Business (B2B)</t>
        </is>
      </c>
      <c r="BF278" s="5" t="inlineStr">
        <is>
          <t>Legitimate interest (B2B) - assess per campaign; PECR: corporate subscribers</t>
        </is>
      </c>
      <c r="BG278" s="5" t="inlineStr"/>
      <c r="BH278" s="5" t="inlineStr">
        <is>
          <t>No</t>
        </is>
      </c>
      <c r="BI278" s="5" t="inlineStr">
        <is>
          <t>2026-09-16</t>
        </is>
      </c>
      <c r="BJ278" s="5" t="inlineStr">
        <is>
          <t>New</t>
        </is>
      </c>
      <c r="BK278" s="5" t="inlineStr">
        <is>
          <t>2026-09-16</t>
        </is>
      </c>
      <c r="BL278" s="5" t="inlineStr"/>
      <c r="BM278" s="5" t="inlineStr"/>
      <c r="BN278" s="5" t="inlineStr"/>
      <c r="BO278" s="5" t="inlineStr"/>
      <c r="BP278" s="5" t="inlineStr"/>
      <c r="BQ278" s="5" t="inlineStr"/>
    </row>
    <row r="279">
      <c r="A279" s="10" t="inlineStr">
        <is>
          <t>WY-0179</t>
        </is>
      </c>
      <c r="B279" s="10" t="inlineStr">
        <is>
          <t>WY-0179-01</t>
        </is>
      </c>
      <c r="C279" s="10" t="inlineStr"/>
      <c r="D279" s="10" t="inlineStr">
        <is>
          <t>VapeShop Leeds</t>
        </is>
      </c>
      <c r="E279" s="10" t="inlineStr">
        <is>
          <t>VapeShop Leeds</t>
        </is>
      </c>
      <c r="F279" s="10" t="inlineStr"/>
      <c r="G279" s="10" t="inlineStr">
        <is>
          <t>Vape Shop</t>
        </is>
      </c>
      <c r="H279" s="10" t="inlineStr">
        <is>
          <t>E-cigarette specialist</t>
        </is>
      </c>
      <c r="I279" s="10" t="inlineStr">
        <is>
          <t>Independent</t>
        </is>
      </c>
      <c r="J279" s="10" t="inlineStr">
        <is>
          <t>1</t>
        </is>
      </c>
      <c r="K279" s="10" t="inlineStr"/>
      <c r="L279" s="10" t="inlineStr"/>
      <c r="M279" s="10" t="inlineStr"/>
      <c r="N279" s="10" t="inlineStr"/>
      <c r="O279" s="10" t="inlineStr">
        <is>
          <t>229 Selby Road</t>
        </is>
      </c>
      <c r="P279" s="10" t="inlineStr">
        <is>
          <t>Halton</t>
        </is>
      </c>
      <c r="Q279" s="10" t="inlineStr">
        <is>
          <t>Leeds</t>
        </is>
      </c>
      <c r="R279" s="10" t="inlineStr">
        <is>
          <t>West Yorkshire</t>
        </is>
      </c>
      <c r="S279" s="10" t="inlineStr">
        <is>
          <t>LS15 7HW</t>
        </is>
      </c>
      <c r="T279" s="10" t="inlineStr">
        <is>
          <t>Yorkshire &amp; Humber</t>
        </is>
      </c>
      <c r="U279" s="10" t="inlineStr">
        <is>
          <t>England</t>
        </is>
      </c>
      <c r="V279" s="10" t="inlineStr"/>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e-cigarettes; tanks; mods; e-liquids</t>
        </is>
      </c>
      <c r="AL279" s="10" t="inlineStr"/>
      <c r="AM279" s="10" t="inlineStr">
        <is>
          <t>Vape Shop</t>
        </is>
      </c>
      <c r="AN279" s="10" t="inlineStr"/>
      <c r="AO279" s="10" t="inlineStr">
        <is>
          <t>Independent e-cig specialist with free parking; newly refurbished per directory listing.</t>
        </is>
      </c>
      <c r="AP279" s="10" t="inlineStr">
        <is>
          <t>Medium</t>
        </is>
      </c>
      <c r="AQ279" s="10" t="inlineStr">
        <is>
          <t>Independent retailer; Core relevant category</t>
        </is>
      </c>
      <c r="AR279" s="10" t="inlineStr">
        <is>
          <t>https://ecigdirectory.co.uk/vape-shop/listing/vapeshop-leeds</t>
        </is>
      </c>
      <c r="AS279" s="10" t="inlineStr"/>
      <c r="AT279" s="10" t="inlineStr">
        <is>
          <t>1</t>
        </is>
      </c>
      <c r="AU279" s="10" t="inlineStr">
        <is>
          <t>No</t>
        </is>
      </c>
      <c r="AV279" s="10" t="inlineStr">
        <is>
          <t>No</t>
        </is>
      </c>
      <c r="AW279" s="10" t="inlineStr">
        <is>
          <t>No</t>
        </is>
      </c>
      <c r="AX279" s="10" t="inlineStr">
        <is>
          <t>No</t>
        </is>
      </c>
      <c r="AY279" s="10" t="inlineStr">
        <is>
          <t>Not Found</t>
        </is>
      </c>
      <c r="AZ279" s="10" t="inlineStr">
        <is>
          <t>Not Found</t>
        </is>
      </c>
      <c r="BA279" s="10" t="inlineStr">
        <is>
          <t>2026-09-16</t>
        </is>
      </c>
      <c r="BB279" s="10" t="inlineStr">
        <is>
          <t>Requires Verification</t>
        </is>
      </c>
      <c r="BC279" s="10" t="inlineStr">
        <is>
          <t>Low</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2026-09-16</t>
        </is>
      </c>
      <c r="BJ279" s="10" t="inlineStr">
        <is>
          <t>New</t>
        </is>
      </c>
      <c r="BK279" s="10" t="inlineStr">
        <is>
          <t>2026-09-16</t>
        </is>
      </c>
      <c r="BL279" s="10" t="inlineStr"/>
      <c r="BM279" s="10" t="inlineStr"/>
      <c r="BN279" s="10" t="inlineStr"/>
      <c r="BO279" s="10" t="inlineStr"/>
      <c r="BP279" s="10" t="inlineStr"/>
      <c r="BQ279" s="10" t="inlineStr"/>
    </row>
    <row r="280">
      <c r="A280" s="5" t="inlineStr">
        <is>
          <t>WY-0180</t>
        </is>
      </c>
      <c r="B280" s="5" t="inlineStr">
        <is>
          <t>WY-0180-01</t>
        </is>
      </c>
      <c r="C280" s="5" t="inlineStr"/>
      <c r="D280" s="5" t="inlineStr">
        <is>
          <t>Vaperites</t>
        </is>
      </c>
      <c r="E280" s="5" t="inlineStr">
        <is>
          <t>Vaperites</t>
        </is>
      </c>
      <c r="F280" s="5" t="inlineStr"/>
      <c r="G280" s="5" t="inlineStr">
        <is>
          <t>Vape Shop</t>
        </is>
      </c>
      <c r="H280" s="5" t="inlineStr">
        <is>
          <t>Vape retailer and wholesaler</t>
        </is>
      </c>
      <c r="I280" s="5" t="inlineStr">
        <is>
          <t>Independent</t>
        </is>
      </c>
      <c r="J280" s="5" t="inlineStr">
        <is>
          <t>1</t>
        </is>
      </c>
      <c r="K280" s="5" t="inlineStr">
        <is>
          <t>https://vaperites.co.uk</t>
        </is>
      </c>
      <c r="L280" s="5" t="inlineStr">
        <is>
          <t>https://www.facebook.com/TheVapePeople/</t>
        </is>
      </c>
      <c r="M280" s="5" t="inlineStr"/>
      <c r="N280" s="5" t="inlineStr"/>
      <c r="O280" s="5" t="inlineStr">
        <is>
          <t>9 Horse Fair</t>
        </is>
      </c>
      <c r="P280" s="5" t="inlineStr"/>
      <c r="Q280" s="5" t="inlineStr">
        <is>
          <t>Pontefract</t>
        </is>
      </c>
      <c r="R280" s="5" t="inlineStr">
        <is>
          <t>West Yorkshire</t>
        </is>
      </c>
      <c r="S280" s="5" t="inlineStr">
        <is>
          <t>WF8 1PE</t>
        </is>
      </c>
      <c r="T280" s="5" t="inlineStr">
        <is>
          <t>Yorkshire &amp; Humber</t>
        </is>
      </c>
      <c r="U280" s="5" t="inlineStr">
        <is>
          <t>England</t>
        </is>
      </c>
      <c r="V280" s="5" t="inlineStr">
        <is>
          <t>01977 278484</t>
        </is>
      </c>
      <c r="W280" s="5" t="inlineStr"/>
      <c r="X280" s="5" t="inlineStr"/>
      <c r="Y280" s="5" t="inlineStr">
        <is>
          <t>vaperite@gmail.com</t>
        </is>
      </c>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e-cigarettes; e-liquids; disposables</t>
        </is>
      </c>
      <c r="AL280" s="5" t="inlineStr"/>
      <c r="AM280" s="5" t="inlineStr">
        <is>
          <t>Vape Shop</t>
        </is>
      </c>
      <c r="AN280" s="5" t="inlineStr">
        <is>
          <t>Acts as both retailer and wholesaler of e-cigarettes, e-liquids and disposables</t>
        </is>
      </c>
      <c r="AO280" s="5" t="inlineStr">
        <is>
          <t>Postcode WF8 1PE confirmed from the shop's own Facebook opening-times post. Directly opposite Pontefract bus station area (Horse Fair).</t>
        </is>
      </c>
      <c r="AP280" s="5" t="inlineStr">
        <is>
          <t>High</t>
        </is>
      </c>
      <c r="AQ280" s="5" t="inlineStr">
        <is>
          <t>Independent retailer; Core relevant category; Public email available; Active website; Social presence</t>
        </is>
      </c>
      <c r="AR280" s="5" t="inlineStr">
        <is>
          <t>https://www.facebook.com/TheVapePeople/posts/new-opening-times9-horsefair-pontefract-wf8-1pe/417671657263981/</t>
        </is>
      </c>
      <c r="AS280" s="5" t="inlineStr">
        <is>
          <t>https://vapeshops.puffingbird.com/yorkshire-and-the-humber/pontefract/vaperites-e-cigarette-store</t>
        </is>
      </c>
      <c r="AT280" s="5" t="inlineStr">
        <is>
          <t>2</t>
        </is>
      </c>
      <c r="AU280" s="5" t="inlineStr">
        <is>
          <t>No</t>
        </is>
      </c>
      <c r="AV280" s="5" t="inlineStr">
        <is>
          <t>No</t>
        </is>
      </c>
      <c r="AW280" s="5" t="inlineStr">
        <is>
          <t>No</t>
        </is>
      </c>
      <c r="AX280" s="5" t="inlineStr">
        <is>
          <t>No</t>
        </is>
      </c>
      <c r="AY280" s="5" t="inlineStr">
        <is>
          <t>Verified directory</t>
        </is>
      </c>
      <c r="AZ280" s="5" t="inlineStr">
        <is>
          <t>Unverified</t>
        </is>
      </c>
      <c r="BA280" s="5" t="inlineStr">
        <is>
          <t>2026-09-16</t>
        </is>
      </c>
      <c r="BB280" s="5" t="inlineStr">
        <is>
          <t>Requires Verification</t>
        </is>
      </c>
      <c r="BC280" s="5" t="inlineStr">
        <is>
          <t>Medium</t>
        </is>
      </c>
      <c r="BD280" s="5" t="inlineStr"/>
      <c r="BE280" s="5" t="inlineStr">
        <is>
          <t>Business (B2B)</t>
        </is>
      </c>
      <c r="BF280" s="5" t="inlineStr">
        <is>
          <t>Legitimate interest (B2B) - assess per campaign; PECR: corporate subscribers</t>
        </is>
      </c>
      <c r="BG280" s="5" t="inlineStr"/>
      <c r="BH280" s="5" t="inlineStr">
        <is>
          <t>No</t>
        </is>
      </c>
      <c r="BI280" s="5" t="inlineStr">
        <is>
          <t>2026-09-16</t>
        </is>
      </c>
      <c r="BJ280" s="5" t="inlineStr">
        <is>
          <t>New</t>
        </is>
      </c>
      <c r="BK280" s="5" t="inlineStr">
        <is>
          <t>2026-09-16</t>
        </is>
      </c>
      <c r="BL280" s="5" t="inlineStr"/>
      <c r="BM280" s="5" t="inlineStr"/>
      <c r="BN280" s="5" t="inlineStr"/>
      <c r="BO280" s="5" t="inlineStr"/>
      <c r="BP280" s="5" t="inlineStr"/>
      <c r="BQ280" s="5" t="inlineStr"/>
    </row>
    <row r="281">
      <c r="A281" s="10" t="inlineStr">
        <is>
          <t>WY-0181</t>
        </is>
      </c>
      <c r="B281" s="10" t="inlineStr">
        <is>
          <t>WY-0181-01</t>
        </is>
      </c>
      <c r="C281" s="10" t="inlineStr"/>
      <c r="D281" s="10" t="inlineStr">
        <is>
          <t>Vapestation</t>
        </is>
      </c>
      <c r="E281" s="10" t="inlineStr">
        <is>
          <t>Vapestation</t>
        </is>
      </c>
      <c r="F281" s="10" t="inlineStr"/>
      <c r="G281" s="10" t="inlineStr">
        <is>
          <t>Vape Shop</t>
        </is>
      </c>
      <c r="H281" s="10" t="inlineStr">
        <is>
          <t>E-liquid and hardware specialist</t>
        </is>
      </c>
      <c r="I281" s="10" t="inlineStr">
        <is>
          <t>Independent</t>
        </is>
      </c>
      <c r="J281" s="10" t="inlineStr">
        <is>
          <t>1</t>
        </is>
      </c>
      <c r="K281" s="10" t="inlineStr"/>
      <c r="L281" s="10" t="inlineStr"/>
      <c r="M281" s="10" t="inlineStr"/>
      <c r="N281" s="10" t="inlineStr">
        <is>
          <t>https://nextdoor.co.uk/pages/vapestation-inc-limited-halifax-yorkshire/</t>
        </is>
      </c>
      <c r="O281" s="10" t="inlineStr">
        <is>
          <t>39a Horton Street</t>
        </is>
      </c>
      <c r="P281" s="10" t="inlineStr"/>
      <c r="Q281" s="10" t="inlineStr">
        <is>
          <t>Halifax</t>
        </is>
      </c>
      <c r="R281" s="10" t="inlineStr">
        <is>
          <t>West Yorkshire</t>
        </is>
      </c>
      <c r="S281" s="10" t="inlineStr">
        <is>
          <t>HX1 1QE</t>
        </is>
      </c>
      <c r="T281" s="10" t="inlineStr">
        <is>
          <t>Yorkshire &amp; Humber</t>
        </is>
      </c>
      <c r="U281" s="10" t="inlineStr">
        <is>
          <t>England</t>
        </is>
      </c>
      <c r="V281" s="10" t="inlineStr">
        <is>
          <t>01422 365557</t>
        </is>
      </c>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is>
          <t>premium American e-juices; high-end devices and atomisers</t>
        </is>
      </c>
      <c r="AK281" s="10" t="inlineStr">
        <is>
          <t>vape hardware; e-liquids</t>
        </is>
      </c>
      <c r="AL281" s="10" t="inlineStr"/>
      <c r="AM281" s="10" t="inlineStr">
        <is>
          <t>Vape Shop</t>
        </is>
      </c>
      <c r="AN281" s="10" t="inlineStr"/>
      <c r="AO281" s="10" t="inlineStr">
        <is>
          <t>Nextdoor page is titled 'Vapestation Inc Limited', suggesting the legal name, but this was not verified at Companies House (site fetch blocked).</t>
        </is>
      </c>
      <c r="AP281" s="10" t="inlineStr">
        <is>
          <t>Medium</t>
        </is>
      </c>
      <c r="AQ281" s="10" t="inlineStr">
        <is>
          <t>Independent retailer; Core relevant category; Social presence</t>
        </is>
      </c>
      <c r="AR281" s="10" t="inlineStr">
        <is>
          <t>https://www.yell.com/biz/vape-station-halifax-8116342/</t>
        </is>
      </c>
      <c r="AS281" s="10" t="inlineStr">
        <is>
          <t>https://www.yelp.com/biz/vapestation-halifax</t>
        </is>
      </c>
      <c r="AT281" s="10" t="inlineStr">
        <is>
          <t>2</t>
        </is>
      </c>
      <c r="AU281" s="10" t="inlineStr">
        <is>
          <t>No</t>
        </is>
      </c>
      <c r="AV281" s="10" t="inlineStr">
        <is>
          <t>No</t>
        </is>
      </c>
      <c r="AW281" s="10" t="inlineStr">
        <is>
          <t>No</t>
        </is>
      </c>
      <c r="AX281" s="10" t="inlineStr">
        <is>
          <t>No</t>
        </is>
      </c>
      <c r="AY281" s="10" t="inlineStr">
        <is>
          <t>Verified directory</t>
        </is>
      </c>
      <c r="AZ281" s="10" t="inlineStr">
        <is>
          <t>Not Found</t>
        </is>
      </c>
      <c r="BA281" s="10" t="inlineStr">
        <is>
          <t>2026-09-16</t>
        </is>
      </c>
      <c r="BB281" s="10" t="inlineStr">
        <is>
          <t>Requires Verification</t>
        </is>
      </c>
      <c r="BC281" s="10" t="inlineStr">
        <is>
          <t>Medium</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2026-09-16</t>
        </is>
      </c>
      <c r="BJ281" s="10" t="inlineStr">
        <is>
          <t>New</t>
        </is>
      </c>
      <c r="BK281" s="10" t="inlineStr">
        <is>
          <t>2026-09-16</t>
        </is>
      </c>
      <c r="BL281" s="10" t="inlineStr"/>
      <c r="BM281" s="10" t="inlineStr"/>
      <c r="BN281" s="10" t="inlineStr"/>
      <c r="BO281" s="10" t="inlineStr"/>
      <c r="BP281" s="10" t="inlineStr"/>
      <c r="BQ281" s="10" t="inlineStr"/>
    </row>
    <row r="282">
      <c r="A282" s="5" t="inlineStr">
        <is>
          <t>WY-0182</t>
        </is>
      </c>
      <c r="B282" s="5" t="inlineStr">
        <is>
          <t>WY-0182-01</t>
        </is>
      </c>
      <c r="C282" s="5" t="inlineStr"/>
      <c r="D282" s="5" t="inlineStr">
        <is>
          <t>Vaping Bar Normanton</t>
        </is>
      </c>
      <c r="E282" s="5" t="inlineStr">
        <is>
          <t>Vaping Bar Normanton</t>
        </is>
      </c>
      <c r="F282" s="5" t="inlineStr"/>
      <c r="G282" s="5" t="inlineStr">
        <is>
          <t>Vape Shop</t>
        </is>
      </c>
      <c r="H282" s="5" t="inlineStr">
        <is>
          <t>Vape retailer</t>
        </is>
      </c>
      <c r="I282" s="5" t="inlineStr">
        <is>
          <t>Independent</t>
        </is>
      </c>
      <c r="J282" s="5" t="inlineStr">
        <is>
          <t>1</t>
        </is>
      </c>
      <c r="K282" s="5" t="inlineStr"/>
      <c r="L282" s="5" t="inlineStr">
        <is>
          <t>https://www.facebook.com/p/Vaping-Bar-Normanton-100063635944918/</t>
        </is>
      </c>
      <c r="M282" s="5" t="inlineStr"/>
      <c r="N282" s="5" t="inlineStr"/>
      <c r="O282" s="5" t="inlineStr"/>
      <c r="P282" s="5" t="inlineStr"/>
      <c r="Q282" s="5" t="inlineStr">
        <is>
          <t>Normanton</t>
        </is>
      </c>
      <c r="R282" s="5" t="inlineStr">
        <is>
          <t>West Yorkshire</t>
        </is>
      </c>
      <c r="S282" s="5" t="inlineStr"/>
      <c r="T282" s="5" t="inlineStr">
        <is>
          <t>Yorkshire &amp; Humber</t>
        </is>
      </c>
      <c r="U282" s="5" t="inlineStr">
        <is>
          <t>England</t>
        </is>
      </c>
      <c r="V282" s="5" t="inlineStr"/>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e-liquids; vape hardware</t>
        </is>
      </c>
      <c r="AL282" s="5" t="inlineStr"/>
      <c r="AM282" s="5" t="inlineStr">
        <is>
          <t>Vape Shop</t>
        </is>
      </c>
      <c r="AN282" s="5" t="inlineStr"/>
      <c r="AO282" s="5" t="inlineStr">
        <is>
          <t>Facebook page describes quality e-cig liquid and hardware with knowledgeable staff aimed at smokers trying to quit. Street address not found in accessible sources - needs follow-up.</t>
        </is>
      </c>
      <c r="AP282" s="5" t="inlineStr">
        <is>
          <t>Medium</t>
        </is>
      </c>
      <c r="AQ282" s="5" t="inlineStr">
        <is>
          <t>Independent retailer; Core relevant category; Social presence</t>
        </is>
      </c>
      <c r="AR282" s="5" t="inlineStr">
        <is>
          <t>https://www.facebook.com/p/Vaping-Bar-Normanton-100063635944918/</t>
        </is>
      </c>
      <c r="AS282" s="5" t="inlineStr"/>
      <c r="AT282" s="5" t="inlineStr">
        <is>
          <t>1</t>
        </is>
      </c>
      <c r="AU282" s="5" t="inlineStr">
        <is>
          <t>No</t>
        </is>
      </c>
      <c r="AV282" s="5" t="inlineStr">
        <is>
          <t>No</t>
        </is>
      </c>
      <c r="AW282" s="5" t="inlineStr">
        <is>
          <t>No</t>
        </is>
      </c>
      <c r="AX282" s="5" t="inlineStr">
        <is>
          <t>No</t>
        </is>
      </c>
      <c r="AY282" s="5" t="inlineStr">
        <is>
          <t>Not Found</t>
        </is>
      </c>
      <c r="AZ282" s="5" t="inlineStr">
        <is>
          <t>Not Found</t>
        </is>
      </c>
      <c r="BA282" s="5" t="inlineStr">
        <is>
          <t>2026-09-16</t>
        </is>
      </c>
      <c r="BB282" s="5" t="inlineStr">
        <is>
          <t>Requires Verification</t>
        </is>
      </c>
      <c r="BC282" s="5" t="inlineStr">
        <is>
          <t>Low</t>
        </is>
      </c>
      <c r="BD282" s="5" t="inlineStr"/>
      <c r="BE282" s="5" t="inlineStr">
        <is>
          <t>Business (B2B)</t>
        </is>
      </c>
      <c r="BF282" s="5" t="inlineStr">
        <is>
          <t>Legitimate interest (B2B) - assess per campaign; PECR: corporate subscribers</t>
        </is>
      </c>
      <c r="BG282" s="5" t="inlineStr"/>
      <c r="BH282" s="5" t="inlineStr">
        <is>
          <t>No</t>
        </is>
      </c>
      <c r="BI282" s="5" t="inlineStr">
        <is>
          <t>2026-09-16</t>
        </is>
      </c>
      <c r="BJ282" s="5" t="inlineStr">
        <is>
          <t>New</t>
        </is>
      </c>
      <c r="BK282" s="5" t="inlineStr">
        <is>
          <t>2026-09-16</t>
        </is>
      </c>
      <c r="BL282" s="5" t="inlineStr"/>
      <c r="BM282" s="5" t="inlineStr"/>
      <c r="BN282" s="5" t="inlineStr"/>
      <c r="BO282" s="5" t="inlineStr"/>
      <c r="BP282" s="5" t="inlineStr"/>
      <c r="BQ282" s="5" t="inlineStr"/>
    </row>
    <row r="283">
      <c r="A283" s="10" t="inlineStr">
        <is>
          <t>UK-000293</t>
        </is>
      </c>
      <c r="B283" s="10" t="inlineStr">
        <is>
          <t>UK-000293-01</t>
        </is>
      </c>
      <c r="C283" s="10" t="inlineStr"/>
      <c r="D283" s="10" t="inlineStr">
        <is>
          <t>Vaping Cloud</t>
        </is>
      </c>
      <c r="E283" s="10" t="inlineStr">
        <is>
          <t>Vaping Cloud</t>
        </is>
      </c>
      <c r="F283" s="10" t="inlineStr"/>
      <c r="G283" s="10" t="inlineStr">
        <is>
          <t>Vape Shop</t>
        </is>
      </c>
      <c r="H283" s="10" t="inlineStr">
        <is>
          <t>E-liquid shop</t>
        </is>
      </c>
      <c r="I283" s="10" t="inlineStr">
        <is>
          <t>Independent</t>
        </is>
      </c>
      <c r="J283" s="10" t="inlineStr">
        <is>
          <t>1</t>
        </is>
      </c>
      <c r="K283" s="10" t="inlineStr"/>
      <c r="L283" s="10" t="inlineStr"/>
      <c r="M283" s="10" t="inlineStr"/>
      <c r="N283" s="10" t="inlineStr"/>
      <c r="O283" s="10" t="inlineStr">
        <is>
          <t>3 Bedford Road</t>
        </is>
      </c>
      <c r="P283" s="10" t="inlineStr"/>
      <c r="Q283" s="10" t="inlineStr">
        <is>
          <t>Cleethorpes</t>
        </is>
      </c>
      <c r="R283" s="10" t="inlineStr">
        <is>
          <t>Lincolnshire</t>
        </is>
      </c>
      <c r="S283" s="10" t="inlineStr">
        <is>
          <t>DN35 0PX</t>
        </is>
      </c>
      <c r="T283" s="10" t="inlineStr">
        <is>
          <t>Yorkshire &amp; Humber</t>
        </is>
      </c>
      <c r="U283" s="10" t="inlineStr">
        <is>
          <t>England</t>
        </is>
      </c>
      <c r="V283" s="10" t="inlineStr">
        <is>
          <t>01472 488770</t>
        </is>
      </c>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e-liquids; vape hardware; disposables</t>
        </is>
      </c>
      <c r="AL283" s="10" t="inlineStr"/>
      <c r="AM283" s="10" t="inlineStr">
        <is>
          <t>Vape Shop</t>
        </is>
      </c>
      <c r="AN283" s="10" t="inlineStr"/>
      <c r="AO283" s="10" t="inlineStr">
        <is>
          <t>Independent vape shop (listed as Vaping Cloud / Vaping Lounge High Street) in Cleethorpes.</t>
        </is>
      </c>
      <c r="AP283" s="10" t="inlineStr">
        <is>
          <t>Medium</t>
        </is>
      </c>
      <c r="AQ283" s="10" t="inlineStr">
        <is>
          <t>Independent retailer; Core relevant category</t>
        </is>
      </c>
      <c r="AR283" s="10" t="inlineStr">
        <is>
          <t>https://ecigdirectory.co.uk/vape-shop/listing/vaping-lounge-high-street</t>
        </is>
      </c>
      <c r="AS283" s="10" t="inlineStr"/>
      <c r="AT283" s="10" t="inlineStr">
        <is>
          <t>1</t>
        </is>
      </c>
      <c r="AU283" s="10" t="inlineStr">
        <is>
          <t>No</t>
        </is>
      </c>
      <c r="AV283" s="10" t="inlineStr">
        <is>
          <t>No</t>
        </is>
      </c>
      <c r="AW283" s="10" t="inlineStr">
        <is>
          <t>No</t>
        </is>
      </c>
      <c r="AX283" s="10" t="inlineStr">
        <is>
          <t>No</t>
        </is>
      </c>
      <c r="AY283" s="10" t="inlineStr">
        <is>
          <t>Verified directory</t>
        </is>
      </c>
      <c r="AZ283" s="10" t="inlineStr">
        <is>
          <t>Not Found</t>
        </is>
      </c>
      <c r="BA283" s="10" t="inlineStr">
        <is>
          <t>2026-09-16</t>
        </is>
      </c>
      <c r="BB283" s="10" t="inlineStr">
        <is>
          <t>Requires Verification</t>
        </is>
      </c>
      <c r="BC283" s="10" t="inlineStr">
        <is>
          <t>Low</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2026-09-16</t>
        </is>
      </c>
      <c r="BJ283" s="10" t="inlineStr">
        <is>
          <t>New</t>
        </is>
      </c>
      <c r="BK283" s="10" t="inlineStr">
        <is>
          <t>2026-09-16</t>
        </is>
      </c>
      <c r="BL283" s="10" t="inlineStr"/>
      <c r="BM283" s="10" t="inlineStr"/>
      <c r="BN283" s="10" t="inlineStr"/>
      <c r="BO283" s="10" t="inlineStr"/>
      <c r="BP283" s="10" t="inlineStr"/>
      <c r="BQ283" s="10" t="inlineStr"/>
    </row>
    <row r="284">
      <c r="A284" s="5" t="inlineStr">
        <is>
          <t>WY-0183</t>
        </is>
      </c>
      <c r="B284" s="5" t="inlineStr">
        <is>
          <t>WY-0183-01</t>
        </is>
      </c>
      <c r="C284" s="5" t="inlineStr"/>
      <c r="D284" s="5" t="inlineStr">
        <is>
          <t>Vaporized Meanwood</t>
        </is>
      </c>
      <c r="E284" s="5" t="inlineStr">
        <is>
          <t>Vaporized</t>
        </is>
      </c>
      <c r="F284" s="5" t="inlineStr"/>
      <c r="G284" s="5" t="inlineStr">
        <is>
          <t>Vape Shop</t>
        </is>
      </c>
      <c r="H284" s="5" t="inlineStr">
        <is>
          <t>E-cigarette and e-liquid shop</t>
        </is>
      </c>
      <c r="I284" s="5" t="inlineStr">
        <is>
          <t>Unknown</t>
        </is>
      </c>
      <c r="J284" s="5" t="inlineStr">
        <is>
          <t>1</t>
        </is>
      </c>
      <c r="K284" s="5" t="inlineStr"/>
      <c r="L284" s="5" t="inlineStr"/>
      <c r="M284" s="5" t="inlineStr"/>
      <c r="N284" s="5" t="inlineStr"/>
      <c r="O284" s="5" t="inlineStr">
        <is>
          <t>16 Stonegate Road</t>
        </is>
      </c>
      <c r="P284" s="5" t="inlineStr">
        <is>
          <t>Meanwood</t>
        </is>
      </c>
      <c r="Q284" s="5" t="inlineStr">
        <is>
          <t>Leeds</t>
        </is>
      </c>
      <c r="R284" s="5" t="inlineStr">
        <is>
          <t>West Yorkshire</t>
        </is>
      </c>
      <c r="S284" s="5" t="inlineStr">
        <is>
          <t>LS6 4HY</t>
        </is>
      </c>
      <c r="T284" s="5" t="inlineStr">
        <is>
          <t>Yorkshire &amp; Humber</t>
        </is>
      </c>
      <c r="U284" s="5" t="inlineStr">
        <is>
          <t>England</t>
        </is>
      </c>
      <c r="V284" s="5" t="inlineStr">
        <is>
          <t>0113 274 8997</t>
        </is>
      </c>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vape hardware; e-liquids</t>
        </is>
      </c>
      <c r="AL284" s="5" t="inlineStr"/>
      <c r="AM284" s="5" t="inlineStr">
        <is>
          <t>Vape Shop</t>
        </is>
      </c>
      <c r="AN284" s="5" t="inlineStr"/>
      <c r="AO284" s="5" t="inlineStr">
        <is>
          <t>Directory sources conflict on address: 16 Stonegate Road LS6 4HY (ecigdirectory) vs 591 Meanwood Road LS6 4AY (yellowpages.net). Needs on-the-ground verification.</t>
        </is>
      </c>
      <c r="AP284" s="5" t="inlineStr">
        <is>
          <t>Low</t>
        </is>
      </c>
      <c r="AQ284" s="5" t="inlineStr">
        <is>
          <t>Core relevant category</t>
        </is>
      </c>
      <c r="AR284" s="5" t="inlineStr">
        <is>
          <t>https://ecigdirectory.co.uk/vape-shop/listing/vaporized-meanwood-leeds</t>
        </is>
      </c>
      <c r="AS284" s="5" t="inlineStr">
        <is>
          <t>https://www.yellowpages.net/phone_44-1132748997_vaporizer-store_Leeds_PL4814848.html</t>
        </is>
      </c>
      <c r="AT284" s="5" t="inlineStr">
        <is>
          <t>2</t>
        </is>
      </c>
      <c r="AU284" s="5" t="inlineStr">
        <is>
          <t>No</t>
        </is>
      </c>
      <c r="AV284" s="5" t="inlineStr">
        <is>
          <t>No</t>
        </is>
      </c>
      <c r="AW284" s="5" t="inlineStr">
        <is>
          <t>No</t>
        </is>
      </c>
      <c r="AX284" s="5" t="inlineStr">
        <is>
          <t>No</t>
        </is>
      </c>
      <c r="AY284" s="5" t="inlineStr">
        <is>
          <t>Verified directory</t>
        </is>
      </c>
      <c r="AZ284" s="5" t="inlineStr">
        <is>
          <t>Not Found</t>
        </is>
      </c>
      <c r="BA284" s="5" t="inlineStr">
        <is>
          <t>2026-09-16</t>
        </is>
      </c>
      <c r="BB284" s="5" t="inlineStr">
        <is>
          <t>Requires Verification</t>
        </is>
      </c>
      <c r="BC284" s="5" t="inlineStr">
        <is>
          <t>Low</t>
        </is>
      </c>
      <c r="BD284" s="5" t="inlineStr"/>
      <c r="BE284" s="5" t="inlineStr">
        <is>
          <t>Business (B2B)</t>
        </is>
      </c>
      <c r="BF284" s="5" t="inlineStr">
        <is>
          <t>Legitimate interest (B2B) - assess per campaign; PECR: corporate subscribers</t>
        </is>
      </c>
      <c r="BG284" s="5" t="inlineStr"/>
      <c r="BH284" s="5" t="inlineStr">
        <is>
          <t>No</t>
        </is>
      </c>
      <c r="BI284" s="5" t="inlineStr">
        <is>
          <t>2026-09-16</t>
        </is>
      </c>
      <c r="BJ284" s="5" t="inlineStr">
        <is>
          <t>New</t>
        </is>
      </c>
      <c r="BK284" s="5" t="inlineStr">
        <is>
          <t>2026-09-16</t>
        </is>
      </c>
      <c r="BL284" s="5" t="inlineStr"/>
      <c r="BM284" s="5" t="inlineStr"/>
      <c r="BN284" s="5" t="inlineStr"/>
      <c r="BO284" s="5" t="inlineStr"/>
      <c r="BP284" s="5" t="inlineStr"/>
      <c r="BQ284" s="5" t="inlineStr"/>
    </row>
    <row r="285">
      <c r="A285" s="10" t="inlineStr">
        <is>
          <t>WY-0184</t>
        </is>
      </c>
      <c r="B285" s="10" t="inlineStr">
        <is>
          <t>WY-0184-01</t>
        </is>
      </c>
      <c r="C285" s="10" t="inlineStr"/>
      <c r="D285" s="10" t="inlineStr">
        <is>
          <t>Vapour Parlour</t>
        </is>
      </c>
      <c r="E285" s="10" t="inlineStr">
        <is>
          <t>Vapour Parlour</t>
        </is>
      </c>
      <c r="F285" s="10" t="inlineStr"/>
      <c r="G285" s="10" t="inlineStr">
        <is>
          <t>Vape Shop</t>
        </is>
      </c>
      <c r="H285" s="10" t="inlineStr">
        <is>
          <t>Vape retailer</t>
        </is>
      </c>
      <c r="I285" s="10" t="inlineStr">
        <is>
          <t>Independent</t>
        </is>
      </c>
      <c r="J285" s="10" t="inlineStr">
        <is>
          <t>1</t>
        </is>
      </c>
      <c r="K285" s="10" t="inlineStr"/>
      <c r="L285" s="10" t="inlineStr"/>
      <c r="M285" s="10" t="inlineStr"/>
      <c r="N285" s="10" t="inlineStr"/>
      <c r="O285" s="10" t="inlineStr">
        <is>
          <t>83 Kirkby Road</t>
        </is>
      </c>
      <c r="P285" s="10" t="inlineStr"/>
      <c r="Q285" s="10" t="inlineStr">
        <is>
          <t>Hemsworth</t>
        </is>
      </c>
      <c r="R285" s="10" t="inlineStr">
        <is>
          <t>West Yorkshire</t>
        </is>
      </c>
      <c r="S285" s="10" t="inlineStr"/>
      <c r="T285" s="10" t="inlineStr">
        <is>
          <t>Yorkshire &amp; Humber</t>
        </is>
      </c>
      <c r="U285" s="10" t="inlineStr">
        <is>
          <t>England</t>
        </is>
      </c>
      <c r="V285" s="10" t="inlineStr"/>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vape hardware; e-liquids</t>
        </is>
      </c>
      <c r="AL285" s="10" t="inlineStr"/>
      <c r="AM285" s="10" t="inlineStr">
        <is>
          <t>Vape Shop</t>
        </is>
      </c>
      <c r="AN285" s="10" t="inlineStr"/>
      <c r="AO285" s="10" t="inlineStr">
        <is>
          <t>eCig Directory lists it at 83 Kirkby Road, Hemsworth, Pontefract. Some directories also associate the Vapour Parlour name with Pontefract town listings.</t>
        </is>
      </c>
      <c r="AP285" s="10" t="inlineStr">
        <is>
          <t>Medium</t>
        </is>
      </c>
      <c r="AQ285" s="10" t="inlineStr">
        <is>
          <t>Independent retailer; Core relevant category</t>
        </is>
      </c>
      <c r="AR285" s="10" t="inlineStr">
        <is>
          <t>https://ecigdirectory.co.uk/vape-shop/listing/vapour-parlour</t>
        </is>
      </c>
      <c r="AS285" s="10" t="inlineStr"/>
      <c r="AT285" s="10" t="inlineStr">
        <is>
          <t>1</t>
        </is>
      </c>
      <c r="AU285" s="10" t="inlineStr">
        <is>
          <t>No</t>
        </is>
      </c>
      <c r="AV285" s="10" t="inlineStr">
        <is>
          <t>No</t>
        </is>
      </c>
      <c r="AW285" s="10" t="inlineStr">
        <is>
          <t>No</t>
        </is>
      </c>
      <c r="AX285" s="10" t="inlineStr">
        <is>
          <t>No</t>
        </is>
      </c>
      <c r="AY285" s="10" t="inlineStr">
        <is>
          <t>Not Found</t>
        </is>
      </c>
      <c r="AZ285" s="10" t="inlineStr">
        <is>
          <t>Not Found</t>
        </is>
      </c>
      <c r="BA285" s="10" t="inlineStr">
        <is>
          <t>2026-09-16</t>
        </is>
      </c>
      <c r="BB285" s="10" t="inlineStr">
        <is>
          <t>Requires Verification</t>
        </is>
      </c>
      <c r="BC285" s="10" t="inlineStr">
        <is>
          <t>Low</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2026-09-16</t>
        </is>
      </c>
      <c r="BJ285" s="10" t="inlineStr">
        <is>
          <t>New</t>
        </is>
      </c>
      <c r="BK285" s="10" t="inlineStr">
        <is>
          <t>2026-09-16</t>
        </is>
      </c>
      <c r="BL285" s="10" t="inlineStr"/>
      <c r="BM285" s="10" t="inlineStr"/>
      <c r="BN285" s="10" t="inlineStr"/>
      <c r="BO285" s="10" t="inlineStr"/>
      <c r="BP285" s="10" t="inlineStr"/>
      <c r="BQ285" s="10" t="inlineStr"/>
    </row>
    <row r="286">
      <c r="A286" s="5" t="inlineStr">
        <is>
          <t>UK-000294</t>
        </is>
      </c>
      <c r="B286" s="5" t="inlineStr">
        <is>
          <t>UK-000294-01</t>
        </is>
      </c>
      <c r="C286" s="5" t="inlineStr"/>
      <c r="D286" s="5" t="inlineStr">
        <is>
          <t>VapourWave Harrogate</t>
        </is>
      </c>
      <c r="E286" s="5" t="inlineStr">
        <is>
          <t>VapourWave</t>
        </is>
      </c>
      <c r="F286" s="5" t="inlineStr"/>
      <c r="G286" s="5" t="inlineStr">
        <is>
          <t>Vape Shop</t>
        </is>
      </c>
      <c r="H286" s="5" t="inlineStr">
        <is>
          <t>Pod kits, e-juice, coils &amp; shortfills</t>
        </is>
      </c>
      <c r="I286" s="5" t="inlineStr">
        <is>
          <t>Independent</t>
        </is>
      </c>
      <c r="J286" s="5" t="inlineStr">
        <is>
          <t>1</t>
        </is>
      </c>
      <c r="K286" s="5" t="inlineStr">
        <is>
          <t>https://www.vapour-wave.co.uk/</t>
        </is>
      </c>
      <c r="L286" s="5" t="inlineStr">
        <is>
          <t>https://www.facebook.com/VapourWaveHG/</t>
        </is>
      </c>
      <c r="M286" s="5" t="inlineStr"/>
      <c r="N286" s="5" t="inlineStr"/>
      <c r="O286" s="5" t="inlineStr">
        <is>
          <t>25 Regent Parade</t>
        </is>
      </c>
      <c r="P286" s="5" t="inlineStr"/>
      <c r="Q286" s="5" t="inlineStr">
        <is>
          <t>Harrogate</t>
        </is>
      </c>
      <c r="R286" s="5" t="inlineStr">
        <is>
          <t>North Yorkshire</t>
        </is>
      </c>
      <c r="S286" s="5" t="inlineStr">
        <is>
          <t>HG1 5AZ</t>
        </is>
      </c>
      <c r="T286" s="5" t="inlineStr">
        <is>
          <t>Yorkshire &amp; Humber</t>
        </is>
      </c>
      <c r="U286" s="5" t="inlineStr">
        <is>
          <t>England</t>
        </is>
      </c>
      <c r="V286" s="5" t="inlineStr">
        <is>
          <t>01423 601806</t>
        </is>
      </c>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pod kits; e-juice; pods; coils; nic salts; shortfills</t>
        </is>
      </c>
      <c r="AL286" s="5" t="inlineStr"/>
      <c r="AM286" s="5" t="inlineStr">
        <is>
          <t>Vape Shop</t>
        </is>
      </c>
      <c r="AN286" s="5" t="inlineStr"/>
      <c r="AO286" s="5" t="inlineStr">
        <is>
          <t>Independent Harrogate vape shop on Regent Parade. Own website vapour-wave.co.uk (and Square site). Address/phone from own location page and Cylex/Facebook listings via search snippets. Open Mon-Sat 09:00-20:00.</t>
        </is>
      </c>
      <c r="AP286" s="5" t="inlineStr">
        <is>
          <t>Medium</t>
        </is>
      </c>
      <c r="AQ286" s="5" t="inlineStr">
        <is>
          <t>Independent retailer; Core relevant category; Active website; Social presence</t>
        </is>
      </c>
      <c r="AR286" s="5" t="inlineStr">
        <is>
          <t>https://www.vapour-wave.co.uk/location</t>
        </is>
      </c>
      <c r="AS286" s="5" t="inlineStr">
        <is>
          <t>https://www.facebook.com/VapourWaveHG/</t>
        </is>
      </c>
      <c r="AT286" s="5" t="inlineStr">
        <is>
          <t>3</t>
        </is>
      </c>
      <c r="AU286" s="5" t="inlineStr">
        <is>
          <t>No</t>
        </is>
      </c>
      <c r="AV286" s="5" t="inlineStr">
        <is>
          <t>No</t>
        </is>
      </c>
      <c r="AW286" s="5" t="inlineStr">
        <is>
          <t>No</t>
        </is>
      </c>
      <c r="AX286" s="5" t="inlineStr">
        <is>
          <t>No</t>
        </is>
      </c>
      <c r="AY286" s="5" t="inlineStr">
        <is>
          <t>Verified directory</t>
        </is>
      </c>
      <c r="AZ286" s="5" t="inlineStr">
        <is>
          <t>Website Found</t>
        </is>
      </c>
      <c r="BA286" s="5" t="inlineStr">
        <is>
          <t>2026-09-16</t>
        </is>
      </c>
      <c r="BB286" s="5" t="inlineStr">
        <is>
          <t>Requires Verification</t>
        </is>
      </c>
      <c r="BC286" s="5" t="inlineStr">
        <is>
          <t>Medium</t>
        </is>
      </c>
      <c r="BD286" s="5" t="inlineStr"/>
      <c r="BE286" s="5" t="inlineStr">
        <is>
          <t>Business (B2B)</t>
        </is>
      </c>
      <c r="BF286" s="5" t="inlineStr">
        <is>
          <t>Legitimate interest (B2B) - assess per campaign; PECR: corporate subscribers</t>
        </is>
      </c>
      <c r="BG286" s="5" t="inlineStr"/>
      <c r="BH286" s="5" t="inlineStr">
        <is>
          <t>No</t>
        </is>
      </c>
      <c r="BI286" s="5" t="inlineStr">
        <is>
          <t>2026-09-16</t>
        </is>
      </c>
      <c r="BJ286" s="5" t="inlineStr">
        <is>
          <t>New</t>
        </is>
      </c>
      <c r="BK286" s="5" t="inlineStr">
        <is>
          <t>2026-09-16</t>
        </is>
      </c>
      <c r="BL286" s="5" t="inlineStr"/>
      <c r="BM286" s="5" t="inlineStr"/>
      <c r="BN286" s="5" t="inlineStr"/>
      <c r="BO286" s="5" t="inlineStr"/>
      <c r="BP286" s="5" t="inlineStr"/>
      <c r="BQ286" s="5" t="inlineStr"/>
    </row>
    <row r="287">
      <c r="A287" s="10" t="inlineStr">
        <is>
          <t>WY-0185</t>
        </is>
      </c>
      <c r="B287" s="10" t="inlineStr">
        <is>
          <t>WY-0185-01</t>
        </is>
      </c>
      <c r="C287" s="10" t="inlineStr"/>
      <c r="D287" s="10" t="inlineStr">
        <is>
          <t>Wakefield Road Service Station (Featherstone)</t>
        </is>
      </c>
      <c r="E287" s="10" t="inlineStr">
        <is>
          <t>Wakefield Road Service Station</t>
        </is>
      </c>
      <c r="F287" s="10" t="inlineStr"/>
      <c r="G287" s="10" t="inlineStr">
        <is>
          <t>Petrol Station / Forecourt</t>
        </is>
      </c>
      <c r="H287" s="10" t="inlineStr">
        <is>
          <t>Forecourt with convenience store</t>
        </is>
      </c>
      <c r="I287" s="10" t="inlineStr">
        <is>
          <t>Multi-Site Independent</t>
        </is>
      </c>
      <c r="J287" s="10" t="inlineStr">
        <is>
          <t>3</t>
        </is>
      </c>
      <c r="K287" s="10" t="inlineStr"/>
      <c r="L287" s="10" t="inlineStr"/>
      <c r="M287" s="10" t="inlineStr"/>
      <c r="N287" s="10" t="inlineStr"/>
      <c r="O287" s="10" t="inlineStr">
        <is>
          <t>Wakefield Road</t>
        </is>
      </c>
      <c r="P287" s="10" t="inlineStr"/>
      <c r="Q287" s="10" t="inlineStr">
        <is>
          <t>Featherstone</t>
        </is>
      </c>
      <c r="R287" s="10" t="inlineStr">
        <is>
          <t>West Yorkshire</t>
        </is>
      </c>
      <c r="S287" s="10" t="inlineStr"/>
      <c r="T287" s="10" t="inlineStr">
        <is>
          <t>Yorkshire &amp; Humber</t>
        </is>
      </c>
      <c r="U287" s="10" t="inlineStr">
        <is>
          <t>England</t>
        </is>
      </c>
      <c r="V287" s="10" t="inlineStr"/>
      <c r="W287" s="10" t="inlineStr"/>
      <c r="X287" s="10" t="inlineStr"/>
      <c r="Y287" s="10" t="inlineStr"/>
      <c r="Z287" s="10" t="inlineStr"/>
      <c r="AA287" s="10" t="inlineStr"/>
      <c r="AB287" s="10" t="inlineStr">
        <is>
          <t>Saqib Javaid; Zeeshan Ali</t>
        </is>
      </c>
      <c r="AC287" s="10" t="inlineStr">
        <is>
          <t>Owners / Operators</t>
        </is>
      </c>
      <c r="AD287" s="10" t="inlineStr">
        <is>
          <t>https://forecourttrader.co.uk/latest-news/forecourt-operator-duo-add-wakefield-road-service-station-to-portfolio/708047.article</t>
        </is>
      </c>
      <c r="AE287" s="10" t="inlineStr"/>
      <c r="AF287" s="10" t="inlineStr"/>
      <c r="AG287" s="10" t="inlineStr"/>
      <c r="AH287" s="10" t="inlineStr"/>
      <c r="AI287" s="10" t="inlineStr"/>
      <c r="AJ287" s="10" t="inlineStr"/>
      <c r="AK287" s="10" t="inlineStr">
        <is>
          <t>fuel; convenience retail</t>
        </is>
      </c>
      <c r="AL287" s="10" t="inlineStr"/>
      <c r="AM287" s="10" t="inlineStr">
        <is>
          <t>Petrol Station / Forecourt</t>
        </is>
      </c>
      <c r="AN287" s="10" t="inlineStr"/>
      <c r="AO287" s="10"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287" s="10" t="inlineStr">
        <is>
          <t>Medium</t>
        </is>
      </c>
      <c r="AQ287" s="10" t="inlineStr">
        <is>
          <t>Multi-site retailer; Independent retailer; Relevant category</t>
        </is>
      </c>
      <c r="AR287" s="10" t="inlineStr">
        <is>
          <t>https://forecourttrader.co.uk/latest-news/forecourt-operator-duo-add-wakefield-road-service-station-to-portfolio/708047.article</t>
        </is>
      </c>
      <c r="AS287" s="10" t="inlineStr"/>
      <c r="AT287" s="10" t="inlineStr">
        <is>
          <t>1</t>
        </is>
      </c>
      <c r="AU287" s="10" t="inlineStr">
        <is>
          <t>No</t>
        </is>
      </c>
      <c r="AV287" s="10" t="inlineStr">
        <is>
          <t>No</t>
        </is>
      </c>
      <c r="AW287" s="10" t="inlineStr">
        <is>
          <t>No</t>
        </is>
      </c>
      <c r="AX287" s="10" t="inlineStr">
        <is>
          <t>No</t>
        </is>
      </c>
      <c r="AY287" s="10" t="inlineStr">
        <is>
          <t>Not Found</t>
        </is>
      </c>
      <c r="AZ287" s="10" t="inlineStr">
        <is>
          <t>Not Found</t>
        </is>
      </c>
      <c r="BA287" s="10" t="inlineStr">
        <is>
          <t>2026-09-16</t>
        </is>
      </c>
      <c r="BB287" s="10" t="inlineStr">
        <is>
          <t>Requires Verification</t>
        </is>
      </c>
      <c r="BC287" s="10" t="inlineStr">
        <is>
          <t>Low</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2026-09-16</t>
        </is>
      </c>
      <c r="BJ287" s="10" t="inlineStr">
        <is>
          <t>New</t>
        </is>
      </c>
      <c r="BK287" s="10" t="inlineStr">
        <is>
          <t>2026-09-16</t>
        </is>
      </c>
      <c r="BL287" s="10" t="inlineStr"/>
      <c r="BM287" s="10" t="inlineStr"/>
      <c r="BN287" s="10" t="inlineStr"/>
      <c r="BO287" s="10" t="inlineStr"/>
      <c r="BP287" s="10" t="inlineStr"/>
      <c r="BQ287" s="10" t="inlineStr"/>
    </row>
    <row r="288">
      <c r="A288" s="5" t="inlineStr">
        <is>
          <t>UK-000295</t>
        </is>
      </c>
      <c r="B288" s="5" t="inlineStr">
        <is>
          <t>UK-000295-01</t>
        </is>
      </c>
      <c r="C288" s="5" t="inlineStr"/>
      <c r="D288" s="5" t="inlineStr">
        <is>
          <t>Walkley Beer Company</t>
        </is>
      </c>
      <c r="E288" s="5" t="inlineStr">
        <is>
          <t>Walkley Beer Co</t>
        </is>
      </c>
      <c r="F288" s="5" t="inlineStr"/>
      <c r="G288" s="5" t="inlineStr">
        <is>
          <t>Off-Licence</t>
        </is>
      </c>
      <c r="H288" s="5" t="inlineStr">
        <is>
          <t>Craft beer bottle shop / micropub</t>
        </is>
      </c>
      <c r="I288" s="5" t="inlineStr">
        <is>
          <t>Independent</t>
        </is>
      </c>
      <c r="J288" s="5" t="inlineStr">
        <is>
          <t>1</t>
        </is>
      </c>
      <c r="K288" s="5" t="inlineStr"/>
      <c r="L288" s="5" t="inlineStr"/>
      <c r="M288" s="5" t="inlineStr"/>
      <c r="N288" s="5" t="inlineStr"/>
      <c r="O288" s="5" t="inlineStr"/>
      <c r="P288" s="5" t="inlineStr">
        <is>
          <t>Walkley</t>
        </is>
      </c>
      <c r="Q288" s="5" t="inlineStr">
        <is>
          <t>Sheffield</t>
        </is>
      </c>
      <c r="R288" s="5" t="inlineStr">
        <is>
          <t>South Yorkshire</t>
        </is>
      </c>
      <c r="S288" s="5" t="inlineStr"/>
      <c r="T288" s="5" t="inlineStr">
        <is>
          <t>Yorkshire &amp; Humber</t>
        </is>
      </c>
      <c r="U288" s="5" t="inlineStr">
        <is>
          <t>England</t>
        </is>
      </c>
      <c r="V288" s="5" t="inlineStr"/>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craft beer; local ales; takeaway beer</t>
        </is>
      </c>
      <c r="AL288" s="5" t="inlineStr"/>
      <c r="AM288" s="5" t="inlineStr">
        <is>
          <t>Off-Licence</t>
        </is>
      </c>
      <c r="AN288" s="5" t="inlineStr"/>
      <c r="AO288" s="5" t="inlineStr">
        <is>
          <t>Independent craft beer bottle shop/micropub in Walkley, Sheffield. Referenced in Sheffield off-licence search results; street address/postcode not captured.</t>
        </is>
      </c>
      <c r="AP288" s="5" t="inlineStr">
        <is>
          <t>Low</t>
        </is>
      </c>
      <c r="AQ288" s="5" t="inlineStr">
        <is>
          <t>Independent retailer; Relevant category</t>
        </is>
      </c>
      <c r="AR288" s="5" t="inlineStr">
        <is>
          <t>https://www.yorkshire.com/sheffield/shopping/off-license</t>
        </is>
      </c>
      <c r="AS288" s="5" t="inlineStr"/>
      <c r="AT288" s="5" t="inlineStr">
        <is>
          <t>1</t>
        </is>
      </c>
      <c r="AU288" s="5" t="inlineStr">
        <is>
          <t>No</t>
        </is>
      </c>
      <c r="AV288" s="5" t="inlineStr">
        <is>
          <t>No</t>
        </is>
      </c>
      <c r="AW288" s="5" t="inlineStr">
        <is>
          <t>No</t>
        </is>
      </c>
      <c r="AX288" s="5" t="inlineStr">
        <is>
          <t>No</t>
        </is>
      </c>
      <c r="AY288" s="5" t="inlineStr">
        <is>
          <t>Not Found</t>
        </is>
      </c>
      <c r="AZ288" s="5" t="inlineStr">
        <is>
          <t>Not Found</t>
        </is>
      </c>
      <c r="BA288" s="5" t="inlineStr">
        <is>
          <t>2026-09-16</t>
        </is>
      </c>
      <c r="BB288" s="5" t="inlineStr">
        <is>
          <t>Requires Verification</t>
        </is>
      </c>
      <c r="BC288" s="5" t="inlineStr">
        <is>
          <t>Low</t>
        </is>
      </c>
      <c r="BD288" s="5" t="inlineStr"/>
      <c r="BE288" s="5" t="inlineStr">
        <is>
          <t>Business (B2B)</t>
        </is>
      </c>
      <c r="BF288" s="5" t="inlineStr">
        <is>
          <t>Legitimate interest (B2B) - assess per campaign; PECR: corporate subscribers</t>
        </is>
      </c>
      <c r="BG288" s="5" t="inlineStr"/>
      <c r="BH288" s="5" t="inlineStr">
        <is>
          <t>No</t>
        </is>
      </c>
      <c r="BI288" s="5" t="inlineStr">
        <is>
          <t>2026-09-16</t>
        </is>
      </c>
      <c r="BJ288" s="5" t="inlineStr">
        <is>
          <t>New</t>
        </is>
      </c>
      <c r="BK288" s="5" t="inlineStr">
        <is>
          <t>2026-09-16</t>
        </is>
      </c>
      <c r="BL288" s="5" t="inlineStr"/>
      <c r="BM288" s="5" t="inlineStr"/>
      <c r="BN288" s="5" t="inlineStr"/>
      <c r="BO288" s="5" t="inlineStr"/>
      <c r="BP288" s="5" t="inlineStr"/>
      <c r="BQ288" s="5" t="inlineStr"/>
    </row>
    <row r="289">
      <c r="A289" s="10" t="inlineStr">
        <is>
          <t>WY-0186</t>
        </is>
      </c>
      <c r="B289" s="10" t="inlineStr">
        <is>
          <t>WY-0186-01</t>
        </is>
      </c>
      <c r="C289" s="10" t="inlineStr"/>
      <c r="D289" s="10" t="inlineStr">
        <is>
          <t>Wayward Wines</t>
        </is>
      </c>
      <c r="E289" s="10" t="inlineStr">
        <is>
          <t>Wayward Wines</t>
        </is>
      </c>
      <c r="F289" s="10" t="inlineStr"/>
      <c r="G289" s="10" t="inlineStr">
        <is>
          <t>Off-Licence</t>
        </is>
      </c>
      <c r="H289" s="10" t="inlineStr">
        <is>
          <t>Natural / organic wine shop</t>
        </is>
      </c>
      <c r="I289" s="10" t="inlineStr">
        <is>
          <t>Independent</t>
        </is>
      </c>
      <c r="J289" s="10" t="inlineStr">
        <is>
          <t>1</t>
        </is>
      </c>
      <c r="K289" s="10" t="inlineStr"/>
      <c r="L289" s="10" t="inlineStr"/>
      <c r="M289" s="10" t="inlineStr"/>
      <c r="N289" s="10" t="inlineStr"/>
      <c r="O289" s="10" t="inlineStr">
        <is>
          <t>1C Regent Street</t>
        </is>
      </c>
      <c r="P289" s="10" t="inlineStr">
        <is>
          <t>Chapel Allerton</t>
        </is>
      </c>
      <c r="Q289" s="10" t="inlineStr">
        <is>
          <t>Leeds</t>
        </is>
      </c>
      <c r="R289" s="10" t="inlineStr">
        <is>
          <t>West Yorkshire</t>
        </is>
      </c>
      <c r="S289" s="10" t="inlineStr">
        <is>
          <t>LS7 4PE</t>
        </is>
      </c>
      <c r="T289" s="10" t="inlineStr">
        <is>
          <t>Yorkshire &amp; Humber</t>
        </is>
      </c>
      <c r="U289" s="10" t="inlineStr">
        <is>
          <t>England</t>
        </is>
      </c>
      <c r="V289" s="10" t="inlineStr"/>
      <c r="W289" s="10" t="inlineStr"/>
      <c r="X289" s="10" t="inlineStr"/>
      <c r="Y289" s="10" t="inlineStr"/>
      <c r="Z289" s="10" t="inlineStr"/>
      <c r="AA289" s="10" t="inlineStr"/>
      <c r="AB289" s="10" t="inlineStr"/>
      <c r="AC289" s="10" t="inlineStr"/>
      <c r="AD289" s="10" t="inlineStr"/>
      <c r="AE289" s="10" t="inlineStr"/>
      <c r="AF289" s="10" t="inlineStr"/>
      <c r="AG289" s="10" t="inlineStr"/>
      <c r="AH289" s="10" t="inlineStr"/>
      <c r="AI289" s="10" t="inlineStr"/>
      <c r="AJ289" s="10" t="inlineStr"/>
      <c r="AK289" s="10" t="inlineStr">
        <is>
          <t>organic and biodynamic wine; craft beer</t>
        </is>
      </c>
      <c r="AL289" s="10" t="inlineStr"/>
      <c r="AM289" s="10" t="inlineStr">
        <is>
          <t>Off-Licence</t>
        </is>
      </c>
      <c r="AN289" s="10" t="inlineStr"/>
      <c r="AO289" s="10" t="inlineStr">
        <is>
          <t>Independent wine shop and bar in Chapel Allerton specialising in organic and biodynamic wines from Italy, France, Spain and beyond.</t>
        </is>
      </c>
      <c r="AP289" s="10" t="inlineStr">
        <is>
          <t>Low</t>
        </is>
      </c>
      <c r="AQ289" s="10" t="inlineStr">
        <is>
          <t>Independent retailer; Relevant category</t>
        </is>
      </c>
      <c r="AR289" s="10" t="inlineStr">
        <is>
          <t>https://confidentials.com/leeds/six-of-the-best-bottle-shops</t>
        </is>
      </c>
      <c r="AS289" s="10" t="inlineStr">
        <is>
          <t>https://leeds-list.com/lifestyle/the-best-bottle-shops-in-leeds/</t>
        </is>
      </c>
      <c r="AT289" s="10" t="inlineStr">
        <is>
          <t>2</t>
        </is>
      </c>
      <c r="AU289" s="10" t="inlineStr">
        <is>
          <t>No</t>
        </is>
      </c>
      <c r="AV289" s="10" t="inlineStr">
        <is>
          <t>No</t>
        </is>
      </c>
      <c r="AW289" s="10" t="inlineStr">
        <is>
          <t>No</t>
        </is>
      </c>
      <c r="AX289" s="10" t="inlineStr">
        <is>
          <t>No</t>
        </is>
      </c>
      <c r="AY289" s="10" t="inlineStr">
        <is>
          <t>Not Found</t>
        </is>
      </c>
      <c r="AZ289" s="10" t="inlineStr">
        <is>
          <t>Not Found</t>
        </is>
      </c>
      <c r="BA289" s="10" t="inlineStr">
        <is>
          <t>2026-09-16</t>
        </is>
      </c>
      <c r="BB289" s="10" t="inlineStr">
        <is>
          <t>Requires Verification</t>
        </is>
      </c>
      <c r="BC289" s="10" t="inlineStr">
        <is>
          <t>Medium</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2026-09-16</t>
        </is>
      </c>
      <c r="BJ289" s="10" t="inlineStr">
        <is>
          <t>New</t>
        </is>
      </c>
      <c r="BK289" s="10" t="inlineStr">
        <is>
          <t>2026-09-16</t>
        </is>
      </c>
      <c r="BL289" s="10" t="inlineStr"/>
      <c r="BM289" s="10" t="inlineStr"/>
      <c r="BN289" s="10" t="inlineStr"/>
      <c r="BO289" s="10" t="inlineStr"/>
      <c r="BP289" s="10" t="inlineStr"/>
      <c r="BQ289" s="10" t="inlineStr"/>
    </row>
    <row r="290">
      <c r="A290" s="5" t="inlineStr">
        <is>
          <t>UK-000296</t>
        </is>
      </c>
      <c r="B290" s="5" t="inlineStr">
        <is>
          <t>UK-000296-01</t>
        </is>
      </c>
      <c r="C290" s="5" t="inlineStr"/>
      <c r="D290" s="5" t="inlineStr">
        <is>
          <t>Weetons Food Hall</t>
        </is>
      </c>
      <c r="E290" s="5" t="inlineStr">
        <is>
          <t>Weetons</t>
        </is>
      </c>
      <c r="F290" s="5" t="inlineStr"/>
      <c r="G290" s="5" t="inlineStr">
        <is>
          <t>Independent Supermarket</t>
        </is>
      </c>
      <c r="H290" s="5" t="inlineStr">
        <is>
          <t>Food hall, deli &amp; restaurant</t>
        </is>
      </c>
      <c r="I290" s="5" t="inlineStr">
        <is>
          <t>Independent</t>
        </is>
      </c>
      <c r="J290" s="5" t="inlineStr">
        <is>
          <t>1</t>
        </is>
      </c>
      <c r="K290" s="5" t="inlineStr">
        <is>
          <t>https://weetons.co.uk/</t>
        </is>
      </c>
      <c r="L290" s="5" t="inlineStr"/>
      <c r="M290" s="5" t="inlineStr"/>
      <c r="N290" s="5" t="inlineStr"/>
      <c r="O290" s="5" t="inlineStr">
        <is>
          <t>Leeds Road</t>
        </is>
      </c>
      <c r="P290" s="5" t="inlineStr">
        <is>
          <t>Pannal</t>
        </is>
      </c>
      <c r="Q290" s="5" t="inlineStr">
        <is>
          <t>Harrogate</t>
        </is>
      </c>
      <c r="R290" s="5" t="inlineStr">
        <is>
          <t>North Yorkshire</t>
        </is>
      </c>
      <c r="S290" s="5" t="inlineStr">
        <is>
          <t>HG3 1EW</t>
        </is>
      </c>
      <c r="T290" s="5" t="inlineStr">
        <is>
          <t>Yorkshire &amp; Humber</t>
        </is>
      </c>
      <c r="U290" s="5" t="inlineStr">
        <is>
          <t>England</t>
        </is>
      </c>
      <c r="V290" s="5" t="inlineStr">
        <is>
          <t>01423 507100</t>
        </is>
      </c>
      <c r="W290" s="5" t="inlineStr"/>
      <c r="X290" s="5" t="inlineStr"/>
      <c r="Y290" s="5" t="inlineStr"/>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fresh produce; deli; butchery; groceries; local &amp; artisan food</t>
        </is>
      </c>
      <c r="AL290" s="5" t="inlineStr"/>
      <c r="AM290" s="5" t="inlineStr">
        <is>
          <t>Independent Supermarket</t>
        </is>
      </c>
      <c r="AN290" s="5" t="inlineStr">
        <is>
          <t>Showcases produce from local independent suppliers and farms</t>
        </is>
      </c>
      <c r="AO290" s="5" t="inlineStr">
        <is>
          <t>Independent Harrogate food hall (relocated to Leeds Road, Pannal, HG3 1EW) with deli, restaurant and grocery range. Address/phone from own contact page and Tripadvisor/Apple Maps via search snippets. No email surfaced.</t>
        </is>
      </c>
      <c r="AP290" s="5" t="inlineStr">
        <is>
          <t>Medium</t>
        </is>
      </c>
      <c r="AQ290" s="5" t="inlineStr">
        <is>
          <t>Independent retailer; Relevant category; Active website; Phone verified on official website</t>
        </is>
      </c>
      <c r="AR290" s="5" t="inlineStr">
        <is>
          <t>https://weetons.co.uk/policies/contact-information</t>
        </is>
      </c>
      <c r="AS290" s="5" t="inlineStr">
        <is>
          <t>https://visitnorthyorkshire.com/index/weetons</t>
        </is>
      </c>
      <c r="AT290" s="5" t="inlineStr">
        <is>
          <t>2</t>
        </is>
      </c>
      <c r="AU290" s="5" t="inlineStr">
        <is>
          <t>No</t>
        </is>
      </c>
      <c r="AV290" s="5" t="inlineStr">
        <is>
          <t>No</t>
        </is>
      </c>
      <c r="AW290" s="5" t="inlineStr">
        <is>
          <t>No</t>
        </is>
      </c>
      <c r="AX290" s="5" t="inlineStr">
        <is>
          <t>No</t>
        </is>
      </c>
      <c r="AY290" s="5" t="inlineStr">
        <is>
          <t>Verified on official website</t>
        </is>
      </c>
      <c r="AZ290" s="5" t="inlineStr">
        <is>
          <t>Website Found</t>
        </is>
      </c>
      <c r="BA290" s="5" t="inlineStr">
        <is>
          <t>2026-09-16</t>
        </is>
      </c>
      <c r="BB290" s="5" t="inlineStr">
        <is>
          <t>Requires Verification</t>
        </is>
      </c>
      <c r="BC290" s="5" t="inlineStr">
        <is>
          <t>Medium</t>
        </is>
      </c>
      <c r="BD290" s="5" t="inlineStr"/>
      <c r="BE290" s="5" t="inlineStr">
        <is>
          <t>Business (B2B)</t>
        </is>
      </c>
      <c r="BF290" s="5" t="inlineStr">
        <is>
          <t>Legitimate interest (B2B) - assess per campaign; PECR: corporate subscribers</t>
        </is>
      </c>
      <c r="BG290" s="5" t="inlineStr"/>
      <c r="BH290" s="5" t="inlineStr">
        <is>
          <t>No</t>
        </is>
      </c>
      <c r="BI290" s="5" t="inlineStr">
        <is>
          <t>2026-09-16</t>
        </is>
      </c>
      <c r="BJ290" s="5" t="inlineStr">
        <is>
          <t>New</t>
        </is>
      </c>
      <c r="BK290" s="5" t="inlineStr">
        <is>
          <t>2026-09-16</t>
        </is>
      </c>
      <c r="BL290" s="5" t="inlineStr"/>
      <c r="BM290" s="5" t="inlineStr"/>
      <c r="BN290" s="5" t="inlineStr"/>
      <c r="BO290" s="5" t="inlineStr"/>
      <c r="BP290" s="5" t="inlineStr"/>
      <c r="BQ290" s="5" t="inlineStr"/>
    </row>
    <row r="291">
      <c r="A291" s="10" t="inlineStr">
        <is>
          <t>WY-0187</t>
        </is>
      </c>
      <c r="B291" s="10" t="inlineStr">
        <is>
          <t>WY-0187-01</t>
        </is>
      </c>
      <c r="C291" s="10" t="inlineStr"/>
      <c r="D291" s="10" t="inlineStr">
        <is>
          <t>West End Off Licence</t>
        </is>
      </c>
      <c r="E291" s="10" t="inlineStr">
        <is>
          <t>Westend Off Licence Ricky's</t>
        </is>
      </c>
      <c r="F291" s="10" t="inlineStr"/>
      <c r="G291" s="10" t="inlineStr">
        <is>
          <t>Off-Licence</t>
        </is>
      </c>
      <c r="H291" s="10" t="inlineStr"/>
      <c r="I291" s="10" t="inlineStr">
        <is>
          <t>Independent</t>
        </is>
      </c>
      <c r="J291" s="10" t="inlineStr">
        <is>
          <t>1</t>
        </is>
      </c>
      <c r="K291" s="10" t="inlineStr"/>
      <c r="L291" s="10" t="inlineStr"/>
      <c r="M291" s="10" t="inlineStr"/>
      <c r="N291" s="10" t="inlineStr"/>
      <c r="O291" s="10" t="inlineStr">
        <is>
          <t>2 Mile Cross Terrace</t>
        </is>
      </c>
      <c r="P291" s="10" t="inlineStr"/>
      <c r="Q291" s="10" t="inlineStr">
        <is>
          <t>Halifax</t>
        </is>
      </c>
      <c r="R291" s="10" t="inlineStr">
        <is>
          <t>West Yorkshire</t>
        </is>
      </c>
      <c r="S291" s="10" t="inlineStr">
        <is>
          <t>HX1 4HP</t>
        </is>
      </c>
      <c r="T291" s="10" t="inlineStr">
        <is>
          <t>Yorkshire &amp; Humber</t>
        </is>
      </c>
      <c r="U291" s="10" t="inlineStr">
        <is>
          <t>England</t>
        </is>
      </c>
      <c r="V291" s="10" t="inlineStr"/>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beers, wines and spirits; soft drinks; snacks</t>
        </is>
      </c>
      <c r="AL291" s="10" t="inlineStr"/>
      <c r="AM291" s="10" t="inlineStr">
        <is>
          <t>Off-Licence</t>
        </is>
      </c>
      <c r="AN291" s="10" t="inlineStr"/>
      <c r="AO291" s="10" t="inlineStr">
        <is>
          <t>Open 8am-9pm per Yelp listing.</t>
        </is>
      </c>
      <c r="AP291" s="10" t="inlineStr">
        <is>
          <t>Low</t>
        </is>
      </c>
      <c r="AQ291" s="10" t="inlineStr">
        <is>
          <t>Independent retailer; Relevant category</t>
        </is>
      </c>
      <c r="AR291" s="10" t="inlineStr">
        <is>
          <t>https://www.yelp.co.uk/biz/westend-off-licence-rickys-halifax</t>
        </is>
      </c>
      <c r="AS291" s="10" t="inlineStr">
        <is>
          <t>https://www.yorkshire.com/halifax/shopping/off-license/west-end-off-licence</t>
        </is>
      </c>
      <c r="AT291" s="10" t="inlineStr">
        <is>
          <t>2</t>
        </is>
      </c>
      <c r="AU291" s="10" t="inlineStr">
        <is>
          <t>No</t>
        </is>
      </c>
      <c r="AV291" s="10" t="inlineStr">
        <is>
          <t>No</t>
        </is>
      </c>
      <c r="AW291" s="10" t="inlineStr">
        <is>
          <t>No</t>
        </is>
      </c>
      <c r="AX291" s="10" t="inlineStr">
        <is>
          <t>No</t>
        </is>
      </c>
      <c r="AY291" s="10" t="inlineStr">
        <is>
          <t>Not Found</t>
        </is>
      </c>
      <c r="AZ291" s="10" t="inlineStr">
        <is>
          <t>Not Found</t>
        </is>
      </c>
      <c r="BA291" s="10" t="inlineStr">
        <is>
          <t>2026-09-16</t>
        </is>
      </c>
      <c r="BB291" s="10" t="inlineStr">
        <is>
          <t>Requires Verification</t>
        </is>
      </c>
      <c r="BC291" s="10" t="inlineStr">
        <is>
          <t>Medium</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2026-09-16</t>
        </is>
      </c>
      <c r="BJ291" s="10" t="inlineStr">
        <is>
          <t>New</t>
        </is>
      </c>
      <c r="BK291" s="10" t="inlineStr">
        <is>
          <t>2026-09-16</t>
        </is>
      </c>
      <c r="BL291" s="10" t="inlineStr"/>
      <c r="BM291" s="10" t="inlineStr"/>
      <c r="BN291" s="10" t="inlineStr"/>
      <c r="BO291" s="10" t="inlineStr"/>
      <c r="BP291" s="10" t="inlineStr"/>
      <c r="BQ291" s="10" t="inlineStr"/>
    </row>
    <row r="292">
      <c r="A292" s="5" t="inlineStr">
        <is>
          <t>WY-0188</t>
        </is>
      </c>
      <c r="B292" s="5" t="inlineStr">
        <is>
          <t>WY-0188-01</t>
        </is>
      </c>
      <c r="C292" s="5" t="inlineStr"/>
      <c r="D292" s="5" t="inlineStr">
        <is>
          <t>White Rose Catering</t>
        </is>
      </c>
      <c r="E292" s="5" t="inlineStr">
        <is>
          <t>White Rose Catering</t>
        </is>
      </c>
      <c r="F292" s="5" t="inlineStr">
        <is>
          <t>White Rose Catering Ltd</t>
        </is>
      </c>
      <c r="G292" s="5" t="inlineStr">
        <is>
          <t>Cash &amp; Carry</t>
        </is>
      </c>
      <c r="H292" s="5" t="inlineStr">
        <is>
          <t>Catering cash and carry wholesaler</t>
        </is>
      </c>
      <c r="I292" s="5" t="inlineStr">
        <is>
          <t>Independent</t>
        </is>
      </c>
      <c r="J292" s="5" t="inlineStr">
        <is>
          <t>1</t>
        </is>
      </c>
      <c r="K292" s="5" t="inlineStr"/>
      <c r="L292" s="5" t="inlineStr"/>
      <c r="M292" s="5" t="inlineStr"/>
      <c r="N292" s="5" t="inlineStr"/>
      <c r="O292" s="5" t="inlineStr">
        <is>
          <t>225 Ravenshouse Road</t>
        </is>
      </c>
      <c r="P292" s="5" t="inlineStr">
        <is>
          <t>Dewsbury Moor</t>
        </is>
      </c>
      <c r="Q292" s="5" t="inlineStr">
        <is>
          <t>Dewsbury</t>
        </is>
      </c>
      <c r="R292" s="5" t="inlineStr">
        <is>
          <t>West Yorkshire</t>
        </is>
      </c>
      <c r="S292" s="5" t="inlineStr">
        <is>
          <t>WF13 3QU</t>
        </is>
      </c>
      <c r="T292" s="5" t="inlineStr">
        <is>
          <t>Yorkshire &amp; Humber</t>
        </is>
      </c>
      <c r="U292" s="5" t="inlineStr">
        <is>
          <t>England</t>
        </is>
      </c>
      <c r="V292" s="5" t="inlineStr">
        <is>
          <t>01924 467054</t>
        </is>
      </c>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wholesale food; catering supplies</t>
        </is>
      </c>
      <c r="AL292" s="5" t="inlineStr"/>
      <c r="AM292" s="5" t="inlineStr">
        <is>
          <t>Cash &amp; Carry</t>
        </is>
      </c>
      <c r="AN292" s="5" t="inlineStr"/>
      <c r="AO292" s="5" t="inlineStr"/>
      <c r="AP292" s="5" t="inlineStr">
        <is>
          <t>Medium</t>
        </is>
      </c>
      <c r="AQ292" s="5" t="inlineStr">
        <is>
          <t>Independent retailer; Core relevant category</t>
        </is>
      </c>
      <c r="AR292" s="5" t="inlineStr">
        <is>
          <t>https://www.192.com/atoz/business/dewsbury-wf13/cash-and-carry-wholesalers/white-rose-catering-ltd/1cd73791cf719e65496fe8e9a0a2d1c534c879e1/ml/</t>
        </is>
      </c>
      <c r="AS292" s="5" t="inlineStr"/>
      <c r="AT292" s="5" t="inlineStr">
        <is>
          <t>1</t>
        </is>
      </c>
      <c r="AU292" s="5" t="inlineStr">
        <is>
          <t>No</t>
        </is>
      </c>
      <c r="AV292" s="5" t="inlineStr">
        <is>
          <t>No</t>
        </is>
      </c>
      <c r="AW292" s="5" t="inlineStr">
        <is>
          <t>No</t>
        </is>
      </c>
      <c r="AX292" s="5" t="inlineStr">
        <is>
          <t>No</t>
        </is>
      </c>
      <c r="AY292" s="5" t="inlineStr">
        <is>
          <t>Verified directory</t>
        </is>
      </c>
      <c r="AZ292" s="5" t="inlineStr">
        <is>
          <t>Not Found</t>
        </is>
      </c>
      <c r="BA292" s="5" t="inlineStr">
        <is>
          <t>2026-09-16</t>
        </is>
      </c>
      <c r="BB292" s="5" t="inlineStr">
        <is>
          <t>Requires Verification</t>
        </is>
      </c>
      <c r="BC292" s="5" t="inlineStr">
        <is>
          <t>Medium</t>
        </is>
      </c>
      <c r="BD292" s="5" t="inlineStr"/>
      <c r="BE292" s="5" t="inlineStr">
        <is>
          <t>Business (B2B)</t>
        </is>
      </c>
      <c r="BF292" s="5" t="inlineStr">
        <is>
          <t>Legitimate interest (B2B) - assess per campaign; PECR: corporate subscribers</t>
        </is>
      </c>
      <c r="BG292" s="5" t="inlineStr"/>
      <c r="BH292" s="5" t="inlineStr">
        <is>
          <t>No</t>
        </is>
      </c>
      <c r="BI292" s="5" t="inlineStr">
        <is>
          <t>2026-09-16</t>
        </is>
      </c>
      <c r="BJ292" s="5" t="inlineStr">
        <is>
          <t>New</t>
        </is>
      </c>
      <c r="BK292" s="5" t="inlineStr">
        <is>
          <t>2026-09-16</t>
        </is>
      </c>
      <c r="BL292" s="5" t="inlineStr"/>
      <c r="BM292" s="5" t="inlineStr"/>
      <c r="BN292" s="5" t="inlineStr"/>
      <c r="BO292" s="5" t="inlineStr"/>
      <c r="BP292" s="5" t="inlineStr"/>
      <c r="BQ292" s="5" t="inlineStr"/>
    </row>
    <row r="293">
      <c r="A293" s="10" t="inlineStr">
        <is>
          <t>WY-0189</t>
        </is>
      </c>
      <c r="B293" s="10" t="inlineStr">
        <is>
          <t>WY-0189-01</t>
        </is>
      </c>
      <c r="C293" s="10" t="inlineStr"/>
      <c r="D293" s="10" t="inlineStr">
        <is>
          <t>Wigton Cash &amp; Carry (Wigton Distribution)</t>
        </is>
      </c>
      <c r="E293" s="10" t="inlineStr">
        <is>
          <t>Wigton Cash &amp; Carry</t>
        </is>
      </c>
      <c r="F293" s="10" t="inlineStr">
        <is>
          <t>Wigton Distribution Ltd</t>
        </is>
      </c>
      <c r="G293" s="10" t="inlineStr">
        <is>
          <t>Cash &amp; Carry</t>
        </is>
      </c>
      <c r="H293" s="10" t="inlineStr">
        <is>
          <t>Food and dessert wholesaler, open to the public</t>
        </is>
      </c>
      <c r="I293" s="10" t="inlineStr">
        <is>
          <t>Independent</t>
        </is>
      </c>
      <c r="J293" s="10" t="inlineStr">
        <is>
          <t>1</t>
        </is>
      </c>
      <c r="K293" s="10" t="inlineStr">
        <is>
          <t>http://wigtonfoodservice.co.uk/</t>
        </is>
      </c>
      <c r="L293" s="10" t="inlineStr">
        <is>
          <t>https://www.facebook.com/p/Wigton-Distribution-61573554642844/</t>
        </is>
      </c>
      <c r="M293" s="10" t="inlineStr">
        <is>
          <t>https://www.instagram.com/wigtonwholesale/</t>
        </is>
      </c>
      <c r="N293" s="10" t="inlineStr">
        <is>
          <t>https://www.tiktok.com/@wigtondistribution</t>
        </is>
      </c>
      <c r="O293" s="10" t="inlineStr">
        <is>
          <t>27 Lockwood Way</t>
        </is>
      </c>
      <c r="P293" s="10" t="inlineStr">
        <is>
          <t>Beeston / Hunslet</t>
        </is>
      </c>
      <c r="Q293" s="10" t="inlineStr">
        <is>
          <t>Leeds</t>
        </is>
      </c>
      <c r="R293" s="10" t="inlineStr">
        <is>
          <t>West Yorkshire</t>
        </is>
      </c>
      <c r="S293" s="10" t="inlineStr">
        <is>
          <t>LS11 5TH</t>
        </is>
      </c>
      <c r="T293" s="10" t="inlineStr">
        <is>
          <t>Yorkshire &amp; Humber</t>
        </is>
      </c>
      <c r="U293" s="10" t="inlineStr">
        <is>
          <t>England</t>
        </is>
      </c>
      <c r="V293" s="10" t="inlineStr">
        <is>
          <t>07833 840327</t>
        </is>
      </c>
      <c r="W293" s="10" t="inlineStr"/>
      <c r="X293" s="10" t="inlineStr"/>
      <c r="Y293" s="10" t="inlineStr"/>
      <c r="Z293" s="10" t="inlineStr"/>
      <c r="AA293" s="10" t="inlineStr"/>
      <c r="AB293" s="10" t="inlineStr"/>
      <c r="AC293" s="10" t="inlineStr"/>
      <c r="AD293" s="10" t="inlineStr"/>
      <c r="AE293" s="10" t="inlineStr">
        <is>
          <t>09821856</t>
        </is>
      </c>
      <c r="AF293" s="10" t="inlineStr"/>
      <c r="AG293" s="10" t="inlineStr">
        <is>
          <t>WIGTON DISTRIBUTION LTD</t>
        </is>
      </c>
      <c r="AH293" s="10" t="inlineStr"/>
      <c r="AI293" s="10" t="inlineStr"/>
      <c r="AJ293" s="10" t="inlineStr"/>
      <c r="AK293" s="10" t="inlineStr">
        <is>
          <t>desserts; food wholesale; catering supplies</t>
        </is>
      </c>
      <c r="AL293" s="10" t="inlineStr"/>
      <c r="AM293" s="10" t="inlineStr">
        <is>
          <t>Cash &amp; Carry</t>
        </is>
      </c>
      <c r="AN293" s="10" t="inlineStr"/>
      <c r="AO293" s="10" t="inlineStr">
        <is>
          <t>Dessert and food wholesaler delivering nationwide; phone numbers from social listings (07833 840327 / 07766 345166), not yet verified against official site. CH number seen in CH search result; CH site blocked by proxy.</t>
        </is>
      </c>
      <c r="AP293" s="10" t="inlineStr">
        <is>
          <t>Medium</t>
        </is>
      </c>
      <c r="AQ293" s="10" t="inlineStr">
        <is>
          <t>Independent retailer; Core relevant category; Active website; Social presence</t>
        </is>
      </c>
      <c r="AR293" s="10" t="inlineStr">
        <is>
          <t>https://find-and-update.company-information.service.gov.uk/company/09821856</t>
        </is>
      </c>
      <c r="AS293" s="10" t="inlineStr">
        <is>
          <t>https://www.thomsonlocal.com/search/cash-carry-wholesalers/leeds-west-yorkshire</t>
        </is>
      </c>
      <c r="AT293" s="10" t="inlineStr">
        <is>
          <t>3</t>
        </is>
      </c>
      <c r="AU293" s="10" t="inlineStr">
        <is>
          <t>No</t>
        </is>
      </c>
      <c r="AV293" s="10" t="inlineStr">
        <is>
          <t>No</t>
        </is>
      </c>
      <c r="AW293" s="10" t="inlineStr">
        <is>
          <t>No</t>
        </is>
      </c>
      <c r="AX293" s="10" t="inlineStr">
        <is>
          <t>Yes</t>
        </is>
      </c>
      <c r="AY293" s="10" t="inlineStr">
        <is>
          <t>Unverified</t>
        </is>
      </c>
      <c r="AZ293" s="10" t="inlineStr">
        <is>
          <t>Website Found</t>
        </is>
      </c>
      <c r="BA293" s="10" t="inlineStr">
        <is>
          <t>2026-09-16</t>
        </is>
      </c>
      <c r="BB293" s="10" t="inlineStr">
        <is>
          <t>Partially Verified</t>
        </is>
      </c>
      <c r="BC293" s="10" t="inlineStr">
        <is>
          <t>Medium</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2026-09-16</t>
        </is>
      </c>
      <c r="BJ293" s="10" t="inlineStr">
        <is>
          <t>New</t>
        </is>
      </c>
      <c r="BK293" s="10" t="inlineStr">
        <is>
          <t>2026-09-16</t>
        </is>
      </c>
      <c r="BL293" s="10" t="inlineStr"/>
      <c r="BM293" s="10" t="inlineStr"/>
      <c r="BN293" s="10" t="inlineStr"/>
      <c r="BO293" s="10" t="inlineStr"/>
      <c r="BP293" s="10" t="inlineStr"/>
      <c r="BQ293" s="10" t="inlineStr"/>
    </row>
    <row r="294">
      <c r="A294" s="5" t="inlineStr">
        <is>
          <t>WY-0190</t>
        </is>
      </c>
      <c r="B294" s="5" t="inlineStr">
        <is>
          <t>WY-0190-01</t>
        </is>
      </c>
      <c r="C294" s="5" t="inlineStr"/>
      <c r="D294" s="5" t="inlineStr">
        <is>
          <t>Yorkshire Fuels (Green Lane Service Station)</t>
        </is>
      </c>
      <c r="E294" s="5" t="inlineStr">
        <is>
          <t>Yorkshire Fuels</t>
        </is>
      </c>
      <c r="F294" s="5" t="inlineStr">
        <is>
          <t>Yorkshire Fuels Ltd</t>
        </is>
      </c>
      <c r="G294" s="5" t="inlineStr">
        <is>
          <t>Petrol Station / Forecourt</t>
        </is>
      </c>
      <c r="H294" s="5" t="inlineStr">
        <is>
          <t>24-hour forecourt with convenience store</t>
        </is>
      </c>
      <c r="I294" s="5" t="inlineStr">
        <is>
          <t>Independent</t>
        </is>
      </c>
      <c r="J294" s="5" t="inlineStr">
        <is>
          <t>1</t>
        </is>
      </c>
      <c r="K294" s="5" t="inlineStr"/>
      <c r="L294" s="5" t="inlineStr"/>
      <c r="M294" s="5" t="inlineStr"/>
      <c r="N294" s="5" t="inlineStr"/>
      <c r="O294" s="5" t="inlineStr">
        <is>
          <t>Green Lane</t>
        </is>
      </c>
      <c r="P294" s="5" t="inlineStr"/>
      <c r="Q294" s="5" t="inlineStr">
        <is>
          <t>Yeadon</t>
        </is>
      </c>
      <c r="R294" s="5" t="inlineStr">
        <is>
          <t>West Yorkshire</t>
        </is>
      </c>
      <c r="S294" s="5" t="inlineStr">
        <is>
          <t>LS19 7BU</t>
        </is>
      </c>
      <c r="T294" s="5" t="inlineStr">
        <is>
          <t>Yorkshire &amp; Humber</t>
        </is>
      </c>
      <c r="U294" s="5" t="inlineStr">
        <is>
          <t>England</t>
        </is>
      </c>
      <c r="V294" s="5" t="inlineStr"/>
      <c r="W294" s="5" t="inlineStr"/>
      <c r="X294" s="5" t="inlineStr"/>
      <c r="Y294" s="5" t="inlineStr"/>
      <c r="Z294" s="5" t="inlineStr"/>
      <c r="AA294" s="5" t="inlineStr"/>
      <c r="AB294" s="5" t="inlineStr"/>
      <c r="AC294" s="5" t="inlineStr"/>
      <c r="AD294" s="5" t="inlineStr"/>
      <c r="AE294" s="5" t="inlineStr">
        <is>
          <t>14479452</t>
        </is>
      </c>
      <c r="AF294" s="5" t="inlineStr">
        <is>
          <t>Active</t>
        </is>
      </c>
      <c r="AG294" s="5" t="inlineStr">
        <is>
          <t>YORKSHIRE FUELS LTD</t>
        </is>
      </c>
      <c r="AH294" s="5" t="inlineStr">
        <is>
          <t>Gulf Petrol Station, Green Lane, Yeadon, Leeds, LS19 7BU</t>
        </is>
      </c>
      <c r="AI294" s="5" t="inlineStr">
        <is>
          <t>2022-11-11</t>
        </is>
      </c>
      <c r="AJ294" s="5" t="inlineStr"/>
      <c r="AK294" s="5" t="inlineStr">
        <is>
          <t>fuel; convenience groceries; snacks; drinks</t>
        </is>
      </c>
      <c r="AL294" s="5" t="inlineStr"/>
      <c r="AM294" s="5" t="inlineStr">
        <is>
          <t>Petrol Station / Forecourt</t>
        </is>
      </c>
      <c r="AN294" s="5" t="inlineStr">
        <is>
          <t>Fuel branding reported as Jet (Yorkshire.com) and Gulf (Petrol Map / CH registered office); site also known as Airport Autopoint</t>
        </is>
      </c>
      <c r="AO294" s="5" t="inlineStr">
        <is>
          <t>Independent 24/7 forecourt near Leeds Bradford Airport. Companies House details from CH/Endole search result snippets; CH site blocked by proxy for direct verification.</t>
        </is>
      </c>
      <c r="AP294" s="5" t="inlineStr">
        <is>
          <t>Low</t>
        </is>
      </c>
      <c r="AQ294" s="5" t="inlineStr">
        <is>
          <t>Independent retailer; Relevant category</t>
        </is>
      </c>
      <c r="AR294" s="5" t="inlineStr">
        <is>
          <t>https://find-and-update.company-information.service.gov.uk/company/14479452</t>
        </is>
      </c>
      <c r="AS294" s="5" t="inlineStr">
        <is>
          <t>https://www.yorkshire.com/guiseley/services/petrol-stations/yorkshire-fuels</t>
        </is>
      </c>
      <c r="AT294" s="5" t="inlineStr">
        <is>
          <t>3</t>
        </is>
      </c>
      <c r="AU294" s="5" t="inlineStr">
        <is>
          <t>No</t>
        </is>
      </c>
      <c r="AV294" s="5" t="inlineStr">
        <is>
          <t>No</t>
        </is>
      </c>
      <c r="AW294" s="5" t="inlineStr">
        <is>
          <t>No</t>
        </is>
      </c>
      <c r="AX294" s="5" t="inlineStr">
        <is>
          <t>Yes</t>
        </is>
      </c>
      <c r="AY294" s="5" t="inlineStr">
        <is>
          <t>Not Found</t>
        </is>
      </c>
      <c r="AZ294" s="5" t="inlineStr">
        <is>
          <t>Not Found</t>
        </is>
      </c>
      <c r="BA294" s="5" t="inlineStr">
        <is>
          <t>2026-09-16</t>
        </is>
      </c>
      <c r="BB294" s="5" t="inlineStr">
        <is>
          <t>Partially Verified</t>
        </is>
      </c>
      <c r="BC294" s="5" t="inlineStr">
        <is>
          <t>Medium</t>
        </is>
      </c>
      <c r="BD294" s="5" t="inlineStr"/>
      <c r="BE294" s="5" t="inlineStr">
        <is>
          <t>Business (B2B)</t>
        </is>
      </c>
      <c r="BF294" s="5" t="inlineStr">
        <is>
          <t>Legitimate interest (B2B) - assess per campaign; PECR: corporate subscribers</t>
        </is>
      </c>
      <c r="BG294" s="5" t="inlineStr"/>
      <c r="BH294" s="5" t="inlineStr">
        <is>
          <t>No</t>
        </is>
      </c>
      <c r="BI294" s="5" t="inlineStr">
        <is>
          <t>2026-09-16</t>
        </is>
      </c>
      <c r="BJ294" s="5" t="inlineStr">
        <is>
          <t>New</t>
        </is>
      </c>
      <c r="BK294" s="5" t="inlineStr">
        <is>
          <t>2026-09-16</t>
        </is>
      </c>
      <c r="BL294" s="5" t="inlineStr"/>
      <c r="BM294" s="5" t="inlineStr"/>
      <c r="BN294" s="5" t="inlineStr"/>
      <c r="BO294" s="5" t="inlineStr"/>
      <c r="BP294" s="5" t="inlineStr"/>
      <c r="BQ294" s="5" t="inlineStr"/>
    </row>
    <row r="295">
      <c r="A295" s="10" t="inlineStr">
        <is>
          <t>WY-0191</t>
        </is>
      </c>
      <c r="B295" s="10" t="inlineStr">
        <is>
          <t>WY-0191-01</t>
        </is>
      </c>
      <c r="C295" s="10" t="inlineStr"/>
      <c r="D295" s="10" t="inlineStr">
        <is>
          <t>Zesty Vape</t>
        </is>
      </c>
      <c r="E295" s="10" t="inlineStr">
        <is>
          <t>Zesty Vape</t>
        </is>
      </c>
      <c r="F295" s="10" t="inlineStr"/>
      <c r="G295" s="10" t="inlineStr">
        <is>
          <t>Vape Shop</t>
        </is>
      </c>
      <c r="H295" s="10" t="inlineStr"/>
      <c r="I295" s="10" t="inlineStr">
        <is>
          <t>Independent</t>
        </is>
      </c>
      <c r="J295" s="10" t="inlineStr">
        <is>
          <t>1</t>
        </is>
      </c>
      <c r="K295" s="10" t="inlineStr"/>
      <c r="L295" s="10" t="inlineStr"/>
      <c r="M295" s="10" t="inlineStr"/>
      <c r="N295" s="10" t="inlineStr"/>
      <c r="O295" s="10" t="inlineStr">
        <is>
          <t>108 Commercial Street</t>
        </is>
      </c>
      <c r="P295" s="10" t="inlineStr"/>
      <c r="Q295" s="10" t="inlineStr">
        <is>
          <t>Brighouse</t>
        </is>
      </c>
      <c r="R295" s="10" t="inlineStr">
        <is>
          <t>West Yorkshire</t>
        </is>
      </c>
      <c r="S295" s="10" t="inlineStr">
        <is>
          <t>HD6 1AQ</t>
        </is>
      </c>
      <c r="T295" s="10" t="inlineStr">
        <is>
          <t>Yorkshire &amp; Humber</t>
        </is>
      </c>
      <c r="U295" s="10" t="inlineStr">
        <is>
          <t>England</t>
        </is>
      </c>
      <c r="V295" s="10" t="inlineStr">
        <is>
          <t>01484 722183</t>
        </is>
      </c>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vape hardware; e-liquids</t>
        </is>
      </c>
      <c r="AL295" s="10" t="inlineStr"/>
      <c r="AM295" s="10" t="inlineStr">
        <is>
          <t>Vape Shop</t>
        </is>
      </c>
      <c r="AN295" s="10" t="inlineStr"/>
      <c r="AO295" s="10" t="inlineStr"/>
      <c r="AP295" s="10" t="inlineStr">
        <is>
          <t>Medium</t>
        </is>
      </c>
      <c r="AQ295" s="10" t="inlineStr">
        <is>
          <t>Independent retailer; Core relevant category</t>
        </is>
      </c>
      <c r="AR295" s="10" t="inlineStr">
        <is>
          <t>https://brighouse.cylex-uk.co.uk/vape-shops/</t>
        </is>
      </c>
      <c r="AS295" s="10" t="inlineStr"/>
      <c r="AT295" s="10" t="inlineStr">
        <is>
          <t>1</t>
        </is>
      </c>
      <c r="AU295" s="10" t="inlineStr">
        <is>
          <t>No</t>
        </is>
      </c>
      <c r="AV295" s="10" t="inlineStr">
        <is>
          <t>No</t>
        </is>
      </c>
      <c r="AW295" s="10" t="inlineStr">
        <is>
          <t>No</t>
        </is>
      </c>
      <c r="AX295" s="10" t="inlineStr">
        <is>
          <t>No</t>
        </is>
      </c>
      <c r="AY295" s="10" t="inlineStr">
        <is>
          <t>Verified directory</t>
        </is>
      </c>
      <c r="AZ295" s="10" t="inlineStr">
        <is>
          <t>Not Found</t>
        </is>
      </c>
      <c r="BA295" s="10" t="inlineStr">
        <is>
          <t>2026-09-16</t>
        </is>
      </c>
      <c r="BB295" s="10" t="inlineStr">
        <is>
          <t>Requires Verification</t>
        </is>
      </c>
      <c r="BC295" s="10" t="inlineStr">
        <is>
          <t>Medium</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2026-09-16</t>
        </is>
      </c>
      <c r="BJ295" s="10" t="inlineStr">
        <is>
          <t>New</t>
        </is>
      </c>
      <c r="BK295" s="10" t="inlineStr">
        <is>
          <t>2026-09-16</t>
        </is>
      </c>
      <c r="BL295" s="10" t="inlineStr"/>
      <c r="BM295" s="10" t="inlineStr"/>
      <c r="BN295" s="10" t="inlineStr"/>
      <c r="BO295" s="10" t="inlineStr"/>
      <c r="BP295" s="10" t="inlineStr"/>
      <c r="BQ295" s="10" t="inlineStr"/>
    </row>
    <row r="296">
      <c r="A296" s="5" t="inlineStr">
        <is>
          <t>WY-0192</t>
        </is>
      </c>
      <c r="B296" s="5" t="inlineStr">
        <is>
          <t>WY-0192-01</t>
        </is>
      </c>
      <c r="C296" s="5" t="inlineStr"/>
      <c r="D296" s="5" t="inlineStr">
        <is>
          <t>eVape Outlet</t>
        </is>
      </c>
      <c r="E296" s="5" t="inlineStr">
        <is>
          <t>eVape Outlet</t>
        </is>
      </c>
      <c r="F296" s="5" t="inlineStr"/>
      <c r="G296" s="5" t="inlineStr">
        <is>
          <t>Vape Shop</t>
        </is>
      </c>
      <c r="H296" s="5" t="inlineStr">
        <is>
          <t>Vape shop</t>
        </is>
      </c>
      <c r="I296" s="5" t="inlineStr">
        <is>
          <t>Independent</t>
        </is>
      </c>
      <c r="J296" s="5" t="inlineStr">
        <is>
          <t>1</t>
        </is>
      </c>
      <c r="K296" s="5" t="inlineStr"/>
      <c r="L296" s="5" t="inlineStr"/>
      <c r="M296" s="5" t="inlineStr"/>
      <c r="N296" s="5" t="inlineStr"/>
      <c r="O296" s="5" t="inlineStr"/>
      <c r="P296" s="5" t="inlineStr"/>
      <c r="Q296" s="5" t="inlineStr">
        <is>
          <t>Keighley</t>
        </is>
      </c>
      <c r="R296" s="5" t="inlineStr">
        <is>
          <t>West Yorkshire</t>
        </is>
      </c>
      <c r="S296" s="5" t="inlineStr"/>
      <c r="T296" s="5" t="inlineStr">
        <is>
          <t>Yorkshire &amp; Humber</t>
        </is>
      </c>
      <c r="U296" s="5" t="inlineStr">
        <is>
          <t>England</t>
        </is>
      </c>
      <c r="V296" s="5" t="inlineStr"/>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vape hardware; e-liquids</t>
        </is>
      </c>
      <c r="AL296" s="5" t="inlineStr"/>
      <c r="AM296" s="5" t="inlineStr">
        <is>
          <t>Vape Shop</t>
        </is>
      </c>
      <c r="AN296" s="5" t="inlineStr"/>
      <c r="AO296" s="5" t="inlineStr">
        <is>
          <t>Keighley vape shop listed on Cylex; address/phone not captured in snippet - needs enrichment.</t>
        </is>
      </c>
      <c r="AP296" s="5" t="inlineStr">
        <is>
          <t>Medium</t>
        </is>
      </c>
      <c r="AQ296" s="5" t="inlineStr">
        <is>
          <t>Independent retailer; Core relevant category</t>
        </is>
      </c>
      <c r="AR296" s="5" t="inlineStr">
        <is>
          <t>https://keighley.cylex-uk.co.uk/company/evape-outlet-27656791.html</t>
        </is>
      </c>
      <c r="AS296" s="5" t="inlineStr"/>
      <c r="AT296" s="5" t="inlineStr">
        <is>
          <t>1</t>
        </is>
      </c>
      <c r="AU296" s="5" t="inlineStr">
        <is>
          <t>No</t>
        </is>
      </c>
      <c r="AV296" s="5" t="inlineStr">
        <is>
          <t>No</t>
        </is>
      </c>
      <c r="AW296" s="5" t="inlineStr">
        <is>
          <t>No</t>
        </is>
      </c>
      <c r="AX296" s="5" t="inlineStr">
        <is>
          <t>No</t>
        </is>
      </c>
      <c r="AY296" s="5" t="inlineStr">
        <is>
          <t>Not Found</t>
        </is>
      </c>
      <c r="AZ296" s="5" t="inlineStr">
        <is>
          <t>Not Found</t>
        </is>
      </c>
      <c r="BA296" s="5" t="inlineStr">
        <is>
          <t>2026-09-16</t>
        </is>
      </c>
      <c r="BB296" s="5" t="inlineStr">
        <is>
          <t>Requires Verification</t>
        </is>
      </c>
      <c r="BC296" s="5" t="inlineStr">
        <is>
          <t>Low</t>
        </is>
      </c>
      <c r="BD296" s="5" t="inlineStr"/>
      <c r="BE296" s="5" t="inlineStr">
        <is>
          <t>Business (B2B)</t>
        </is>
      </c>
      <c r="BF296" s="5" t="inlineStr">
        <is>
          <t>Legitimate interest (B2B) - assess per campaign; PECR: corporate subscribers</t>
        </is>
      </c>
      <c r="BG296" s="5" t="inlineStr"/>
      <c r="BH296" s="5" t="inlineStr">
        <is>
          <t>No</t>
        </is>
      </c>
      <c r="BI296" s="5" t="inlineStr">
        <is>
          <t>2026-09-16</t>
        </is>
      </c>
      <c r="BJ296" s="5" t="inlineStr">
        <is>
          <t>New</t>
        </is>
      </c>
      <c r="BK296" s="5" t="inlineStr">
        <is>
          <t>2026-09-16</t>
        </is>
      </c>
      <c r="BL296" s="5" t="inlineStr"/>
      <c r="BM296" s="5" t="inlineStr"/>
      <c r="BN296" s="5" t="inlineStr"/>
      <c r="BO296" s="5" t="inlineStr"/>
      <c r="BP296" s="5" t="inlineStr"/>
      <c r="BQ296" s="5" t="inlineStr"/>
    </row>
    <row r="297">
      <c r="A297" s="10" t="inlineStr">
        <is>
          <t>WY-0193</t>
        </is>
      </c>
      <c r="B297" s="10" t="inlineStr">
        <is>
          <t>WY-0193-01</t>
        </is>
      </c>
      <c r="C297" s="10" t="inlineStr"/>
      <c r="D297" s="10" t="inlineStr">
        <is>
          <t>iVape Lounge</t>
        </is>
      </c>
      <c r="E297" s="10" t="inlineStr">
        <is>
          <t>iVape Lounge Todmorden</t>
        </is>
      </c>
      <c r="F297" s="10" t="inlineStr"/>
      <c r="G297" s="10" t="inlineStr">
        <is>
          <t>Vape Shop</t>
        </is>
      </c>
      <c r="H297" s="10" t="inlineStr"/>
      <c r="I297" s="10" t="inlineStr">
        <is>
          <t>Independent</t>
        </is>
      </c>
      <c r="J297" s="10" t="inlineStr">
        <is>
          <t>1</t>
        </is>
      </c>
      <c r="K297" s="10" t="inlineStr"/>
      <c r="L297" s="10" t="inlineStr"/>
      <c r="M297" s="10" t="inlineStr"/>
      <c r="N297" s="10" t="inlineStr"/>
      <c r="O297" s="10" t="inlineStr">
        <is>
          <t>53 Halifax Road</t>
        </is>
      </c>
      <c r="P297" s="10" t="inlineStr"/>
      <c r="Q297" s="10" t="inlineStr">
        <is>
          <t>Todmorden</t>
        </is>
      </c>
      <c r="R297" s="10" t="inlineStr">
        <is>
          <t>West Yorkshire</t>
        </is>
      </c>
      <c r="S297" s="10" t="inlineStr">
        <is>
          <t>OL14 5BB</t>
        </is>
      </c>
      <c r="T297" s="10" t="inlineStr">
        <is>
          <t>Yorkshire &amp; Humber</t>
        </is>
      </c>
      <c r="U297" s="10" t="inlineStr">
        <is>
          <t>England</t>
        </is>
      </c>
      <c r="V297" s="10" t="inlineStr"/>
      <c r="W297" s="10" t="inlineStr"/>
      <c r="X297" s="10" t="inlineStr"/>
      <c r="Y297" s="10" t="inlineStr"/>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vapes; e-liquids</t>
        </is>
      </c>
      <c r="AL297" s="10" t="inlineStr"/>
      <c r="AM297" s="10" t="inlineStr">
        <is>
          <t>Vape Shop</t>
        </is>
      </c>
      <c r="AN297" s="10" t="inlineStr"/>
      <c r="AO297" s="10" t="inlineStr"/>
      <c r="AP297" s="10" t="inlineStr">
        <is>
          <t>Medium</t>
        </is>
      </c>
      <c r="AQ297" s="10" t="inlineStr">
        <is>
          <t>Independent retailer; Core relevant category</t>
        </is>
      </c>
      <c r="AR297" s="10" t="inlineStr">
        <is>
          <t>https://ivape-lounge-todmorden-vape-shop.wheree.com/</t>
        </is>
      </c>
      <c r="AS297" s="10" t="inlineStr"/>
      <c r="AT297" s="10" t="inlineStr">
        <is>
          <t>1</t>
        </is>
      </c>
      <c r="AU297" s="10" t="inlineStr">
        <is>
          <t>No</t>
        </is>
      </c>
      <c r="AV297" s="10" t="inlineStr">
        <is>
          <t>No</t>
        </is>
      </c>
      <c r="AW297" s="10" t="inlineStr">
        <is>
          <t>No</t>
        </is>
      </c>
      <c r="AX297" s="10" t="inlineStr">
        <is>
          <t>No</t>
        </is>
      </c>
      <c r="AY297" s="10" t="inlineStr">
        <is>
          <t>Not Found</t>
        </is>
      </c>
      <c r="AZ297" s="10" t="inlineStr">
        <is>
          <t>Not Found</t>
        </is>
      </c>
      <c r="BA297" s="10" t="inlineStr">
        <is>
          <t>2026-09-16</t>
        </is>
      </c>
      <c r="BB297" s="10" t="inlineStr">
        <is>
          <t>Requires Verification</t>
        </is>
      </c>
      <c r="BC297" s="10" t="inlineStr">
        <is>
          <t>Low</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2026-09-16</t>
        </is>
      </c>
      <c r="BJ297" s="10" t="inlineStr">
        <is>
          <t>New</t>
        </is>
      </c>
      <c r="BK297" s="10" t="inlineStr">
        <is>
          <t>2026-09-16</t>
        </is>
      </c>
      <c r="BL297" s="10" t="inlineStr"/>
      <c r="BM297" s="10" t="inlineStr"/>
      <c r="BN297" s="10" t="inlineStr"/>
      <c r="BO297" s="10" t="inlineStr"/>
      <c r="BP297" s="10" t="inlineStr"/>
      <c r="BQ297" s="10" t="inlineStr"/>
    </row>
  </sheetData>
  <autoFilter ref="A1:BQ2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1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9" customWidth="1" min="3" max="3"/>
    <col width="45" customWidth="1" min="4" max="4"/>
    <col width="19" customWidth="1" min="5" max="5"/>
    <col width="45" customWidth="1" min="6" max="6"/>
    <col width="24" customWidth="1" min="7" max="7"/>
    <col width="21" customWidth="1" min="8" max="8"/>
    <col width="45" customWidth="1" min="9" max="9"/>
    <col width="20" customWidth="1" min="10" max="10"/>
    <col width="10" customWidth="1" min="11" max="11"/>
    <col width="15" customWidth="1" min="12" max="12"/>
    <col width="41" customWidth="1" min="13" max="13"/>
    <col width="21"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UK-000194</t>
        </is>
      </c>
      <c r="B5" s="10" t="inlineStr">
        <is>
          <t>CRAMVAPE-01</t>
        </is>
      </c>
      <c r="C5" s="10" t="inlineStr">
        <is>
          <t>CRAM Vape</t>
        </is>
      </c>
      <c r="D5" s="10" t="inlineStr">
        <is>
          <t>CRAM Vape</t>
        </is>
      </c>
      <c r="E5" s="10" t="inlineStr">
        <is>
          <t>Vape Shop</t>
        </is>
      </c>
      <c r="F5" s="10" t="inlineStr">
        <is>
          <t>Vape store</t>
        </is>
      </c>
      <c r="G5" s="10" t="inlineStr">
        <is>
          <t>Multi-Site Independent</t>
        </is>
      </c>
      <c r="H5" s="10" t="inlineStr">
        <is>
          <t>2</t>
        </is>
      </c>
      <c r="I5" s="10" t="inlineStr">
        <is>
          <t>190 Ashby Road</t>
        </is>
      </c>
      <c r="J5" s="10" t="inlineStr">
        <is>
          <t>Scunthorpe</t>
        </is>
      </c>
      <c r="K5" s="10" t="inlineStr">
        <is>
          <t>DN16 2AR</t>
        </is>
      </c>
      <c r="L5" s="10" t="inlineStr">
        <is>
          <t>01724 277259</t>
        </is>
      </c>
      <c r="M5" s="10" t="inlineStr"/>
      <c r="N5" s="10" t="inlineStr"/>
      <c r="O5" s="10" t="inlineStr">
        <is>
          <t>https://www.cramvape.co.uk</t>
        </is>
      </c>
      <c r="P5" s="10" t="inlineStr"/>
      <c r="Q5" s="10" t="inlineStr"/>
      <c r="R5" s="10" t="inlineStr"/>
      <c r="S5" s="10" t="inlineStr"/>
      <c r="T5" s="10" t="inlineStr">
        <is>
          <t>07343567</t>
        </is>
      </c>
      <c r="U5" s="10" t="inlineStr"/>
      <c r="V5" s="10" t="inlineStr">
        <is>
          <t>High</t>
        </is>
      </c>
      <c r="W5" s="10" t="inlineStr">
        <is>
          <t>Multi-site retailer; Independent retailer; Core relevant category; Active website</t>
        </is>
      </c>
      <c r="X5" s="10" t="inlineStr">
        <is>
          <t>Verified directory</t>
        </is>
      </c>
      <c r="Y5" s="10" t="inlineStr">
        <is>
          <t>Not Found</t>
        </is>
      </c>
      <c r="Z5" s="10" t="inlineStr">
        <is>
          <t>Medium</t>
        </is>
      </c>
      <c r="AA5" s="10" t="inlineStr">
        <is>
          <t>Verified (website + Companies House)</t>
        </is>
      </c>
      <c r="AB5" s="10" t="inlineStr">
        <is>
          <t>https://www.cramvape.co.uk/pages/contact-us</t>
        </is>
      </c>
    </row>
    <row r="6">
      <c r="A6" s="5" t="inlineStr">
        <is>
          <t>WY-0013</t>
        </is>
      </c>
      <c r="B6" s="5" t="inlineStr">
        <is>
          <t>ECIGNVAPE-01</t>
        </is>
      </c>
      <c r="C6" s="5" t="inlineStr">
        <is>
          <t>Ecig N Vape</t>
        </is>
      </c>
      <c r="D6" s="5" t="inlineStr">
        <is>
          <t>Ecig N Vape South Elmsall</t>
        </is>
      </c>
      <c r="E6" s="5" t="inlineStr">
        <is>
          <t>Vape Shop</t>
        </is>
      </c>
      <c r="F6" s="5" t="inlineStr">
        <is>
          <t>Vape retailer</t>
        </is>
      </c>
      <c r="G6" s="5" t="inlineStr">
        <is>
          <t>Multi-Site Independent</t>
        </is>
      </c>
      <c r="H6" s="5" t="inlineStr">
        <is>
          <t>2</t>
        </is>
      </c>
      <c r="I6" s="5" t="inlineStr">
        <is>
          <t>13 Barnsley Road</t>
        </is>
      </c>
      <c r="J6" s="5" t="inlineStr">
        <is>
          <t>South Elmsall</t>
        </is>
      </c>
      <c r="K6" s="5" t="inlineStr">
        <is>
          <t>WF9 2RJ</t>
        </is>
      </c>
      <c r="L6" s="5" t="inlineStr">
        <is>
          <t>01977 647267</t>
        </is>
      </c>
      <c r="M6" s="5" t="inlineStr"/>
      <c r="N6" s="5" t="inlineStr"/>
      <c r="O6" s="5" t="inlineStr"/>
      <c r="P6" s="5" t="inlineStr">
        <is>
          <t>https://www.facebook.com/Ecignvapesouthelmsall/</t>
        </is>
      </c>
      <c r="Q6" s="5" t="inlineStr"/>
      <c r="R6" s="5" t="inlineStr"/>
      <c r="S6" s="5" t="inlineStr"/>
      <c r="T6" s="5" t="inlineStr">
        <is>
          <t>12772350</t>
        </is>
      </c>
      <c r="U6" s="5" t="inlineStr"/>
      <c r="V6" s="5" t="inlineStr">
        <is>
          <t>High</t>
        </is>
      </c>
      <c r="W6" s="5" t="inlineStr">
        <is>
          <t>Multi-site retailer; Independent retailer; Core relevant category; Social presence</t>
        </is>
      </c>
      <c r="X6" s="5" t="inlineStr">
        <is>
          <t>Verified directory</t>
        </is>
      </c>
      <c r="Y6" s="5" t="inlineStr">
        <is>
          <t>Not Found</t>
        </is>
      </c>
      <c r="Z6" s="5" t="inlineStr">
        <is>
          <t>Medium</t>
        </is>
      </c>
      <c r="AA6" s="5" t="inlineStr">
        <is>
          <t>Requires Verification</t>
        </is>
      </c>
      <c r="AB6" s="5" t="inlineStr">
        <is>
          <t>https://find-and-update.company-information.service.gov.uk/company/12772350</t>
        </is>
      </c>
    </row>
    <row r="7">
      <c r="A7" s="10" t="inlineStr">
        <is>
          <t>UK-000196</t>
        </is>
      </c>
      <c r="B7" s="10" t="inlineStr">
        <is>
          <t>ELECTRICVA-01</t>
        </is>
      </c>
      <c r="C7" s="10" t="inlineStr">
        <is>
          <t>Electric Vape</t>
        </is>
      </c>
      <c r="D7" s="10" t="inlineStr">
        <is>
          <t>Electric Vape Rotherham</t>
        </is>
      </c>
      <c r="E7" s="10" t="inlineStr">
        <is>
          <t>Vape Shop</t>
        </is>
      </c>
      <c r="F7" s="10" t="inlineStr">
        <is>
          <t>Market-stall vape shop</t>
        </is>
      </c>
      <c r="G7" s="10" t="inlineStr">
        <is>
          <t>Multi-Site Independent</t>
        </is>
      </c>
      <c r="H7" s="10" t="inlineStr">
        <is>
          <t>1</t>
        </is>
      </c>
      <c r="I7" s="10" t="inlineStr">
        <is>
          <t>Units 53 and 55, Rotherham Centenary Indoor Market (Ground Floor)</t>
        </is>
      </c>
      <c r="J7" s="10" t="inlineStr">
        <is>
          <t>Rotherham</t>
        </is>
      </c>
      <c r="K7" s="10" t="inlineStr">
        <is>
          <t>S65 1EL</t>
        </is>
      </c>
      <c r="L7" s="10" t="inlineStr"/>
      <c r="M7" s="10" t="inlineStr"/>
      <c r="N7" s="10" t="inlineStr"/>
      <c r="O7" s="10" t="inlineStr">
        <is>
          <t>https://www.electricvape.co.uk/rotherham-shop</t>
        </is>
      </c>
      <c r="P7" s="10" t="inlineStr"/>
      <c r="Q7" s="10" t="inlineStr"/>
      <c r="R7" s="10" t="inlineStr"/>
      <c r="S7" s="10" t="inlineStr"/>
      <c r="T7" s="10" t="inlineStr"/>
      <c r="U7" s="10" t="inlineStr"/>
      <c r="V7" s="10" t="inlineStr">
        <is>
          <t>High</t>
        </is>
      </c>
      <c r="W7" s="10" t="inlineStr">
        <is>
          <t>Multi-site retailer; Independent retailer; Core relevant category; Active website</t>
        </is>
      </c>
      <c r="X7" s="10" t="inlineStr">
        <is>
          <t>Not Found</t>
        </is>
      </c>
      <c r="Y7" s="10" t="inlineStr">
        <is>
          <t>Website Found</t>
        </is>
      </c>
      <c r="Z7" s="10" t="inlineStr">
        <is>
          <t>Medium</t>
        </is>
      </c>
      <c r="AA7" s="10" t="inlineStr">
        <is>
          <t>Requires Verification</t>
        </is>
      </c>
      <c r="AB7" s="10" t="inlineStr">
        <is>
          <t>https://www.electricvape.co.uk/rotherham-shop</t>
        </is>
      </c>
    </row>
    <row r="8">
      <c r="A8" s="5" t="inlineStr">
        <is>
          <t>UK-000197</t>
        </is>
      </c>
      <c r="B8" s="5" t="inlineStr">
        <is>
          <t>ELECTRICVA-02</t>
        </is>
      </c>
      <c r="C8" s="5" t="inlineStr">
        <is>
          <t>Electric Vape</t>
        </is>
      </c>
      <c r="D8" s="5" t="inlineStr">
        <is>
          <t>Electric Vaper Barnsley</t>
        </is>
      </c>
      <c r="E8" s="5" t="inlineStr">
        <is>
          <t>Vape Shop</t>
        </is>
      </c>
      <c r="F8" s="5" t="inlineStr">
        <is>
          <t>Vape shop</t>
        </is>
      </c>
      <c r="G8" s="5" t="inlineStr">
        <is>
          <t>Multi-Site Independent</t>
        </is>
      </c>
      <c r="H8" s="5" t="inlineStr">
        <is>
          <t>1</t>
        </is>
      </c>
      <c r="I8" s="5" t="inlineStr">
        <is>
          <t>11 May Day Green Arcade</t>
        </is>
      </c>
      <c r="J8" s="5" t="inlineStr">
        <is>
          <t>Barnsley</t>
        </is>
      </c>
      <c r="K8" s="5" t="inlineStr"/>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Core relevant category</t>
        </is>
      </c>
      <c r="X8" s="5" t="inlineStr">
        <is>
          <t>Not Found</t>
        </is>
      </c>
      <c r="Y8" s="5" t="inlineStr">
        <is>
          <t>Not Found</t>
        </is>
      </c>
      <c r="Z8" s="5" t="inlineStr">
        <is>
          <t>Low</t>
        </is>
      </c>
      <c r="AA8" s="5" t="inlineStr">
        <is>
          <t>Requires Verification</t>
        </is>
      </c>
      <c r="AB8" s="5" t="inlineStr">
        <is>
          <t>https://ecigdirectory.co.uk/vape-shop/listing/electric-vaper-barnsley</t>
        </is>
      </c>
    </row>
    <row r="9">
      <c r="A9" s="10" t="inlineStr">
        <is>
          <t>UK-000198</t>
        </is>
      </c>
      <c r="B9" s="10" t="inlineStr">
        <is>
          <t>EZIVAPE-01</t>
        </is>
      </c>
      <c r="C9" s="10" t="inlineStr">
        <is>
          <t>Ezi Vape</t>
        </is>
      </c>
      <c r="D9" s="10" t="inlineStr">
        <is>
          <t>Ezi Vape Skipton</t>
        </is>
      </c>
      <c r="E9" s="10" t="inlineStr">
        <is>
          <t>Vape Shop</t>
        </is>
      </c>
      <c r="F9" s="10" t="inlineStr">
        <is>
          <t>Vape kits, e-liquids &amp; disposables</t>
        </is>
      </c>
      <c r="G9" s="10" t="inlineStr">
        <is>
          <t>Multi-Site Independent</t>
        </is>
      </c>
      <c r="H9" s="10" t="inlineStr">
        <is>
          <t>3</t>
        </is>
      </c>
      <c r="I9" s="10" t="inlineStr">
        <is>
          <t>25 High Street</t>
        </is>
      </c>
      <c r="J9" s="10" t="inlineStr">
        <is>
          <t>Skipton</t>
        </is>
      </c>
      <c r="K9" s="10" t="inlineStr"/>
      <c r="L9" s="10" t="inlineStr">
        <is>
          <t>07967 075860</t>
        </is>
      </c>
      <c r="M9" s="10" t="inlineStr"/>
      <c r="N9" s="10" t="inlineStr"/>
      <c r="O9" s="10" t="inlineStr">
        <is>
          <t>https://www.ezi-vape.co.uk/</t>
        </is>
      </c>
      <c r="P9" s="10" t="inlineStr">
        <is>
          <t>https://www.facebook.com/EziVapour/</t>
        </is>
      </c>
      <c r="Q9" s="10" t="inlineStr"/>
      <c r="R9" s="10" t="inlineStr"/>
      <c r="S9" s="10" t="inlineStr"/>
      <c r="T9" s="10" t="inlineStr"/>
      <c r="U9" s="10" t="inlineStr"/>
      <c r="V9" s="10" t="inlineStr">
        <is>
          <t>High</t>
        </is>
      </c>
      <c r="W9" s="10" t="inlineStr">
        <is>
          <t>Multi-site retailer; Independent retailer; Core relevant category; Active website; Social presence</t>
        </is>
      </c>
      <c r="X9" s="10" t="inlineStr">
        <is>
          <t>Verified directory</t>
        </is>
      </c>
      <c r="Y9" s="10" t="inlineStr">
        <is>
          <t>Website Found</t>
        </is>
      </c>
      <c r="Z9" s="10" t="inlineStr">
        <is>
          <t>Low</t>
        </is>
      </c>
      <c r="AA9" s="10" t="inlineStr">
        <is>
          <t>Requires Verification</t>
        </is>
      </c>
      <c r="AB9" s="10" t="inlineStr">
        <is>
          <t>https://www.ezi-vape.co.uk/</t>
        </is>
      </c>
    </row>
    <row r="10">
      <c r="A10" s="5" t="inlineStr">
        <is>
          <t>WY-0015</t>
        </is>
      </c>
      <c r="B10" s="5" t="inlineStr">
        <is>
          <t>KPMVAPES-01</t>
        </is>
      </c>
      <c r="C10" s="5" t="inlineStr">
        <is>
          <t>KPM Vapes</t>
        </is>
      </c>
      <c r="D10" s="5" t="inlineStr">
        <is>
          <t>KPM Vapes</t>
        </is>
      </c>
      <c r="E10" s="5" t="inlineStr">
        <is>
          <t>Vape Shop</t>
        </is>
      </c>
      <c r="F10" s="5" t="inlineStr">
        <is>
          <t>Vape retail and wholesale</t>
        </is>
      </c>
      <c r="G10" s="5" t="inlineStr">
        <is>
          <t>Multi-Site Independent</t>
        </is>
      </c>
      <c r="H10" s="5" t="inlineStr">
        <is>
          <t>2</t>
        </is>
      </c>
      <c r="I10" s="5" t="inlineStr">
        <is>
          <t>87/89 Wakefield Road</t>
        </is>
      </c>
      <c r="J10" s="5" t="inlineStr">
        <is>
          <t>Huddersfield</t>
        </is>
      </c>
      <c r="K10" s="5" t="inlineStr">
        <is>
          <t>HD5 9AB</t>
        </is>
      </c>
      <c r="L10" s="5" t="inlineStr">
        <is>
          <t>07463 530406</t>
        </is>
      </c>
      <c r="M10" s="5" t="inlineStr">
        <is>
          <t>kpmvapes@outlook.com</t>
        </is>
      </c>
      <c r="N10" s="5" t="inlineStr"/>
      <c r="O10" s="5" t="inlineStr"/>
      <c r="P10" s="5" t="inlineStr">
        <is>
          <t>https://www.facebook.com/people/KPM-Vapes/61556161391449/</t>
        </is>
      </c>
      <c r="Q10" s="5" t="inlineStr">
        <is>
          <t>https://www.instagram.com/kpmvapes/</t>
        </is>
      </c>
      <c r="R10" s="5" t="inlineStr"/>
      <c r="S10" s="5" t="inlineStr"/>
      <c r="T10" s="5" t="inlineStr"/>
      <c r="U10" s="5" t="inlineStr"/>
      <c r="V10" s="5" t="inlineStr">
        <is>
          <t>High</t>
        </is>
      </c>
      <c r="W10" s="5" t="inlineStr">
        <is>
          <t>Multi-site retailer; Independent retailer; Core relevant category; Public email available; Social presence</t>
        </is>
      </c>
      <c r="X10" s="5" t="inlineStr">
        <is>
          <t>Verified directory</t>
        </is>
      </c>
      <c r="Y10" s="5" t="inlineStr">
        <is>
          <t>Unverified</t>
        </is>
      </c>
      <c r="Z10" s="5" t="inlineStr">
        <is>
          <t>Medium</t>
        </is>
      </c>
      <c r="AA10" s="5" t="inlineStr">
        <is>
          <t>Requires Verification</t>
        </is>
      </c>
      <c r="AB10" s="5" t="inlineStr">
        <is>
          <t>https://www.facebook.com/people/KPM-Vapes/61556161391449/</t>
        </is>
      </c>
    </row>
    <row r="11">
      <c r="A11" s="10" t="inlineStr">
        <is>
          <t>WY-0022</t>
        </is>
      </c>
      <c r="B11" s="10" t="inlineStr">
        <is>
          <t>SMKD-01</t>
        </is>
      </c>
      <c r="C11" s="10" t="inlineStr">
        <is>
          <t>SMKD</t>
        </is>
      </c>
      <c r="D11" s="10" t="inlineStr">
        <is>
          <t>SMKD</t>
        </is>
      </c>
      <c r="E11" s="10" t="inlineStr">
        <is>
          <t>Vape Shop</t>
        </is>
      </c>
      <c r="F11" s="10" t="inlineStr">
        <is>
          <t>Vape chain store</t>
        </is>
      </c>
      <c r="G11" s="10" t="inlineStr">
        <is>
          <t>Regional Chain</t>
        </is>
      </c>
      <c r="H11" s="10" t="inlineStr"/>
      <c r="I11" s="10" t="inlineStr">
        <is>
          <t>31-32 Market Street</t>
        </is>
      </c>
      <c r="J11" s="10" t="inlineStr">
        <is>
          <t>Halifax</t>
        </is>
      </c>
      <c r="K11" s="10" t="inlineStr">
        <is>
          <t>HX1 1DZ</t>
        </is>
      </c>
      <c r="L11" s="10" t="inlineStr"/>
      <c r="M11" s="10" t="inlineStr">
        <is>
          <t>info@smkd.com</t>
        </is>
      </c>
      <c r="N11" s="10" t="inlineStr"/>
      <c r="O11" s="10" t="inlineStr">
        <is>
          <t>https://smkd.com/vape-shop-locator/smkd-halifax-vape-shop-market-street/</t>
        </is>
      </c>
      <c r="P11" s="10" t="inlineStr">
        <is>
          <t>https://www.facebook.com/SmkdVapeShop/</t>
        </is>
      </c>
      <c r="Q11" s="10" t="inlineStr"/>
      <c r="R11" s="10" t="inlineStr"/>
      <c r="S11" s="10" t="inlineStr"/>
      <c r="T11" s="10" t="inlineStr">
        <is>
          <t>16161027</t>
        </is>
      </c>
      <c r="U11" s="10" t="inlineStr">
        <is>
          <t>Active</t>
        </is>
      </c>
      <c r="V11" s="10" t="inlineStr">
        <is>
          <t>High</t>
        </is>
      </c>
      <c r="W11" s="10" t="inlineStr">
        <is>
          <t>Multi-site retailer; Core relevant category; Public email available; Active website; Social presence</t>
        </is>
      </c>
      <c r="X11" s="10" t="inlineStr">
        <is>
          <t>Not Found</t>
        </is>
      </c>
      <c r="Y11" s="10" t="inlineStr">
        <is>
          <t>Website Found</t>
        </is>
      </c>
      <c r="Z11" s="10" t="inlineStr">
        <is>
          <t>Medium</t>
        </is>
      </c>
      <c r="AA11" s="10" t="inlineStr">
        <is>
          <t>Partially Verified</t>
        </is>
      </c>
      <c r="AB11" s="10" t="inlineStr">
        <is>
          <t>https://smkd.com/vape-shop-locator/smkd-halifax-vape-shop-market-street/</t>
        </is>
      </c>
    </row>
    <row r="12">
      <c r="A12" s="5" t="inlineStr">
        <is>
          <t>WY-0023</t>
        </is>
      </c>
      <c r="B12" s="5" t="inlineStr">
        <is>
          <t>SMKD-02</t>
        </is>
      </c>
      <c r="C12" s="5" t="inlineStr">
        <is>
          <t>SMKD</t>
        </is>
      </c>
      <c r="D12" s="5" t="inlineStr">
        <is>
          <t>SMKD</t>
        </is>
      </c>
      <c r="E12" s="5" t="inlineStr">
        <is>
          <t>Vape Shop</t>
        </is>
      </c>
      <c r="F12" s="5" t="inlineStr">
        <is>
          <t>Vape chain store with same-day local delivery</t>
        </is>
      </c>
      <c r="G12" s="5" t="inlineStr">
        <is>
          <t>Regional Chain</t>
        </is>
      </c>
      <c r="H12" s="5" t="inlineStr"/>
      <c r="I12" s="5" t="inlineStr"/>
      <c r="J12" s="5" t="inlineStr">
        <is>
          <t>Hebden Bridge</t>
        </is>
      </c>
      <c r="K12" s="5" t="inlineStr"/>
      <c r="L12" s="5" t="inlineStr">
        <is>
          <t>01274 270303</t>
        </is>
      </c>
      <c r="M12" s="5" t="inlineStr">
        <is>
          <t>info@smkd.com</t>
        </is>
      </c>
      <c r="N12" s="5" t="inlineStr"/>
      <c r="O12" s="5" t="inlineStr">
        <is>
          <t>https://smkd.com/vape-shop-locator/smkd-hebden-bridge-vape-shop-west-end/</t>
        </is>
      </c>
      <c r="P12" s="5" t="inlineStr">
        <is>
          <t>https://www.facebook.com/SmkdVapeShop/</t>
        </is>
      </c>
      <c r="Q12" s="5" t="inlineStr"/>
      <c r="R12" s="5" t="inlineStr"/>
      <c r="S12" s="5" t="inlineStr"/>
      <c r="T12" s="5" t="inlineStr">
        <is>
          <t>16161027</t>
        </is>
      </c>
      <c r="U12" s="5" t="inlineStr">
        <is>
          <t>Active</t>
        </is>
      </c>
      <c r="V12" s="5" t="inlineStr">
        <is>
          <t>High</t>
        </is>
      </c>
      <c r="W12" s="5" t="inlineStr">
        <is>
          <t>Multi-site retailer; Core relevant category; Public email available; Active website; Social presence</t>
        </is>
      </c>
      <c r="X12" s="5" t="inlineStr">
        <is>
          <t>Unverified</t>
        </is>
      </c>
      <c r="Y12" s="5" t="inlineStr">
        <is>
          <t>Publicly Listed</t>
        </is>
      </c>
      <c r="Z12" s="5" t="inlineStr">
        <is>
          <t>Medium</t>
        </is>
      </c>
      <c r="AA12" s="5" t="inlineStr">
        <is>
          <t>Partially Verified</t>
        </is>
      </c>
      <c r="AB12" s="5" t="inlineStr">
        <is>
          <t>https://smkd.com/vape-shop-locator/smkd-hebden-bridge-vape-shop-west-end/</t>
        </is>
      </c>
    </row>
    <row r="13">
      <c r="A13" s="10" t="inlineStr">
        <is>
          <t>WY-0024</t>
        </is>
      </c>
      <c r="B13" s="10" t="inlineStr">
        <is>
          <t>SMKD-03</t>
        </is>
      </c>
      <c r="C13" s="10" t="inlineStr">
        <is>
          <t>SMKD</t>
        </is>
      </c>
      <c r="D13" s="10" t="inlineStr">
        <is>
          <t>SMKD - E Cigarettes and Vape Shop (Wakefield)</t>
        </is>
      </c>
      <c r="E13" s="10" t="inlineStr">
        <is>
          <t>Vape Shop</t>
        </is>
      </c>
      <c r="F13" s="10" t="inlineStr">
        <is>
          <t>Vape hardware and e-liquid retailer</t>
        </is>
      </c>
      <c r="G13" s="10" t="inlineStr">
        <is>
          <t>Regional Chain</t>
        </is>
      </c>
      <c r="H13" s="10" t="inlineStr"/>
      <c r="I13" s="10" t="inlineStr">
        <is>
          <t>Ridings Shopping Centre</t>
        </is>
      </c>
      <c r="J13" s="10" t="inlineStr">
        <is>
          <t>Wakefield</t>
        </is>
      </c>
      <c r="K13" s="10" t="inlineStr">
        <is>
          <t>WF1 1DS</t>
        </is>
      </c>
      <c r="L13" s="10" t="inlineStr">
        <is>
          <t>01924 728100</t>
        </is>
      </c>
      <c r="M13" s="10" t="inlineStr">
        <is>
          <t>info@smkd.com</t>
        </is>
      </c>
      <c r="N13" s="10" t="inlineStr"/>
      <c r="O13" s="10" t="inlineStr">
        <is>
          <t>https://smkd.com</t>
        </is>
      </c>
      <c r="P13" s="10" t="inlineStr">
        <is>
          <t>https://www.facebook.com/SmkdVapeShop/</t>
        </is>
      </c>
      <c r="Q13" s="10" t="inlineStr"/>
      <c r="R13" s="10" t="inlineStr"/>
      <c r="S13" s="10" t="inlineStr"/>
      <c r="T13" s="10" t="inlineStr">
        <is>
          <t>16161027</t>
        </is>
      </c>
      <c r="U13" s="10" t="inlineStr">
        <is>
          <t>Active</t>
        </is>
      </c>
      <c r="V13" s="10" t="inlineStr">
        <is>
          <t>High</t>
        </is>
      </c>
      <c r="W13" s="10" t="inlineStr">
        <is>
          <t>Multi-site retailer; Core relevant category; Public email available; Active website; Social presence</t>
        </is>
      </c>
      <c r="X13" s="10" t="inlineStr">
        <is>
          <t>Verified directory</t>
        </is>
      </c>
      <c r="Y13" s="10" t="inlineStr">
        <is>
          <t>Unverified</t>
        </is>
      </c>
      <c r="Z13" s="10" t="inlineStr">
        <is>
          <t>Medium</t>
        </is>
      </c>
      <c r="AA13" s="10" t="inlineStr">
        <is>
          <t>Partially Verified</t>
        </is>
      </c>
      <c r="AB13" s="10" t="inlineStr">
        <is>
          <t>https://smkd.com/vape-shop-locator/wakefield-vape-shop-ridings-shopping-centre/</t>
        </is>
      </c>
    </row>
    <row r="14">
      <c r="A14" s="5" t="inlineStr">
        <is>
          <t>UK-000211</t>
        </is>
      </c>
      <c r="B14" s="5" t="inlineStr">
        <is>
          <t>SMKD-04</t>
        </is>
      </c>
      <c r="C14" s="5" t="inlineStr">
        <is>
          <t>SMKD</t>
        </is>
      </c>
      <c r="D14" s="5" t="inlineStr">
        <is>
          <t>SMKD Barnsley</t>
        </is>
      </c>
      <c r="E14" s="5" t="inlineStr">
        <is>
          <t>Vape Shop</t>
        </is>
      </c>
      <c r="F14" s="5" t="inlineStr">
        <is>
          <t>E-cigarette and vape shop</t>
        </is>
      </c>
      <c r="G14" s="5" t="inlineStr">
        <is>
          <t>Regional Chain</t>
        </is>
      </c>
      <c r="H14" s="5" t="inlineStr">
        <is>
          <t>2</t>
        </is>
      </c>
      <c r="I14" s="5" t="inlineStr">
        <is>
          <t>New Street</t>
        </is>
      </c>
      <c r="J14" s="5" t="inlineStr">
        <is>
          <t>Barnsley</t>
        </is>
      </c>
      <c r="K14" s="5" t="inlineStr"/>
      <c r="L14" s="5" t="inlineStr"/>
      <c r="M14" s="5" t="inlineStr"/>
      <c r="N14" s="5" t="inlineStr"/>
      <c r="O14" s="5" t="inlineStr">
        <is>
          <t>https://smkd.com/</t>
        </is>
      </c>
      <c r="P14" s="5" t="inlineStr"/>
      <c r="Q14" s="5" t="inlineStr"/>
      <c r="R14" s="5" t="inlineStr"/>
      <c r="S14" s="5" t="inlineStr"/>
      <c r="T14" s="5" t="inlineStr"/>
      <c r="U14" s="5" t="inlineStr"/>
      <c r="V14" s="5" t="inlineStr">
        <is>
          <t>Medium</t>
        </is>
      </c>
      <c r="W14" s="5" t="inlineStr">
        <is>
          <t>Multi-site retailer; Core relevant category; Active website</t>
        </is>
      </c>
      <c r="X14" s="5" t="inlineStr">
        <is>
          <t>Not Found</t>
        </is>
      </c>
      <c r="Y14" s="5" t="inlineStr">
        <is>
          <t>Website Found</t>
        </is>
      </c>
      <c r="Z14" s="5" t="inlineStr">
        <is>
          <t>Low</t>
        </is>
      </c>
      <c r="AA14" s="5" t="inlineStr">
        <is>
          <t>Requires Verification</t>
        </is>
      </c>
      <c r="AB14" s="5" t="inlineStr">
        <is>
          <t>https://smkd.com/vape-shop-locator/smkd-barnsley-vape-shop-new-street/</t>
        </is>
      </c>
    </row>
    <row r="15">
      <c r="A15" s="10" t="inlineStr">
        <is>
          <t>UK-000212</t>
        </is>
      </c>
      <c r="B15" s="10" t="inlineStr">
        <is>
          <t>SMKD-05</t>
        </is>
      </c>
      <c r="C15" s="10" t="inlineStr">
        <is>
          <t>SMKD</t>
        </is>
      </c>
      <c r="D15" s="10" t="inlineStr">
        <is>
          <t>SMKD Rotherham</t>
        </is>
      </c>
      <c r="E15" s="10" t="inlineStr">
        <is>
          <t>Vape Shop</t>
        </is>
      </c>
      <c r="F15" s="10" t="inlineStr">
        <is>
          <t>E-cigarette and vape shop</t>
        </is>
      </c>
      <c r="G15" s="10" t="inlineStr">
        <is>
          <t>Regional Chain</t>
        </is>
      </c>
      <c r="H15" s="10" t="inlineStr">
        <is>
          <t>2</t>
        </is>
      </c>
      <c r="I15" s="10" t="inlineStr">
        <is>
          <t>31a Effingham Street</t>
        </is>
      </c>
      <c r="J15" s="10" t="inlineStr">
        <is>
          <t>Rotherham</t>
        </is>
      </c>
      <c r="K15" s="10" t="inlineStr">
        <is>
          <t>S65 1AL</t>
        </is>
      </c>
      <c r="L15" s="10" t="inlineStr">
        <is>
          <t>01274 270303</t>
        </is>
      </c>
      <c r="M15" s="10" t="inlineStr"/>
      <c r="N15" s="10" t="inlineStr"/>
      <c r="O15" s="10" t="inlineStr">
        <is>
          <t>https://smkd.com/</t>
        </is>
      </c>
      <c r="P15" s="10" t="inlineStr"/>
      <c r="Q15" s="10" t="inlineStr"/>
      <c r="R15" s="10" t="inlineStr"/>
      <c r="S15" s="10" t="inlineStr"/>
      <c r="T15" s="10" t="inlineStr"/>
      <c r="U15" s="10" t="inlineStr"/>
      <c r="V15" s="10" t="inlineStr">
        <is>
          <t>Medium</t>
        </is>
      </c>
      <c r="W15" s="10" t="inlineStr">
        <is>
          <t>Multi-site retailer; Core relevant category; Active website</t>
        </is>
      </c>
      <c r="X15" s="10" t="inlineStr">
        <is>
          <t>Verified directory</t>
        </is>
      </c>
      <c r="Y15" s="10" t="inlineStr">
        <is>
          <t>Website Found</t>
        </is>
      </c>
      <c r="Z15" s="10" t="inlineStr">
        <is>
          <t>Medium</t>
        </is>
      </c>
      <c r="AA15" s="10" t="inlineStr">
        <is>
          <t>Requires Verification</t>
        </is>
      </c>
      <c r="AB15" s="10" t="inlineStr">
        <is>
          <t>https://smkd.com/vape-shop-locator/smkd-rotherham-vape-shop-effingham-street/</t>
        </is>
      </c>
    </row>
    <row r="16">
      <c r="A16" s="5" t="inlineStr">
        <is>
          <t>WY-0031</t>
        </is>
      </c>
      <c r="B16" s="5" t="inlineStr">
        <is>
          <t>THEVAPECEN-01</t>
        </is>
      </c>
      <c r="C16" s="5" t="inlineStr">
        <is>
          <t>The Vape Centre</t>
        </is>
      </c>
      <c r="D16" s="5" t="inlineStr">
        <is>
          <t>The Vape Centre (Wetherby)</t>
        </is>
      </c>
      <c r="E16" s="5" t="inlineStr">
        <is>
          <t>Vape Shop</t>
        </is>
      </c>
      <c r="F16" s="5" t="inlineStr"/>
      <c r="G16" s="5" t="inlineStr">
        <is>
          <t>Multi-Site Independent</t>
        </is>
      </c>
      <c r="H16" s="5" t="inlineStr">
        <is>
          <t>2</t>
        </is>
      </c>
      <c r="I16" s="5" t="inlineStr">
        <is>
          <t>16 Market Place</t>
        </is>
      </c>
      <c r="J16" s="5" t="inlineStr">
        <is>
          <t>Wetherby</t>
        </is>
      </c>
      <c r="K16" s="5" t="inlineStr">
        <is>
          <t>LS22 6NE</t>
        </is>
      </c>
      <c r="L16" s="5" t="inlineStr">
        <is>
          <t>07388 892397</t>
        </is>
      </c>
      <c r="M16" s="5" t="inlineStr"/>
      <c r="N16" s="5" t="inlineStr"/>
      <c r="O16" s="5" t="inlineStr">
        <is>
          <t>http://www.thevapecentre.co.uk/</t>
        </is>
      </c>
      <c r="P16" s="5" t="inlineStr"/>
      <c r="Q16" s="5" t="inlineStr"/>
      <c r="R16" s="5" t="inlineStr"/>
      <c r="S16" s="5" t="inlineStr"/>
      <c r="T16" s="5" t="inlineStr"/>
      <c r="U16" s="5" t="inlineStr"/>
      <c r="V16" s="5" t="inlineStr">
        <is>
          <t>High</t>
        </is>
      </c>
      <c r="W16" s="5" t="inlineStr">
        <is>
          <t>Multi-site retailer; Independent retailer; Core relevant category; Active website</t>
        </is>
      </c>
      <c r="X16" s="5" t="inlineStr">
        <is>
          <t>Verified directory</t>
        </is>
      </c>
      <c r="Y16" s="5" t="inlineStr">
        <is>
          <t>Website Found</t>
        </is>
      </c>
      <c r="Z16" s="5" t="inlineStr">
        <is>
          <t>Medium</t>
        </is>
      </c>
      <c r="AA16" s="5" t="inlineStr">
        <is>
          <t>Requires Verification</t>
        </is>
      </c>
      <c r="AB16" s="5" t="inlineStr">
        <is>
          <t>https://wetherbytowncouncil.gov.uk/our-businesses/vape-centre/</t>
        </is>
      </c>
    </row>
    <row r="17">
      <c r="A17" s="10" t="inlineStr">
        <is>
          <t>WY-0032</t>
        </is>
      </c>
      <c r="B17" s="10" t="inlineStr">
        <is>
          <t>TOTALLYWIC-01</t>
        </is>
      </c>
      <c r="C17" s="10" t="inlineStr">
        <is>
          <t>Totally Wicked</t>
        </is>
      </c>
      <c r="D17" s="10" t="inlineStr">
        <is>
          <t>Totally Wicked</t>
        </is>
      </c>
      <c r="E17" s="10" t="inlineStr">
        <is>
          <t>Vape Shop</t>
        </is>
      </c>
      <c r="F17" s="10" t="inlineStr">
        <is>
          <t>E-cigarette and e-liquid chain store</t>
        </is>
      </c>
      <c r="G17" s="10" t="inlineStr">
        <is>
          <t>National Chain</t>
        </is>
      </c>
      <c r="H17" s="10" t="inlineStr"/>
      <c r="I17" s="10" t="inlineStr">
        <is>
          <t>53-55 Bethel Street</t>
        </is>
      </c>
      <c r="J17" s="10" t="inlineStr">
        <is>
          <t>Brighouse</t>
        </is>
      </c>
      <c r="K17" s="10" t="inlineStr">
        <is>
          <t>HD6 1JR</t>
        </is>
      </c>
      <c r="L17" s="10" t="inlineStr">
        <is>
          <t>01484 769431</t>
        </is>
      </c>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Core relevant category</t>
        </is>
      </c>
      <c r="X17" s="10" t="inlineStr">
        <is>
          <t>Verified directory</t>
        </is>
      </c>
      <c r="Y17" s="10" t="inlineStr">
        <is>
          <t>Not Found</t>
        </is>
      </c>
      <c r="Z17" s="10" t="inlineStr">
        <is>
          <t>Medium</t>
        </is>
      </c>
      <c r="AA17" s="10" t="inlineStr">
        <is>
          <t>Requires Verification</t>
        </is>
      </c>
      <c r="AB17" s="10" t="inlineStr">
        <is>
          <t>https://brighouse.cylex-uk.co.uk/vape-shops/</t>
        </is>
      </c>
    </row>
    <row r="18">
      <c r="A18" s="5" t="inlineStr">
        <is>
          <t>WY-0033</t>
        </is>
      </c>
      <c r="B18" s="5" t="inlineStr">
        <is>
          <t>TOTALLYWIC-02</t>
        </is>
      </c>
      <c r="C18" s="5" t="inlineStr">
        <is>
          <t>Totally Wicked</t>
        </is>
      </c>
      <c r="D18" s="5" t="inlineStr">
        <is>
          <t>Totally Wicked</t>
        </is>
      </c>
      <c r="E18" s="5" t="inlineStr">
        <is>
          <t>Vape Shop</t>
        </is>
      </c>
      <c r="F18" s="5" t="inlineStr">
        <is>
          <t>E-cigarette and e-liquid chain store</t>
        </is>
      </c>
      <c r="G18" s="5" t="inlineStr">
        <is>
          <t>National Chain</t>
        </is>
      </c>
      <c r="H18" s="5" t="inlineStr"/>
      <c r="I18" s="5" t="inlineStr">
        <is>
          <t>10 Commercial Street</t>
        </is>
      </c>
      <c r="J18" s="5" t="inlineStr">
        <is>
          <t>Halifax</t>
        </is>
      </c>
      <c r="K18" s="5" t="inlineStr">
        <is>
          <t>HX1 1TA</t>
        </is>
      </c>
      <c r="L18" s="5" t="inlineStr">
        <is>
          <t>01422 320223</t>
        </is>
      </c>
      <c r="M18" s="5" t="inlineStr"/>
      <c r="N18" s="5" t="inlineStr"/>
      <c r="O18" s="5" t="inlineStr">
        <is>
          <t>https://www.totallywicked-eliquid.co.uk/stores/halifax-e-cigs-e-liquid-shop</t>
        </is>
      </c>
      <c r="P18" s="5" t="inlineStr"/>
      <c r="Q18" s="5" t="inlineStr"/>
      <c r="R18" s="5" t="inlineStr"/>
      <c r="S18" s="5" t="inlineStr"/>
      <c r="T18" s="5" t="inlineStr"/>
      <c r="U18" s="5" t="inlineStr"/>
      <c r="V18" s="5" t="inlineStr">
        <is>
          <t>Medium</t>
        </is>
      </c>
      <c r="W18" s="5" t="inlineStr">
        <is>
          <t>Multi-site retailer; Core relevant category; Active website</t>
        </is>
      </c>
      <c r="X18" s="5" t="inlineStr">
        <is>
          <t>Verified directory</t>
        </is>
      </c>
      <c r="Y18" s="5" t="inlineStr">
        <is>
          <t>Website Found</t>
        </is>
      </c>
      <c r="Z18" s="5" t="inlineStr">
        <is>
          <t>Medium</t>
        </is>
      </c>
      <c r="AA18" s="5" t="inlineStr">
        <is>
          <t>Requires Verification</t>
        </is>
      </c>
      <c r="AB18" s="5" t="inlineStr">
        <is>
          <t>https://www.totallywicked-eliquid.co.uk/stores/halifax-e-cigs-e-liquid-shop</t>
        </is>
      </c>
    </row>
    <row r="19">
      <c r="A19" s="10" t="inlineStr">
        <is>
          <t>UK-000216</t>
        </is>
      </c>
      <c r="B19" s="10" t="inlineStr">
        <is>
          <t>VAPEXSTORE-01</t>
        </is>
      </c>
      <c r="C19" s="10" t="inlineStr">
        <is>
          <t>VAPEx Stores</t>
        </is>
      </c>
      <c r="D19" s="10" t="inlineStr">
        <is>
          <t>VAPEx Doncaster</t>
        </is>
      </c>
      <c r="E19" s="10" t="inlineStr">
        <is>
          <t>Vape Shop</t>
        </is>
      </c>
      <c r="F19" s="10" t="inlineStr">
        <is>
          <t>E-cigarette and vape shop</t>
        </is>
      </c>
      <c r="G19" s="10" t="inlineStr">
        <is>
          <t>Multi-Site Independent</t>
        </is>
      </c>
      <c r="H19" s="10" t="inlineStr">
        <is>
          <t>1</t>
        </is>
      </c>
      <c r="I19" s="10" t="inlineStr">
        <is>
          <t>61a Carr House Road</t>
        </is>
      </c>
      <c r="J19" s="10" t="inlineStr">
        <is>
          <t>Doncaster</t>
        </is>
      </c>
      <c r="K19" s="10" t="inlineStr">
        <is>
          <t>DN1 2BY</t>
        </is>
      </c>
      <c r="L19" s="10" t="inlineStr">
        <is>
          <t>01302 315051</t>
        </is>
      </c>
      <c r="M19" s="10" t="inlineStr"/>
      <c r="N19" s="10" t="inlineStr"/>
      <c r="O19" s="10" t="inlineStr">
        <is>
          <t>https://vapexstores.co.uk/dn1</t>
        </is>
      </c>
      <c r="P19" s="10" t="inlineStr">
        <is>
          <t>https://www.facebook.com/vapexdoncaster/</t>
        </is>
      </c>
      <c r="Q19" s="10" t="inlineStr"/>
      <c r="R19" s="10" t="inlineStr"/>
      <c r="S19" s="10" t="inlineStr"/>
      <c r="T19" s="10" t="inlineStr"/>
      <c r="U19" s="10" t="inlineStr"/>
      <c r="V19" s="10" t="inlineStr">
        <is>
          <t>High</t>
        </is>
      </c>
      <c r="W19" s="10" t="inlineStr">
        <is>
          <t>Multi-site retailer; Independent retailer; Core relevant category; Active website; Social presence</t>
        </is>
      </c>
      <c r="X19" s="10" t="inlineStr">
        <is>
          <t>Verified directory</t>
        </is>
      </c>
      <c r="Y19" s="10" t="inlineStr">
        <is>
          <t>Website Found</t>
        </is>
      </c>
      <c r="Z19" s="10" t="inlineStr">
        <is>
          <t>Medium</t>
        </is>
      </c>
      <c r="AA19" s="10" t="inlineStr">
        <is>
          <t>Requires Verification</t>
        </is>
      </c>
      <c r="AB19" s="10" t="inlineStr">
        <is>
          <t>https://directory.gazettelive.co.uk/company/38099bbaff0399ea2ed5ae56d12efd2e</t>
        </is>
      </c>
    </row>
    <row r="20">
      <c r="A20" s="5" t="inlineStr">
        <is>
          <t>WY-0036</t>
        </is>
      </c>
      <c r="B20" s="5" t="inlineStr">
        <is>
          <t>VAPARAMA-01</t>
        </is>
      </c>
      <c r="C20" s="5" t="inlineStr">
        <is>
          <t>Vaparama</t>
        </is>
      </c>
      <c r="D20" s="5" t="inlineStr">
        <is>
          <t>Vaparama (Featherstone)</t>
        </is>
      </c>
      <c r="E20" s="5" t="inlineStr">
        <is>
          <t>Vape Shop</t>
        </is>
      </c>
      <c r="F20" s="5" t="inlineStr">
        <is>
          <t>E-liquid specialist / vape retailer</t>
        </is>
      </c>
      <c r="G20" s="5" t="inlineStr">
        <is>
          <t>Regional Chain</t>
        </is>
      </c>
      <c r="H20" s="5" t="inlineStr">
        <is>
          <t>7</t>
        </is>
      </c>
      <c r="I20" s="5" t="inlineStr">
        <is>
          <t>73-75 Station Lane</t>
        </is>
      </c>
      <c r="J20" s="5" t="inlineStr">
        <is>
          <t>Featherstone</t>
        </is>
      </c>
      <c r="K20" s="5" t="inlineStr">
        <is>
          <t>WF7 5BJ</t>
        </is>
      </c>
      <c r="L20" s="5" t="inlineStr"/>
      <c r="M20" s="5" t="inlineStr"/>
      <c r="N20" s="5" t="inlineStr">
        <is>
          <t>shop@vaparama.co.uk</t>
        </is>
      </c>
      <c r="O20" s="5" t="inlineStr">
        <is>
          <t>https://www.vaparama.co.uk</t>
        </is>
      </c>
      <c r="P20" s="5" t="inlineStr">
        <is>
          <t>https://www.facebook.com/p/Vaparama-100063743672150/</t>
        </is>
      </c>
      <c r="Q20" s="5" t="inlineStr"/>
      <c r="R20" s="5" t="inlineStr"/>
      <c r="S20" s="5" t="inlineStr"/>
      <c r="T20" s="5" t="inlineStr">
        <is>
          <t>09736212</t>
        </is>
      </c>
      <c r="U20" s="5" t="inlineStr">
        <is>
          <t>Active</t>
        </is>
      </c>
      <c r="V20" s="5" t="inlineStr">
        <is>
          <t>High</t>
        </is>
      </c>
      <c r="W20" s="5" t="inlineStr">
        <is>
          <t>Multi-site retailer; Core relevant category; Public email available; Active website; Social presence</t>
        </is>
      </c>
      <c r="X20" s="5" t="inlineStr">
        <is>
          <t>Not Found</t>
        </is>
      </c>
      <c r="Y20" s="5" t="inlineStr">
        <is>
          <t>Publicly Listed</t>
        </is>
      </c>
      <c r="Z20" s="5" t="inlineStr">
        <is>
          <t>Medium</t>
        </is>
      </c>
      <c r="AA20" s="5" t="inlineStr">
        <is>
          <t>Partially Verified</t>
        </is>
      </c>
      <c r="AB20" s="5" t="inlineStr">
        <is>
          <t>https://www.vaparama.co.uk/contact/</t>
        </is>
      </c>
    </row>
    <row r="21">
      <c r="A21" s="10" t="inlineStr">
        <is>
          <t>WY-0037</t>
        </is>
      </c>
      <c r="B21" s="10" t="inlineStr">
        <is>
          <t>VAPARAMA-02</t>
        </is>
      </c>
      <c r="C21" s="10" t="inlineStr">
        <is>
          <t>Vaparama</t>
        </is>
      </c>
      <c r="D21" s="10" t="inlineStr">
        <is>
          <t>Vaparama (Pontefract)</t>
        </is>
      </c>
      <c r="E21" s="10" t="inlineStr">
        <is>
          <t>Vape Shop</t>
        </is>
      </c>
      <c r="F21" s="10" t="inlineStr">
        <is>
          <t>E-liquid specialist / vape retailer and wholesaler</t>
        </is>
      </c>
      <c r="G21" s="10" t="inlineStr">
        <is>
          <t>Regional Chain</t>
        </is>
      </c>
      <c r="H21" s="10" t="inlineStr">
        <is>
          <t>7</t>
        </is>
      </c>
      <c r="I21" s="10" t="inlineStr">
        <is>
          <t>13 Market Place</t>
        </is>
      </c>
      <c r="J21" s="10" t="inlineStr">
        <is>
          <t>Pontefract</t>
        </is>
      </c>
      <c r="K21" s="10" t="inlineStr">
        <is>
          <t>WF8 1AG</t>
        </is>
      </c>
      <c r="L21" s="10" t="inlineStr">
        <is>
          <t>01977 277170</t>
        </is>
      </c>
      <c r="M21" s="10" t="inlineStr">
        <is>
          <t>shop@vaparama.co.uk</t>
        </is>
      </c>
      <c r="N21" s="10" t="inlineStr"/>
      <c r="O21" s="10" t="inlineStr">
        <is>
          <t>https://www.vaparama.co.uk</t>
        </is>
      </c>
      <c r="P21" s="10" t="inlineStr">
        <is>
          <t>https://www.facebook.com/p/Vaparama-100063743672150/</t>
        </is>
      </c>
      <c r="Q21" s="10" t="inlineStr"/>
      <c r="R21" s="10" t="inlineStr"/>
      <c r="S21" s="10" t="inlineStr"/>
      <c r="T21" s="10" t="inlineStr">
        <is>
          <t>09736212</t>
        </is>
      </c>
      <c r="U21" s="10" t="inlineStr">
        <is>
          <t>Active</t>
        </is>
      </c>
      <c r="V21" s="10" t="inlineStr">
        <is>
          <t>High</t>
        </is>
      </c>
      <c r="W21" s="10" t="inlineStr">
        <is>
          <t>Multi-site retailer; Core relevant category; Public email available; Active website; Social presence</t>
        </is>
      </c>
      <c r="X21" s="10" t="inlineStr">
        <is>
          <t>Verified directory</t>
        </is>
      </c>
      <c r="Y21" s="10" t="inlineStr">
        <is>
          <t>Unverified</t>
        </is>
      </c>
      <c r="Z21" s="10" t="inlineStr">
        <is>
          <t>Medium</t>
        </is>
      </c>
      <c r="AA21" s="10" t="inlineStr">
        <is>
          <t>Partially Verified</t>
        </is>
      </c>
      <c r="AB21" s="10" t="inlineStr">
        <is>
          <t>https://find-and-update.company-information.service.gov.uk/company/09736212</t>
        </is>
      </c>
    </row>
    <row r="22">
      <c r="A22" s="5" t="inlineStr">
        <is>
          <t>WY-0038</t>
        </is>
      </c>
      <c r="B22" s="5" t="inlineStr">
        <is>
          <t>VAPARAMA-03</t>
        </is>
      </c>
      <c r="C22" s="5" t="inlineStr">
        <is>
          <t>Vaparama</t>
        </is>
      </c>
      <c r="D22" s="5" t="inlineStr">
        <is>
          <t>Vaparama (Wakefield)</t>
        </is>
      </c>
      <c r="E22" s="5" t="inlineStr">
        <is>
          <t>Vape Shop</t>
        </is>
      </c>
      <c r="F22" s="5" t="inlineStr">
        <is>
          <t>E-liquid specialist / vape retailer</t>
        </is>
      </c>
      <c r="G22" s="5" t="inlineStr">
        <is>
          <t>Regional Chain</t>
        </is>
      </c>
      <c r="H22" s="5" t="inlineStr">
        <is>
          <t>7</t>
        </is>
      </c>
      <c r="I22" s="5" t="inlineStr">
        <is>
          <t>Britannia House, 31 Warrengate</t>
        </is>
      </c>
      <c r="J22" s="5" t="inlineStr">
        <is>
          <t>Wakefield</t>
        </is>
      </c>
      <c r="K22" s="5" t="inlineStr"/>
      <c r="L22" s="5" t="inlineStr"/>
      <c r="M22" s="5" t="inlineStr"/>
      <c r="N22" s="5" t="inlineStr">
        <is>
          <t>shop@vaparama.co.uk</t>
        </is>
      </c>
      <c r="O22" s="5" t="inlineStr">
        <is>
          <t>https://www.vaparama.co.uk</t>
        </is>
      </c>
      <c r="P22" s="5" t="inlineStr">
        <is>
          <t>https://www.facebook.com/p/Vaparama-100063743672150/</t>
        </is>
      </c>
      <c r="Q22" s="5" t="inlineStr"/>
      <c r="R22" s="5" t="inlineStr"/>
      <c r="S22" s="5" t="inlineStr"/>
      <c r="T22" s="5" t="inlineStr">
        <is>
          <t>09736212</t>
        </is>
      </c>
      <c r="U22" s="5" t="inlineStr">
        <is>
          <t>Active</t>
        </is>
      </c>
      <c r="V22" s="5" t="inlineStr">
        <is>
          <t>High</t>
        </is>
      </c>
      <c r="W22" s="5" t="inlineStr">
        <is>
          <t>Multi-site retailer; Core relevant category; Public email available; Active website; Social presence</t>
        </is>
      </c>
      <c r="X22" s="5" t="inlineStr">
        <is>
          <t>Not Found</t>
        </is>
      </c>
      <c r="Y22" s="5" t="inlineStr">
        <is>
          <t>Publicly Listed</t>
        </is>
      </c>
      <c r="Z22" s="5" t="inlineStr">
        <is>
          <t>Medium</t>
        </is>
      </c>
      <c r="AA22" s="5" t="inlineStr">
        <is>
          <t>Partially Verified</t>
        </is>
      </c>
      <c r="AB22" s="5" t="inlineStr">
        <is>
          <t>https://www.vaparama.co.uk/contact/</t>
        </is>
      </c>
    </row>
    <row r="23">
      <c r="A23" s="10" t="inlineStr">
        <is>
          <t>UK-000218</t>
        </is>
      </c>
      <c r="B23" s="10" t="inlineStr">
        <is>
          <t>VAPESAFE-01</t>
        </is>
      </c>
      <c r="C23" s="10" t="inlineStr">
        <is>
          <t>Vape Safe</t>
        </is>
      </c>
      <c r="D23" s="10" t="inlineStr">
        <is>
          <t>Vape Safe Whitby</t>
        </is>
      </c>
      <c r="E23" s="10" t="inlineStr">
        <is>
          <t>Vape Shop</t>
        </is>
      </c>
      <c r="F23" s="10" t="inlineStr">
        <is>
          <t>Premium e-liquids, pods &amp; mods</t>
        </is>
      </c>
      <c r="G23" s="10" t="inlineStr">
        <is>
          <t>Multi-Site Independent</t>
        </is>
      </c>
      <c r="H23" s="10" t="inlineStr">
        <is>
          <t>2</t>
        </is>
      </c>
      <c r="I23" s="10" t="inlineStr">
        <is>
          <t>24 Baxtergate</t>
        </is>
      </c>
      <c r="J23" s="10" t="inlineStr">
        <is>
          <t>Whitby</t>
        </is>
      </c>
      <c r="K23" s="10" t="inlineStr">
        <is>
          <t>YO21 1BW</t>
        </is>
      </c>
      <c r="L23" s="10" t="inlineStr">
        <is>
          <t>01947 604873</t>
        </is>
      </c>
      <c r="M23" s="10" t="inlineStr"/>
      <c r="N23" s="10" t="inlineStr"/>
      <c r="O23" s="10" t="inlineStr">
        <is>
          <t>https://www.vapesafe.net/</t>
        </is>
      </c>
      <c r="P23" s="10" t="inlineStr"/>
      <c r="Q23" s="10" t="inlineStr"/>
      <c r="R23" s="10" t="inlineStr"/>
      <c r="S23" s="10" t="inlineStr"/>
      <c r="T23" s="10" t="inlineStr"/>
      <c r="U23" s="10" t="inlineStr"/>
      <c r="V23" s="10" t="inlineStr">
        <is>
          <t>High</t>
        </is>
      </c>
      <c r="W23" s="10" t="inlineStr">
        <is>
          <t>Multi-site retailer; Independent retailer; Core relevant category; Active website</t>
        </is>
      </c>
      <c r="X23" s="10" t="inlineStr">
        <is>
          <t>Verified directory</t>
        </is>
      </c>
      <c r="Y23" s="10" t="inlineStr">
        <is>
          <t>Not Found</t>
        </is>
      </c>
      <c r="Z23" s="10" t="inlineStr">
        <is>
          <t>Low</t>
        </is>
      </c>
      <c r="AA23" s="10" t="inlineStr">
        <is>
          <t>Requires Verification</t>
        </is>
      </c>
      <c r="AB23" s="10" t="inlineStr">
        <is>
          <t>https://www.vapesafe.net/</t>
        </is>
      </c>
    </row>
    <row r="24">
      <c r="A24" s="5" t="inlineStr">
        <is>
          <t>UK-000219</t>
        </is>
      </c>
      <c r="B24" s="5" t="inlineStr">
        <is>
          <t>VAPESAFE-02</t>
        </is>
      </c>
      <c r="C24" s="5" t="inlineStr">
        <is>
          <t>Vape Safe</t>
        </is>
      </c>
      <c r="D24" s="5" t="inlineStr">
        <is>
          <t>Vape Safe York</t>
        </is>
      </c>
      <c r="E24" s="5" t="inlineStr">
        <is>
          <t>Vape Shop</t>
        </is>
      </c>
      <c r="F24" s="5" t="inlineStr">
        <is>
          <t>Premium e-liquids, pods &amp; mods</t>
        </is>
      </c>
      <c r="G24" s="5" t="inlineStr">
        <is>
          <t>Multi-Site Independent</t>
        </is>
      </c>
      <c r="H24" s="5" t="inlineStr">
        <is>
          <t>2</t>
        </is>
      </c>
      <c r="I24" s="5" t="inlineStr">
        <is>
          <t>8 Stonegate</t>
        </is>
      </c>
      <c r="J24" s="5" t="inlineStr">
        <is>
          <t>York</t>
        </is>
      </c>
      <c r="K24" s="5" t="inlineStr">
        <is>
          <t>YO1 8AX</t>
        </is>
      </c>
      <c r="L24" s="5" t="inlineStr">
        <is>
          <t>01904 848488</t>
        </is>
      </c>
      <c r="M24" s="5" t="inlineStr"/>
      <c r="N24" s="5" t="inlineStr"/>
      <c r="O24" s="5" t="inlineStr">
        <is>
          <t>https://www.vapesafe.net/</t>
        </is>
      </c>
      <c r="P24" s="5" t="inlineStr"/>
      <c r="Q24" s="5" t="inlineStr"/>
      <c r="R24" s="5" t="inlineStr"/>
      <c r="S24" s="5" t="inlineStr"/>
      <c r="T24" s="5" t="inlineStr"/>
      <c r="U24" s="5" t="inlineStr"/>
      <c r="V24" s="5" t="inlineStr">
        <is>
          <t>High</t>
        </is>
      </c>
      <c r="W24" s="5" t="inlineStr">
        <is>
          <t>Multi-site retailer; Independent retailer; Core relevant category; Active website</t>
        </is>
      </c>
      <c r="X24" s="5" t="inlineStr">
        <is>
          <t>Verified directory</t>
        </is>
      </c>
      <c r="Y24" s="5" t="inlineStr">
        <is>
          <t>Website Found</t>
        </is>
      </c>
      <c r="Z24" s="5" t="inlineStr">
        <is>
          <t>Medium</t>
        </is>
      </c>
      <c r="AA24" s="5" t="inlineStr">
        <is>
          <t>Requires Verification</t>
        </is>
      </c>
      <c r="AB24" s="5" t="inlineStr">
        <is>
          <t>https://www.vapesafe.net/</t>
        </is>
      </c>
    </row>
    <row r="25">
      <c r="A25" s="10" t="inlineStr">
        <is>
          <t>UK-000220</t>
        </is>
      </c>
      <c r="B25" s="10" t="inlineStr">
        <is>
          <t>VAPESHACK-01</t>
        </is>
      </c>
      <c r="C25" s="10" t="inlineStr">
        <is>
          <t>Vape Shack</t>
        </is>
      </c>
      <c r="D25" s="10" t="inlineStr">
        <is>
          <t>The Vape Shack Beverley</t>
        </is>
      </c>
      <c r="E25" s="10" t="inlineStr">
        <is>
          <t>Vape Shop</t>
        </is>
      </c>
      <c r="F25" s="10" t="inlineStr">
        <is>
          <t>E-liquid and e-cigarette shop</t>
        </is>
      </c>
      <c r="G25" s="10" t="inlineStr">
        <is>
          <t>Multi-Site Independent</t>
        </is>
      </c>
      <c r="H25" s="10" t="inlineStr">
        <is>
          <t>2</t>
        </is>
      </c>
      <c r="I25" s="10" t="inlineStr">
        <is>
          <t>7 Sow Hill Road</t>
        </is>
      </c>
      <c r="J25" s="10" t="inlineStr">
        <is>
          <t>Beverley</t>
        </is>
      </c>
      <c r="K25" s="10" t="inlineStr">
        <is>
          <t>HU17 8BG</t>
        </is>
      </c>
      <c r="L25" s="10" t="inlineStr">
        <is>
          <t>07359 267997</t>
        </is>
      </c>
      <c r="M25" s="10" t="inlineStr"/>
      <c r="N25" s="10" t="inlineStr"/>
      <c r="O25" s="10" t="inlineStr">
        <is>
          <t>https://www.vape-shack.co.uk</t>
        </is>
      </c>
      <c r="P25" s="10" t="inlineStr">
        <is>
          <t>https://www.facebook.com/thevapeshackbeverley/</t>
        </is>
      </c>
      <c r="Q25" s="10" t="inlineStr"/>
      <c r="R25" s="10" t="inlineStr"/>
      <c r="S25" s="10" t="inlineStr"/>
      <c r="T25" s="10" t="inlineStr"/>
      <c r="U25" s="10" t="inlineStr"/>
      <c r="V25" s="10" t="inlineStr">
        <is>
          <t>High</t>
        </is>
      </c>
      <c r="W25" s="10" t="inlineStr">
        <is>
          <t>Multi-site retailer; Independent retailer; Core relevant category; Active website; Social presence</t>
        </is>
      </c>
      <c r="X25" s="10" t="inlineStr">
        <is>
          <t>Verified directory</t>
        </is>
      </c>
      <c r="Y25" s="10" t="inlineStr">
        <is>
          <t>Not Found</t>
        </is>
      </c>
      <c r="Z25" s="10" t="inlineStr">
        <is>
          <t>Medium</t>
        </is>
      </c>
      <c r="AA25" s="10" t="inlineStr">
        <is>
          <t>Partially Verified</t>
        </is>
      </c>
      <c r="AB25" s="10" t="inlineStr">
        <is>
          <t>https://www.vape-shack.co.uk/</t>
        </is>
      </c>
    </row>
    <row r="26">
      <c r="A26" s="5" t="inlineStr">
        <is>
          <t>UK-000221</t>
        </is>
      </c>
      <c r="B26" s="5" t="inlineStr">
        <is>
          <t>VAPESHACK-02</t>
        </is>
      </c>
      <c r="C26" s="5" t="inlineStr">
        <is>
          <t>Vape Shack</t>
        </is>
      </c>
      <c r="D26" s="5" t="inlineStr">
        <is>
          <t>Vape Shack Immingham</t>
        </is>
      </c>
      <c r="E26" s="5" t="inlineStr">
        <is>
          <t>Vape Shop</t>
        </is>
      </c>
      <c r="F26" s="5" t="inlineStr">
        <is>
          <t>Vape shop</t>
        </is>
      </c>
      <c r="G26" s="5" t="inlineStr">
        <is>
          <t>Multi-Site Independent</t>
        </is>
      </c>
      <c r="H26" s="5" t="inlineStr">
        <is>
          <t>2</t>
        </is>
      </c>
      <c r="I26" s="5" t="inlineStr">
        <is>
          <t>70 Pelham Road</t>
        </is>
      </c>
      <c r="J26" s="5" t="inlineStr">
        <is>
          <t>Immingham</t>
        </is>
      </c>
      <c r="K26" s="5" t="inlineStr"/>
      <c r="L26" s="5" t="inlineStr">
        <is>
          <t>01469 577493</t>
        </is>
      </c>
      <c r="M26" s="5" t="inlineStr"/>
      <c r="N26" s="5" t="inlineStr"/>
      <c r="O26" s="5" t="inlineStr"/>
      <c r="P26" s="5" t="inlineStr">
        <is>
          <t>https://www.facebook.com/vapeshackimmingham/</t>
        </is>
      </c>
      <c r="Q26" s="5" t="inlineStr"/>
      <c r="R26" s="5" t="inlineStr"/>
      <c r="S26" s="5" t="inlineStr"/>
      <c r="T26" s="5" t="inlineStr"/>
      <c r="U26" s="5" t="inlineStr"/>
      <c r="V26" s="5" t="inlineStr">
        <is>
          <t>High</t>
        </is>
      </c>
      <c r="W26" s="5" t="inlineStr">
        <is>
          <t>Multi-site retailer; Independent retailer; Core relevant category; Social presence</t>
        </is>
      </c>
      <c r="X26" s="5" t="inlineStr">
        <is>
          <t>Verified directory</t>
        </is>
      </c>
      <c r="Y26" s="5" t="inlineStr">
        <is>
          <t>Not Found</t>
        </is>
      </c>
      <c r="Z26" s="5" t="inlineStr">
        <is>
          <t>Low</t>
        </is>
      </c>
      <c r="AA26" s="5" t="inlineStr">
        <is>
          <t>Requires Verification</t>
        </is>
      </c>
      <c r="AB26" s="5" t="inlineStr">
        <is>
          <t>https://www.facebook.com/vapeshackimmingham/</t>
        </is>
      </c>
    </row>
    <row r="27">
      <c r="A27" s="10" t="inlineStr">
        <is>
          <t>UK-000222</t>
        </is>
      </c>
      <c r="B27" s="10" t="inlineStr">
        <is>
          <t>VAPESHOPGU-01</t>
        </is>
      </c>
      <c r="C27" s="10" t="inlineStr">
        <is>
          <t>Vape Shop Guy</t>
        </is>
      </c>
      <c r="D27" s="10" t="inlineStr">
        <is>
          <t>Vape Shop Guy Boroughbridge</t>
        </is>
      </c>
      <c r="E27" s="10" t="inlineStr">
        <is>
          <t>Vape Shop</t>
        </is>
      </c>
      <c r="F27" s="10" t="inlineStr">
        <is>
          <t>Vaping products &amp; e-liquids</t>
        </is>
      </c>
      <c r="G27" s="10" t="inlineStr">
        <is>
          <t>Multi-Site Independent</t>
        </is>
      </c>
      <c r="H27" s="10" t="inlineStr">
        <is>
          <t>4</t>
        </is>
      </c>
      <c r="I27" s="10" t="inlineStr">
        <is>
          <t>34 High Street</t>
        </is>
      </c>
      <c r="J27" s="10" t="inlineStr">
        <is>
          <t>Boroughbridge</t>
        </is>
      </c>
      <c r="K27" s="10" t="inlineStr"/>
      <c r="L27" s="10" t="inlineStr">
        <is>
          <t>01423 325924</t>
        </is>
      </c>
      <c r="M27" s="10" t="inlineStr"/>
      <c r="N27" s="10" t="inlineStr"/>
      <c r="O27" s="10" t="inlineStr">
        <is>
          <t>https://vapeshopguy.co.uk/</t>
        </is>
      </c>
      <c r="P27" s="10" t="inlineStr"/>
      <c r="Q27" s="10" t="inlineStr"/>
      <c r="R27" s="10" t="inlineStr"/>
      <c r="S27" s="10" t="inlineStr"/>
      <c r="T27" s="10" t="inlineStr"/>
      <c r="U27" s="10" t="inlineStr"/>
      <c r="V27" s="10" t="inlineStr">
        <is>
          <t>High</t>
        </is>
      </c>
      <c r="W27" s="10" t="inlineStr">
        <is>
          <t>Multi-site retailer; Independent retailer; Core relevant category; Active website; Phone verified on official website</t>
        </is>
      </c>
      <c r="X27" s="10" t="inlineStr">
        <is>
          <t>Verified on official website</t>
        </is>
      </c>
      <c r="Y27" s="10" t="inlineStr">
        <is>
          <t>Website Found</t>
        </is>
      </c>
      <c r="Z27" s="10" t="inlineStr">
        <is>
          <t>Medium</t>
        </is>
      </c>
      <c r="AA27" s="10" t="inlineStr">
        <is>
          <t>Requires Verification</t>
        </is>
      </c>
      <c r="AB27" s="10" t="inlineStr">
        <is>
          <t>https://vapeshopguy.co.uk/locations</t>
        </is>
      </c>
    </row>
    <row r="28">
      <c r="A28" s="5" t="inlineStr">
        <is>
          <t>UK-000223</t>
        </is>
      </c>
      <c r="B28" s="5" t="inlineStr">
        <is>
          <t>VAPESHOPGU-02</t>
        </is>
      </c>
      <c r="C28" s="5" t="inlineStr">
        <is>
          <t>Vape Shop Guy</t>
        </is>
      </c>
      <c r="D28" s="5" t="inlineStr">
        <is>
          <t>Vape Shop Guy Ripon</t>
        </is>
      </c>
      <c r="E28" s="5" t="inlineStr">
        <is>
          <t>Vape Shop</t>
        </is>
      </c>
      <c r="F28" s="5" t="inlineStr">
        <is>
          <t>Vaping products &amp; e-liquids</t>
        </is>
      </c>
      <c r="G28" s="5" t="inlineStr">
        <is>
          <t>Multi-Site Independent</t>
        </is>
      </c>
      <c r="H28" s="5" t="inlineStr">
        <is>
          <t>4</t>
        </is>
      </c>
      <c r="I28" s="5" t="inlineStr">
        <is>
          <t>4 North Street</t>
        </is>
      </c>
      <c r="J28" s="5" t="inlineStr">
        <is>
          <t>Ripon</t>
        </is>
      </c>
      <c r="K28" s="5" t="inlineStr"/>
      <c r="L28" s="5" t="inlineStr"/>
      <c r="M28" s="5" t="inlineStr"/>
      <c r="N28" s="5" t="inlineStr"/>
      <c r="O28" s="5" t="inlineStr">
        <is>
          <t>https://vapeshopguy.co.uk/</t>
        </is>
      </c>
      <c r="P28" s="5" t="inlineStr"/>
      <c r="Q28" s="5" t="inlineStr"/>
      <c r="R28" s="5" t="inlineStr"/>
      <c r="S28" s="5" t="inlineStr"/>
      <c r="T28" s="5" t="inlineStr">
        <is>
          <t>16398053</t>
        </is>
      </c>
      <c r="U28" s="5" t="inlineStr"/>
      <c r="V28" s="5" t="inlineStr">
        <is>
          <t>High</t>
        </is>
      </c>
      <c r="W28" s="5" t="inlineStr">
        <is>
          <t>Multi-site retailer; Independent retailer; Core relevant category; Active website</t>
        </is>
      </c>
      <c r="X28" s="5" t="inlineStr">
        <is>
          <t>Not Found</t>
        </is>
      </c>
      <c r="Y28" s="5" t="inlineStr">
        <is>
          <t>Website Found</t>
        </is>
      </c>
      <c r="Z28" s="5" t="inlineStr">
        <is>
          <t>Medium</t>
        </is>
      </c>
      <c r="AA28" s="5" t="inlineStr">
        <is>
          <t>Requires Verification</t>
        </is>
      </c>
      <c r="AB28" s="5" t="inlineStr">
        <is>
          <t>https://vapeshopguy.co.uk/locations</t>
        </is>
      </c>
    </row>
    <row r="29">
      <c r="A29" s="10" t="inlineStr">
        <is>
          <t>UK-000224</t>
        </is>
      </c>
      <c r="B29" s="10" t="inlineStr">
        <is>
          <t>VAPESHOPGU-03</t>
        </is>
      </c>
      <c r="C29" s="10" t="inlineStr">
        <is>
          <t>Vape Shop Guy</t>
        </is>
      </c>
      <c r="D29" s="10" t="inlineStr">
        <is>
          <t>Vape Shop Guy Thirsk</t>
        </is>
      </c>
      <c r="E29" s="10" t="inlineStr">
        <is>
          <t>Vape Shop</t>
        </is>
      </c>
      <c r="F29" s="10" t="inlineStr">
        <is>
          <t>Vaping products &amp; e-liquids</t>
        </is>
      </c>
      <c r="G29" s="10" t="inlineStr">
        <is>
          <t>Multi-Site Independent</t>
        </is>
      </c>
      <c r="H29" s="10" t="inlineStr">
        <is>
          <t>4</t>
        </is>
      </c>
      <c r="I29" s="10" t="inlineStr">
        <is>
          <t>2 Millgate</t>
        </is>
      </c>
      <c r="J29" s="10" t="inlineStr">
        <is>
          <t>Thirsk</t>
        </is>
      </c>
      <c r="K29" s="10" t="inlineStr"/>
      <c r="L29" s="10" t="inlineStr"/>
      <c r="M29" s="10" t="inlineStr"/>
      <c r="N29" s="10" t="inlineStr"/>
      <c r="O29" s="10" t="inlineStr">
        <is>
          <t>https://vapeshopguy.co.uk/</t>
        </is>
      </c>
      <c r="P29" s="10" t="inlineStr"/>
      <c r="Q29" s="10" t="inlineStr"/>
      <c r="R29" s="10" t="inlineStr"/>
      <c r="S29" s="10" t="inlineStr"/>
      <c r="T29" s="10" t="inlineStr">
        <is>
          <t>15869863</t>
        </is>
      </c>
      <c r="U29" s="10" t="inlineStr"/>
      <c r="V29" s="10" t="inlineStr">
        <is>
          <t>High</t>
        </is>
      </c>
      <c r="W29" s="10" t="inlineStr">
        <is>
          <t>Multi-site retailer; Independent retailer; Core relevant category; Active website</t>
        </is>
      </c>
      <c r="X29" s="10" t="inlineStr">
        <is>
          <t>Not Found</t>
        </is>
      </c>
      <c r="Y29" s="10" t="inlineStr">
        <is>
          <t>Website Found</t>
        </is>
      </c>
      <c r="Z29" s="10" t="inlineStr">
        <is>
          <t>Medium</t>
        </is>
      </c>
      <c r="AA29" s="10" t="inlineStr">
        <is>
          <t>Requires Verification</t>
        </is>
      </c>
      <c r="AB29" s="10" t="inlineStr">
        <is>
          <t>https://vapeshopguy.co.uk/locations</t>
        </is>
      </c>
    </row>
    <row r="30">
      <c r="A30" s="5" t="inlineStr">
        <is>
          <t>UK-000225</t>
        </is>
      </c>
      <c r="B30" s="5" t="inlineStr">
        <is>
          <t>VAPESHOPGU-04</t>
        </is>
      </c>
      <c r="C30" s="5" t="inlineStr">
        <is>
          <t>Vape Shop Guy</t>
        </is>
      </c>
      <c r="D30" s="5" t="inlineStr">
        <is>
          <t>Vapour Worx Knaresborough</t>
        </is>
      </c>
      <c r="E30" s="5" t="inlineStr">
        <is>
          <t>Vape Shop</t>
        </is>
      </c>
      <c r="F30" s="5" t="inlineStr">
        <is>
          <t>Vaping products &amp; e-liquids</t>
        </is>
      </c>
      <c r="G30" s="5" t="inlineStr">
        <is>
          <t>Multi-Site Independent</t>
        </is>
      </c>
      <c r="H30" s="5" t="inlineStr">
        <is>
          <t>4</t>
        </is>
      </c>
      <c r="I30" s="5" t="inlineStr">
        <is>
          <t>39a High Street</t>
        </is>
      </c>
      <c r="J30" s="5" t="inlineStr">
        <is>
          <t>Knaresborough</t>
        </is>
      </c>
      <c r="K30" s="5" t="inlineStr">
        <is>
          <t>HG5 0HB</t>
        </is>
      </c>
      <c r="L30" s="5" t="inlineStr">
        <is>
          <t>01423 610083</t>
        </is>
      </c>
      <c r="M30" s="5" t="inlineStr"/>
      <c r="N30" s="5" t="inlineStr"/>
      <c r="O30" s="5" t="inlineStr">
        <is>
          <t>https://vapeshopguy.co.uk/</t>
        </is>
      </c>
      <c r="P30" s="5" t="inlineStr"/>
      <c r="Q30" s="5" t="inlineStr"/>
      <c r="R30" s="5" t="inlineStr"/>
      <c r="S30" s="5" t="inlineStr"/>
      <c r="T30" s="5" t="inlineStr"/>
      <c r="U30" s="5" t="inlineStr"/>
      <c r="V30" s="5" t="inlineStr">
        <is>
          <t>High</t>
        </is>
      </c>
      <c r="W30" s="5" t="inlineStr">
        <is>
          <t>Multi-site retailer; Independent retailer; Core relevant category; Active website</t>
        </is>
      </c>
      <c r="X30" s="5" t="inlineStr">
        <is>
          <t>Verified directory</t>
        </is>
      </c>
      <c r="Y30" s="5" t="inlineStr">
        <is>
          <t>Website Found</t>
        </is>
      </c>
      <c r="Z30" s="5" t="inlineStr">
        <is>
          <t>Medium</t>
        </is>
      </c>
      <c r="AA30" s="5" t="inlineStr">
        <is>
          <t>Requires Verification</t>
        </is>
      </c>
      <c r="AB30" s="5" t="inlineStr">
        <is>
          <t>https://directory.crewechronicle.co.uk/company/1223189121957890</t>
        </is>
      </c>
    </row>
    <row r="31">
      <c r="A31" s="10" t="inlineStr">
        <is>
          <t>WY-0039</t>
        </is>
      </c>
      <c r="B31" s="10" t="inlineStr">
        <is>
          <t>WOWVAPE-01</t>
        </is>
      </c>
      <c r="C31" s="10" t="inlineStr">
        <is>
          <t>WOW Vape</t>
        </is>
      </c>
      <c r="D31" s="10" t="inlineStr">
        <is>
          <t>WOW Vape (Castleford)</t>
        </is>
      </c>
      <c r="E31" s="10" t="inlineStr">
        <is>
          <t>Vape Shop</t>
        </is>
      </c>
      <c r="F31" s="10" t="inlineStr">
        <is>
          <t>Vape retailer</t>
        </is>
      </c>
      <c r="G31" s="10" t="inlineStr">
        <is>
          <t>Multi-Site Independent</t>
        </is>
      </c>
      <c r="H31" s="10" t="inlineStr">
        <is>
          <t>2</t>
        </is>
      </c>
      <c r="I31" s="10" t="inlineStr">
        <is>
          <t>45 Carlton Street</t>
        </is>
      </c>
      <c r="J31" s="10" t="inlineStr">
        <is>
          <t>Castleford</t>
        </is>
      </c>
      <c r="K31" s="10" t="inlineStr">
        <is>
          <t>WF10 1BA</t>
        </is>
      </c>
      <c r="L31" s="10" t="inlineStr">
        <is>
          <t>01977 516062</t>
        </is>
      </c>
      <c r="M31" s="10" t="inlineStr"/>
      <c r="N31" s="10" t="inlineStr"/>
      <c r="O31" s="10" t="inlineStr">
        <is>
          <t>https://wow-vape.co.uk</t>
        </is>
      </c>
      <c r="P31" s="10" t="inlineStr">
        <is>
          <t>https://www.facebook.com/wowvapecas/</t>
        </is>
      </c>
      <c r="Q31" s="10" t="inlineStr">
        <is>
          <t>https://www.instagram.com/wow_vape_castleford/</t>
        </is>
      </c>
      <c r="R31" s="10" t="inlineStr"/>
      <c r="S31" s="10" t="inlineStr"/>
      <c r="T31" s="10" t="inlineStr"/>
      <c r="U31" s="10" t="inlineStr"/>
      <c r="V31" s="10" t="inlineStr">
        <is>
          <t>High</t>
        </is>
      </c>
      <c r="W31" s="10" t="inlineStr">
        <is>
          <t>Multi-site retailer; Independent retailer; Core relevant category; Active website; Social presence</t>
        </is>
      </c>
      <c r="X31" s="10" t="inlineStr">
        <is>
          <t>Verified directory</t>
        </is>
      </c>
      <c r="Y31" s="10" t="inlineStr">
        <is>
          <t>Not Found</t>
        </is>
      </c>
      <c r="Z31" s="10" t="inlineStr">
        <is>
          <t>Medium</t>
        </is>
      </c>
      <c r="AA31" s="10" t="inlineStr">
        <is>
          <t>Requires Verification</t>
        </is>
      </c>
      <c r="AB31" s="10" t="inlineStr">
        <is>
          <t>https://www.facebook.com/wowvapecas/</t>
        </is>
      </c>
    </row>
    <row r="32">
      <c r="A32" s="5" t="inlineStr">
        <is>
          <t>WY-0040</t>
        </is>
      </c>
      <c r="B32" s="5" t="inlineStr">
        <is>
          <t>WOWVAPE-02</t>
        </is>
      </c>
      <c r="C32" s="5" t="inlineStr">
        <is>
          <t>WOW Vape</t>
        </is>
      </c>
      <c r="D32" s="5" t="inlineStr">
        <is>
          <t>WOW Vape (Wakefield)</t>
        </is>
      </c>
      <c r="E32" s="5" t="inlineStr">
        <is>
          <t>Vape Shop</t>
        </is>
      </c>
      <c r="F32" s="5" t="inlineStr">
        <is>
          <t>Vape retailer</t>
        </is>
      </c>
      <c r="G32" s="5" t="inlineStr">
        <is>
          <t>Multi-Site Independent</t>
        </is>
      </c>
      <c r="H32" s="5" t="inlineStr">
        <is>
          <t>2</t>
        </is>
      </c>
      <c r="I32" s="5" t="inlineStr"/>
      <c r="J32" s="5" t="inlineStr">
        <is>
          <t>Wakefield</t>
        </is>
      </c>
      <c r="K32" s="5" t="inlineStr"/>
      <c r="L32" s="5" t="inlineStr"/>
      <c r="M32" s="5" t="inlineStr"/>
      <c r="N32" s="5" t="inlineStr"/>
      <c r="O32" s="5" t="inlineStr"/>
      <c r="P32" s="5" t="inlineStr"/>
      <c r="Q32" s="5" t="inlineStr">
        <is>
          <t>https://www.instagram.com/wowvapewakefield/</t>
        </is>
      </c>
      <c r="R32" s="5" t="inlineStr"/>
      <c r="S32" s="5" t="inlineStr"/>
      <c r="T32" s="5" t="inlineStr"/>
      <c r="U32" s="5" t="inlineStr"/>
      <c r="V32" s="5" t="inlineStr">
        <is>
          <t>High</t>
        </is>
      </c>
      <c r="W32" s="5" t="inlineStr">
        <is>
          <t>Multi-site retailer; Independent retailer; Core relevant category; Social presence</t>
        </is>
      </c>
      <c r="X32" s="5" t="inlineStr">
        <is>
          <t>Not Found</t>
        </is>
      </c>
      <c r="Y32" s="5" t="inlineStr">
        <is>
          <t>Not Found</t>
        </is>
      </c>
      <c r="Z32" s="5" t="inlineStr">
        <is>
          <t>Low</t>
        </is>
      </c>
      <c r="AA32" s="5" t="inlineStr">
        <is>
          <t>Requires Verification</t>
        </is>
      </c>
      <c r="AB32" s="5" t="inlineStr">
        <is>
          <t>https://www.instagram.com/wowvapewakefield/</t>
        </is>
      </c>
    </row>
    <row r="33">
      <c r="A33" s="10" t="inlineStr">
        <is>
          <t>WY-0041</t>
        </is>
      </c>
      <c r="B33" s="10" t="inlineStr">
        <is>
          <t>WEAREVAPES-01</t>
        </is>
      </c>
      <c r="C33" s="10" t="inlineStr">
        <is>
          <t>We Are Vapes</t>
        </is>
      </c>
      <c r="D33" s="10" t="inlineStr">
        <is>
          <t>We Are Vapes</t>
        </is>
      </c>
      <c r="E33" s="10" t="inlineStr">
        <is>
          <t>Vape Shop</t>
        </is>
      </c>
      <c r="F33" s="10" t="inlineStr">
        <is>
          <t>Vape kits, e-liquids &amp; accessories</t>
        </is>
      </c>
      <c r="G33" s="10" t="inlineStr">
        <is>
          <t>Multi-Site Independent</t>
        </is>
      </c>
      <c r="H33" s="10" t="inlineStr">
        <is>
          <t>3</t>
        </is>
      </c>
      <c r="I33" s="10" t="inlineStr">
        <is>
          <t>287 Tong Street</t>
        </is>
      </c>
      <c r="J33" s="10" t="inlineStr">
        <is>
          <t>Bradford</t>
        </is>
      </c>
      <c r="K33" s="10" t="inlineStr">
        <is>
          <t>BD4 9QJ</t>
        </is>
      </c>
      <c r="L33" s="10" t="inlineStr">
        <is>
          <t>01274 270773</t>
        </is>
      </c>
      <c r="M33" s="10" t="inlineStr"/>
      <c r="N33" s="10" t="inlineStr"/>
      <c r="O33" s="10" t="inlineStr">
        <is>
          <t>https://www.wearevapes.com/</t>
        </is>
      </c>
      <c r="P33" s="10" t="inlineStr"/>
      <c r="Q33" s="10" t="inlineStr"/>
      <c r="R33" s="10" t="inlineStr"/>
      <c r="S33" s="10" t="inlineStr"/>
      <c r="T33" s="10" t="inlineStr"/>
      <c r="U33" s="10" t="inlineStr"/>
      <c r="V33" s="10" t="inlineStr">
        <is>
          <t>High</t>
        </is>
      </c>
      <c r="W33" s="10" t="inlineStr">
        <is>
          <t>Multi-site retailer; Independent retailer; Core relevant category; Active website</t>
        </is>
      </c>
      <c r="X33" s="10" t="inlineStr">
        <is>
          <t>Verified directory</t>
        </is>
      </c>
      <c r="Y33" s="10" t="inlineStr">
        <is>
          <t>Website Found</t>
        </is>
      </c>
      <c r="Z33" s="10" t="inlineStr">
        <is>
          <t>Medium</t>
        </is>
      </c>
      <c r="AA33" s="10" t="inlineStr">
        <is>
          <t>Requires Verification</t>
        </is>
      </c>
      <c r="AB33" s="10" t="inlineStr">
        <is>
          <t>https://www.wearevapes.com/</t>
        </is>
      </c>
    </row>
    <row r="34">
      <c r="A34" s="5" t="inlineStr">
        <is>
          <t>WY-0042</t>
        </is>
      </c>
      <c r="B34" s="5" t="inlineStr">
        <is>
          <t>WEAREVAPES-02</t>
        </is>
      </c>
      <c r="C34" s="5" t="inlineStr">
        <is>
          <t>We Are Vapes</t>
        </is>
      </c>
      <c r="D34" s="5" t="inlineStr">
        <is>
          <t>We Are Vapes</t>
        </is>
      </c>
      <c r="E34" s="5" t="inlineStr">
        <is>
          <t>Vape Shop</t>
        </is>
      </c>
      <c r="F34" s="5" t="inlineStr">
        <is>
          <t>Vape kits, e-liquids &amp; accessories</t>
        </is>
      </c>
      <c r="G34" s="5" t="inlineStr">
        <is>
          <t>Multi-Site Independent</t>
        </is>
      </c>
      <c r="H34" s="5" t="inlineStr">
        <is>
          <t>3</t>
        </is>
      </c>
      <c r="I34" s="5" t="inlineStr">
        <is>
          <t>220 High Street</t>
        </is>
      </c>
      <c r="J34" s="5" t="inlineStr">
        <is>
          <t>Bradford</t>
        </is>
      </c>
      <c r="K34" s="5" t="inlineStr"/>
      <c r="L34" s="5" t="inlineStr">
        <is>
          <t>01274 634327</t>
        </is>
      </c>
      <c r="M34" s="5" t="inlineStr"/>
      <c r="N34" s="5" t="inlineStr"/>
      <c r="O34" s="5" t="inlineStr">
        <is>
          <t>https://www.wearevapes.com/</t>
        </is>
      </c>
      <c r="P34" s="5" t="inlineStr"/>
      <c r="Q34" s="5" t="inlineStr"/>
      <c r="R34" s="5" t="inlineStr"/>
      <c r="S34" s="5" t="inlineStr"/>
      <c r="T34" s="5" t="inlineStr"/>
      <c r="U34" s="5" t="inlineStr"/>
      <c r="V34" s="5" t="inlineStr">
        <is>
          <t>High</t>
        </is>
      </c>
      <c r="W34" s="5" t="inlineStr">
        <is>
          <t>Multi-site retailer; Independent retailer; Core relevant category; Active website</t>
        </is>
      </c>
      <c r="X34" s="5" t="inlineStr">
        <is>
          <t>Verified directory</t>
        </is>
      </c>
      <c r="Y34" s="5" t="inlineStr">
        <is>
          <t>Website Found</t>
        </is>
      </c>
      <c r="Z34" s="5" t="inlineStr">
        <is>
          <t>Medium</t>
        </is>
      </c>
      <c r="AA34" s="5" t="inlineStr">
        <is>
          <t>Requires Verification</t>
        </is>
      </c>
      <c r="AB34" s="5" t="inlineStr">
        <is>
          <t>https://www.wearevapes.com/</t>
        </is>
      </c>
    </row>
    <row r="35">
      <c r="A35" s="10" t="inlineStr">
        <is>
          <t>WY-0043</t>
        </is>
      </c>
      <c r="B35" s="10" t="inlineStr">
        <is>
          <t>WEAREVAPES-03</t>
        </is>
      </c>
      <c r="C35" s="10" t="inlineStr">
        <is>
          <t>We Are Vapes</t>
        </is>
      </c>
      <c r="D35" s="10" t="inlineStr">
        <is>
          <t>We Are Vapes</t>
        </is>
      </c>
      <c r="E35" s="10" t="inlineStr">
        <is>
          <t>Vape Shop</t>
        </is>
      </c>
      <c r="F35" s="10" t="inlineStr">
        <is>
          <t>Vape kits, e-liquids &amp; accessories</t>
        </is>
      </c>
      <c r="G35" s="10" t="inlineStr">
        <is>
          <t>Multi-Site Independent</t>
        </is>
      </c>
      <c r="H35" s="10" t="inlineStr">
        <is>
          <t>3</t>
        </is>
      </c>
      <c r="I35" s="10" t="inlineStr">
        <is>
          <t>446 Killinghall Road</t>
        </is>
      </c>
      <c r="J35" s="10" t="inlineStr">
        <is>
          <t>Bradford</t>
        </is>
      </c>
      <c r="K35" s="10" t="inlineStr"/>
      <c r="L35" s="10" t="inlineStr"/>
      <c r="M35" s="10" t="inlineStr"/>
      <c r="N35" s="10" t="inlineStr"/>
      <c r="O35" s="10" t="inlineStr">
        <is>
          <t>https://www.wearevapes.com/</t>
        </is>
      </c>
      <c r="P35" s="10" t="inlineStr"/>
      <c r="Q35" s="10" t="inlineStr"/>
      <c r="R35" s="10" t="inlineStr"/>
      <c r="S35" s="10" t="inlineStr"/>
      <c r="T35" s="10" t="inlineStr"/>
      <c r="U35" s="10" t="inlineStr"/>
      <c r="V35" s="10" t="inlineStr">
        <is>
          <t>High</t>
        </is>
      </c>
      <c r="W35" s="10" t="inlineStr">
        <is>
          <t>Multi-site retailer; Independent retailer; Core relevant category; Active website</t>
        </is>
      </c>
      <c r="X35" s="10" t="inlineStr">
        <is>
          <t>Not Found</t>
        </is>
      </c>
      <c r="Y35" s="10" t="inlineStr">
        <is>
          <t>Website Found</t>
        </is>
      </c>
      <c r="Z35" s="10" t="inlineStr">
        <is>
          <t>Low</t>
        </is>
      </c>
      <c r="AA35" s="10" t="inlineStr">
        <is>
          <t>Requires Verification</t>
        </is>
      </c>
      <c r="AB35" s="10" t="inlineStr">
        <is>
          <t>https://www.wearevapes.com/</t>
        </is>
      </c>
    </row>
    <row r="36">
      <c r="A36" s="5" t="inlineStr">
        <is>
          <t>UK-000227</t>
        </is>
      </c>
      <c r="B36" s="5" t="inlineStr">
        <is>
          <t>ECIGARETTE-01</t>
        </is>
      </c>
      <c r="C36" s="5" t="inlineStr">
        <is>
          <t>eCigarette Outlet</t>
        </is>
      </c>
      <c r="D36" s="5" t="inlineStr">
        <is>
          <t>eCigarette Outlet</t>
        </is>
      </c>
      <c r="E36" s="5" t="inlineStr">
        <is>
          <t>Vape Shop</t>
        </is>
      </c>
      <c r="F36" s="5" t="inlineStr">
        <is>
          <t>E-cigarette specialist chain</t>
        </is>
      </c>
      <c r="G36" s="5" t="inlineStr">
        <is>
          <t>Regional Chain</t>
        </is>
      </c>
      <c r="H36" s="5" t="inlineStr">
        <is>
          <t>6</t>
        </is>
      </c>
      <c r="I36" s="5" t="inlineStr">
        <is>
          <t>53 Jameson Street</t>
        </is>
      </c>
      <c r="J36" s="5" t="inlineStr">
        <is>
          <t>Kingston upon Hull</t>
        </is>
      </c>
      <c r="K36" s="5" t="inlineStr"/>
      <c r="L36" s="5" t="inlineStr"/>
      <c r="M36" s="5" t="inlineStr">
        <is>
          <t>customer.service@ecigaretteoutlet.co.uk</t>
        </is>
      </c>
      <c r="N36" s="5" t="inlineStr"/>
      <c r="O36" s="5" t="inlineStr">
        <is>
          <t>https://ecigaretteoutlet.co.uk</t>
        </is>
      </c>
      <c r="P36" s="5" t="inlineStr">
        <is>
          <t>https://www.facebook.com/EcigaretteoutletHull/</t>
        </is>
      </c>
      <c r="Q36" s="5" t="inlineStr"/>
      <c r="R36" s="5" t="inlineStr"/>
      <c r="S36" s="5" t="inlineStr"/>
      <c r="T36" s="5" t="inlineStr"/>
      <c r="U36" s="5" t="inlineStr"/>
      <c r="V36" s="5" t="inlineStr">
        <is>
          <t>High</t>
        </is>
      </c>
      <c r="W36" s="5" t="inlineStr">
        <is>
          <t>Multi-site retailer; Core relevant category; Public email available; Active website; Social presence</t>
        </is>
      </c>
      <c r="X36" s="5" t="inlineStr">
        <is>
          <t>Not Found</t>
        </is>
      </c>
      <c r="Y36" s="5" t="inlineStr">
        <is>
          <t>Publicly Listed</t>
        </is>
      </c>
      <c r="Z36" s="5" t="inlineStr">
        <is>
          <t>Medium</t>
        </is>
      </c>
      <c r="AA36" s="5" t="inlineStr">
        <is>
          <t>Partially Verified</t>
        </is>
      </c>
      <c r="AB36" s="5" t="inlineStr">
        <is>
          <t>https://www.facebook.com/EcigaretteoutletHull/</t>
        </is>
      </c>
    </row>
    <row r="37">
      <c r="A37" s="10" t="inlineStr">
        <is>
          <t>UK-000228</t>
        </is>
      </c>
      <c r="B37" s="10" t="inlineStr">
        <is>
          <t>ECIGARETTE-02</t>
        </is>
      </c>
      <c r="C37" s="10" t="inlineStr">
        <is>
          <t>eCigarette Outlet</t>
        </is>
      </c>
      <c r="D37" s="10" t="inlineStr">
        <is>
          <t>eCigarette Outlet Cleethorpes</t>
        </is>
      </c>
      <c r="E37" s="10" t="inlineStr">
        <is>
          <t>Vape Shop</t>
        </is>
      </c>
      <c r="F37" s="10" t="inlineStr">
        <is>
          <t>E-cigarette specialist chain</t>
        </is>
      </c>
      <c r="G37" s="10" t="inlineStr">
        <is>
          <t>Regional Chain</t>
        </is>
      </c>
      <c r="H37" s="10" t="inlineStr">
        <is>
          <t>1</t>
        </is>
      </c>
      <c r="I37" s="10" t="inlineStr">
        <is>
          <t>3 St Peter's Avenue</t>
        </is>
      </c>
      <c r="J37" s="10" t="inlineStr">
        <is>
          <t>Cleethorpes</t>
        </is>
      </c>
      <c r="K37" s="10" t="inlineStr">
        <is>
          <t>DN35 8HQ</t>
        </is>
      </c>
      <c r="L37" s="10" t="inlineStr">
        <is>
          <t>01472 694619</t>
        </is>
      </c>
      <c r="M37" s="10" t="inlineStr">
        <is>
          <t>customer.service@ecigaretteoutlet.co.uk</t>
        </is>
      </c>
      <c r="N37" s="10" t="inlineStr"/>
      <c r="O37" s="10" t="inlineStr">
        <is>
          <t>https://ecigaretteoutlet.co.uk</t>
        </is>
      </c>
      <c r="P37" s="10" t="inlineStr"/>
      <c r="Q37" s="10" t="inlineStr"/>
      <c r="R37" s="10" t="inlineStr"/>
      <c r="S37" s="10" t="inlineStr"/>
      <c r="T37" s="10" t="inlineStr"/>
      <c r="U37" s="10" t="inlineStr"/>
      <c r="V37" s="10" t="inlineStr">
        <is>
          <t>High</t>
        </is>
      </c>
      <c r="W37" s="10" t="inlineStr">
        <is>
          <t>Multi-site retailer; Core relevant category; Public email available; Active website</t>
        </is>
      </c>
      <c r="X37" s="10" t="inlineStr">
        <is>
          <t>Verified directory</t>
        </is>
      </c>
      <c r="Y37" s="10" t="inlineStr">
        <is>
          <t>Publicly Listed</t>
        </is>
      </c>
      <c r="Z37" s="10" t="inlineStr">
        <is>
          <t>Medium</t>
        </is>
      </c>
      <c r="AA37" s="10" t="inlineStr">
        <is>
          <t>Partially Verified</t>
        </is>
      </c>
      <c r="AB37" s="10" t="inlineStr">
        <is>
          <t>https://vapeshop-nearme.com/listing/ecigarette-outlet-cleethorpes/</t>
        </is>
      </c>
    </row>
    <row r="38">
      <c r="A38" s="5" t="inlineStr">
        <is>
          <t>UK-000229</t>
        </is>
      </c>
      <c r="B38" s="5" t="inlineStr">
        <is>
          <t>ECIGARETTE-03</t>
        </is>
      </c>
      <c r="C38" s="5" t="inlineStr">
        <is>
          <t>eCigarette Outlet</t>
        </is>
      </c>
      <c r="D38" s="5" t="inlineStr">
        <is>
          <t>eCigarette Outlet Scunthorpe</t>
        </is>
      </c>
      <c r="E38" s="5" t="inlineStr">
        <is>
          <t>Vape Shop</t>
        </is>
      </c>
      <c r="F38" s="5" t="inlineStr">
        <is>
          <t>E-cigarette specialist chain</t>
        </is>
      </c>
      <c r="G38" s="5" t="inlineStr">
        <is>
          <t>Regional Chain</t>
        </is>
      </c>
      <c r="H38" s="5" t="inlineStr">
        <is>
          <t>1</t>
        </is>
      </c>
      <c r="I38" s="5" t="inlineStr">
        <is>
          <t>14 Laneham Street</t>
        </is>
      </c>
      <c r="J38" s="5" t="inlineStr">
        <is>
          <t>Scunthorpe</t>
        </is>
      </c>
      <c r="K38" s="5" t="inlineStr">
        <is>
          <t>DN15 6LJ</t>
        </is>
      </c>
      <c r="L38" s="5" t="inlineStr"/>
      <c r="M38" s="5" t="inlineStr">
        <is>
          <t>customer.service@ecigaretteoutlet.co.uk</t>
        </is>
      </c>
      <c r="N38" s="5" t="inlineStr"/>
      <c r="O38" s="5" t="inlineStr">
        <is>
          <t>https://ecigaretteoutlet.co.uk</t>
        </is>
      </c>
      <c r="P38" s="5" t="inlineStr">
        <is>
          <t>https://www.facebook.com/Ecigaretteoutlet/</t>
        </is>
      </c>
      <c r="Q38" s="5" t="inlineStr"/>
      <c r="R38" s="5" t="inlineStr"/>
      <c r="S38" s="5" t="inlineStr"/>
      <c r="T38" s="5" t="inlineStr"/>
      <c r="U38" s="5" t="inlineStr"/>
      <c r="V38" s="5" t="inlineStr">
        <is>
          <t>High</t>
        </is>
      </c>
      <c r="W38" s="5" t="inlineStr">
        <is>
          <t>Multi-site retailer; Core relevant category; Public email available; Active website; Social presence</t>
        </is>
      </c>
      <c r="X38" s="5" t="inlineStr">
        <is>
          <t>Not Found</t>
        </is>
      </c>
      <c r="Y38" s="5" t="inlineStr">
        <is>
          <t>Publicly Listed</t>
        </is>
      </c>
      <c r="Z38" s="5" t="inlineStr">
        <is>
          <t>Medium</t>
        </is>
      </c>
      <c r="AA38" s="5" t="inlineStr">
        <is>
          <t>Partially Verified</t>
        </is>
      </c>
      <c r="AB38" s="5" t="inlineStr">
        <is>
          <t>https://www.facebook.com/Ecigaretteoutlet/</t>
        </is>
      </c>
    </row>
    <row r="39">
      <c r="A39" s="10" t="inlineStr">
        <is>
          <t>UK-000230</t>
        </is>
      </c>
      <c r="B39" s="10" t="inlineStr">
        <is>
          <t>IVAPESTORE-01</t>
        </is>
      </c>
      <c r="C39" s="10" t="inlineStr">
        <is>
          <t>iVape Store</t>
        </is>
      </c>
      <c r="D39" s="10" t="inlineStr">
        <is>
          <t>iVape Harrogate</t>
        </is>
      </c>
      <c r="E39" s="10" t="inlineStr">
        <is>
          <t>Vape Shop</t>
        </is>
      </c>
      <c r="F39" s="10" t="inlineStr">
        <is>
          <t>Disposables, e-liquids &amp; devices</t>
        </is>
      </c>
      <c r="G39" s="10" t="inlineStr">
        <is>
          <t>Regional Chain</t>
        </is>
      </c>
      <c r="H39" s="10" t="inlineStr"/>
      <c r="I39" s="10" t="inlineStr">
        <is>
          <t>8 Beulah Street</t>
        </is>
      </c>
      <c r="J39" s="10" t="inlineStr">
        <is>
          <t>Harrogate</t>
        </is>
      </c>
      <c r="K39" s="10" t="inlineStr">
        <is>
          <t>HG1 1QQ</t>
        </is>
      </c>
      <c r="L39" s="10" t="inlineStr">
        <is>
          <t>01423 509009</t>
        </is>
      </c>
      <c r="M39" s="10" t="inlineStr"/>
      <c r="N39" s="10" t="inlineStr"/>
      <c r="O39" s="10" t="inlineStr">
        <is>
          <t>https://ivapestore.co.uk/stores/ivape-harrogate</t>
        </is>
      </c>
      <c r="P39" s="10" t="inlineStr">
        <is>
          <t>https://www.facebook.com/iVapeHarrogateUK/</t>
        </is>
      </c>
      <c r="Q39" s="10" t="inlineStr"/>
      <c r="R39" s="10" t="inlineStr"/>
      <c r="S39" s="10" t="inlineStr"/>
      <c r="T39" s="10" t="inlineStr"/>
      <c r="U39" s="10" t="inlineStr"/>
      <c r="V39" s="10" t="inlineStr">
        <is>
          <t>High</t>
        </is>
      </c>
      <c r="W39" s="10" t="inlineStr">
        <is>
          <t>Multi-site retailer; Core relevant category; Active website; Social presence</t>
        </is>
      </c>
      <c r="X39" s="10" t="inlineStr">
        <is>
          <t>Verified directory</t>
        </is>
      </c>
      <c r="Y39" s="10" t="inlineStr">
        <is>
          <t>Website Found</t>
        </is>
      </c>
      <c r="Z39" s="10" t="inlineStr">
        <is>
          <t>Medium</t>
        </is>
      </c>
      <c r="AA39" s="10" t="inlineStr">
        <is>
          <t>Requires Verification</t>
        </is>
      </c>
      <c r="AB39" s="10" t="inlineStr">
        <is>
          <t>https://ivapestore.co.uk/stores/ivape-harrogate</t>
        </is>
      </c>
    </row>
    <row r="40">
      <c r="A40" s="5" t="inlineStr">
        <is>
          <t>UK-000231</t>
        </is>
      </c>
      <c r="B40" s="5" t="inlineStr">
        <is>
          <t>UK-000231-01</t>
        </is>
      </c>
      <c r="C40" s="5" t="inlineStr"/>
      <c r="D40" s="5" t="inlineStr">
        <is>
          <t>A Touch of Glass</t>
        </is>
      </c>
      <c r="E40" s="5" t="inlineStr">
        <is>
          <t>Vape Shop</t>
        </is>
      </c>
      <c r="F40" s="5" t="inlineStr">
        <is>
          <t>E-cig and e-liquid shop</t>
        </is>
      </c>
      <c r="G40" s="5" t="inlineStr">
        <is>
          <t>Independent</t>
        </is>
      </c>
      <c r="H40" s="5" t="inlineStr">
        <is>
          <t>1</t>
        </is>
      </c>
      <c r="I40" s="5" t="inlineStr">
        <is>
          <t>2 Chapel Street</t>
        </is>
      </c>
      <c r="J40" s="5" t="inlineStr">
        <is>
          <t>Bridlington</t>
        </is>
      </c>
      <c r="K40" s="5" t="inlineStr">
        <is>
          <t>YO15 2DW</t>
        </is>
      </c>
      <c r="L40" s="5" t="inlineStr">
        <is>
          <t>01262 677677</t>
        </is>
      </c>
      <c r="M40" s="5" t="inlineStr"/>
      <c r="N40" s="5" t="inlineStr"/>
      <c r="O40" s="5" t="inlineStr"/>
      <c r="P40" s="5" t="inlineStr"/>
      <c r="Q40" s="5" t="inlineStr"/>
      <c r="R40" s="5" t="inlineStr"/>
      <c r="S40" s="5" t="inlineStr"/>
      <c r="T40" s="5" t="inlineStr"/>
      <c r="U40" s="5" t="inlineStr"/>
      <c r="V40" s="5" t="inlineStr">
        <is>
          <t>Medium</t>
        </is>
      </c>
      <c r="W40" s="5" t="inlineStr">
        <is>
          <t>Independent retailer; Core relevant category</t>
        </is>
      </c>
      <c r="X40" s="5" t="inlineStr">
        <is>
          <t>Verified directory</t>
        </is>
      </c>
      <c r="Y40" s="5" t="inlineStr">
        <is>
          <t>Not Found</t>
        </is>
      </c>
      <c r="Z40" s="5" t="inlineStr">
        <is>
          <t>Medium</t>
        </is>
      </c>
      <c r="AA40" s="5" t="inlineStr">
        <is>
          <t>Requires Verification</t>
        </is>
      </c>
      <c r="AB40" s="5" t="inlineStr">
        <is>
          <t>https://ecigdirectory.co.uk/vape-shop/listing/a-touch-of-class-bridlington</t>
        </is>
      </c>
    </row>
    <row r="41">
      <c r="A41" s="10" t="inlineStr">
        <is>
          <t>UK-000235</t>
        </is>
      </c>
      <c r="B41" s="10" t="inlineStr">
        <is>
          <t>UK-000235-01</t>
        </is>
      </c>
      <c r="C41" s="10" t="inlineStr"/>
      <c r="D41" s="10" t="inlineStr">
        <is>
          <t>Alchemist Vape Shop Parkgate</t>
        </is>
      </c>
      <c r="E41" s="10" t="inlineStr">
        <is>
          <t>Vape Shop</t>
        </is>
      </c>
      <c r="F41" s="10" t="inlineStr">
        <is>
          <t>Vape, e-liquid and CBD shop</t>
        </is>
      </c>
      <c r="G41" s="10" t="inlineStr">
        <is>
          <t>Independent</t>
        </is>
      </c>
      <c r="H41" s="10" t="inlineStr">
        <is>
          <t>1</t>
        </is>
      </c>
      <c r="I41" s="10" t="inlineStr"/>
      <c r="J41" s="10" t="inlineStr">
        <is>
          <t>Rotherham</t>
        </is>
      </c>
      <c r="K41" s="10" t="inlineStr"/>
      <c r="L41" s="10" t="inlineStr"/>
      <c r="M41" s="10" t="inlineStr"/>
      <c r="N41" s="10" t="inlineStr"/>
      <c r="O41" s="10" t="inlineStr"/>
      <c r="P41" s="10" t="inlineStr">
        <is>
          <t>https://www.facebook.com/AlchemistParkgate/</t>
        </is>
      </c>
      <c r="Q41" s="10" t="inlineStr"/>
      <c r="R41" s="10" t="inlineStr"/>
      <c r="S41" s="10" t="inlineStr"/>
      <c r="T41" s="10" t="inlineStr"/>
      <c r="U41" s="10" t="inlineStr"/>
      <c r="V41" s="10" t="inlineStr">
        <is>
          <t>Medium</t>
        </is>
      </c>
      <c r="W41" s="10" t="inlineStr">
        <is>
          <t>Independent retailer; Core relevant category; Social presence</t>
        </is>
      </c>
      <c r="X41" s="10" t="inlineStr">
        <is>
          <t>Not Found</t>
        </is>
      </c>
      <c r="Y41" s="10" t="inlineStr">
        <is>
          <t>Not Found</t>
        </is>
      </c>
      <c r="Z41" s="10" t="inlineStr">
        <is>
          <t>Low</t>
        </is>
      </c>
      <c r="AA41" s="10" t="inlineStr">
        <is>
          <t>Requires Verification</t>
        </is>
      </c>
      <c r="AB41" s="10" t="inlineStr">
        <is>
          <t>https://www.facebook.com/AlchemistParkgate/</t>
        </is>
      </c>
    </row>
    <row r="42">
      <c r="A42" s="5" t="inlineStr">
        <is>
          <t>UK-000236</t>
        </is>
      </c>
      <c r="B42" s="5" t="inlineStr">
        <is>
          <t>UK-000236-01</t>
        </is>
      </c>
      <c r="C42" s="5" t="inlineStr"/>
      <c r="D42" s="5" t="inlineStr">
        <is>
          <t>Angel Smoke e-Cigarettes</t>
        </is>
      </c>
      <c r="E42" s="5" t="inlineStr">
        <is>
          <t>Vape Shop</t>
        </is>
      </c>
      <c r="F42" s="5" t="inlineStr">
        <is>
          <t>E-cigarette shop (also fireworks)</t>
        </is>
      </c>
      <c r="G42" s="5" t="inlineStr">
        <is>
          <t>Independent</t>
        </is>
      </c>
      <c r="H42" s="5" t="inlineStr">
        <is>
          <t>1</t>
        </is>
      </c>
      <c r="I42" s="5" t="inlineStr">
        <is>
          <t>62-64 Rawmarsh Hill</t>
        </is>
      </c>
      <c r="J42" s="5" t="inlineStr">
        <is>
          <t>Rotherham</t>
        </is>
      </c>
      <c r="K42" s="5" t="inlineStr">
        <is>
          <t>S62 6EU</t>
        </is>
      </c>
      <c r="L42" s="5" t="inlineStr">
        <is>
          <t>01709 322634</t>
        </is>
      </c>
      <c r="M42" s="5" t="inlineStr"/>
      <c r="N42" s="5" t="inlineStr"/>
      <c r="O42" s="5" t="inlineStr">
        <is>
          <t>https://angelsmoke.co.uk</t>
        </is>
      </c>
      <c r="P42" s="5" t="inlineStr">
        <is>
          <t>https://www.facebook.com/angelsmokeshop/</t>
        </is>
      </c>
      <c r="Q42" s="5" t="inlineStr"/>
      <c r="R42" s="5" t="inlineStr"/>
      <c r="S42" s="5" t="inlineStr"/>
      <c r="T42" s="5" t="inlineStr"/>
      <c r="U42" s="5" t="inlineStr"/>
      <c r="V42" s="5" t="inlineStr">
        <is>
          <t>Medium</t>
        </is>
      </c>
      <c r="W42" s="5" t="inlineStr">
        <is>
          <t>Independent retailer; Core relevant category; Active website; Social presence</t>
        </is>
      </c>
      <c r="X42" s="5" t="inlineStr">
        <is>
          <t>Verified directory</t>
        </is>
      </c>
      <c r="Y42" s="5" t="inlineStr">
        <is>
          <t>Website Found</t>
        </is>
      </c>
      <c r="Z42" s="5" t="inlineStr">
        <is>
          <t>Medium</t>
        </is>
      </c>
      <c r="AA42" s="5" t="inlineStr">
        <is>
          <t>Requires Verification</t>
        </is>
      </c>
      <c r="AB42" s="5" t="inlineStr">
        <is>
          <t>https://www.chamberofcommerce.uk/business-directory/england/sheffield/miscellaneous/307306-angel-smoke-vape-shop-rotherham-fireworks</t>
        </is>
      </c>
    </row>
    <row r="43">
      <c r="A43" s="10" t="inlineStr">
        <is>
          <t>WY-0053</t>
        </is>
      </c>
      <c r="B43" s="10" t="inlineStr">
        <is>
          <t>WY-0053-01</t>
        </is>
      </c>
      <c r="C43" s="10" t="inlineStr"/>
      <c r="D43" s="10" t="inlineStr">
        <is>
          <t>Azeem's Vape Shop</t>
        </is>
      </c>
      <c r="E43" s="10" t="inlineStr">
        <is>
          <t>Vape Shop</t>
        </is>
      </c>
      <c r="F43" s="10" t="inlineStr">
        <is>
          <t>Vape shop with CBD, e-liquids, drinks</t>
        </is>
      </c>
      <c r="G43" s="10" t="inlineStr">
        <is>
          <t>Independent</t>
        </is>
      </c>
      <c r="H43" s="10" t="inlineStr">
        <is>
          <t>1</t>
        </is>
      </c>
      <c r="I43" s="10" t="inlineStr">
        <is>
          <t>130 Lawkholme Lane</t>
        </is>
      </c>
      <c r="J43" s="10" t="inlineStr">
        <is>
          <t>Keighley</t>
        </is>
      </c>
      <c r="K43" s="10" t="inlineStr">
        <is>
          <t>BD21 3LU</t>
        </is>
      </c>
      <c r="L43" s="10" t="inlineStr">
        <is>
          <t>01535 213920</t>
        </is>
      </c>
      <c r="M43" s="10" t="inlineStr">
        <is>
          <t>info@azeemsvapeshop.co.uk</t>
        </is>
      </c>
      <c r="N43" s="10" t="inlineStr"/>
      <c r="O43" s="10" t="inlineStr">
        <is>
          <t>https://azeemsvapeshop.co.uk/</t>
        </is>
      </c>
      <c r="P43" s="10" t="inlineStr">
        <is>
          <t>https://www.facebook.com/azeemskeighley1/</t>
        </is>
      </c>
      <c r="Q43" s="10" t="inlineStr">
        <is>
          <t>https://www.instagram.com/azeems_vape_shop/</t>
        </is>
      </c>
      <c r="R43" s="10" t="inlineStr"/>
      <c r="S43" s="10" t="inlineStr"/>
      <c r="T43" s="10" t="inlineStr">
        <is>
          <t>13574720</t>
        </is>
      </c>
      <c r="U43" s="10" t="inlineStr">
        <is>
          <t>Dissolved</t>
        </is>
      </c>
      <c r="V43" s="10" t="inlineStr">
        <is>
          <t>High</t>
        </is>
      </c>
      <c r="W43" s="10" t="inlineStr">
        <is>
          <t>Independent retailer; Core relevant category; Public email available; Active website; Social presence</t>
        </is>
      </c>
      <c r="X43" s="10" t="inlineStr">
        <is>
          <t>Verified directory</t>
        </is>
      </c>
      <c r="Y43" s="10" t="inlineStr">
        <is>
          <t>Website Found</t>
        </is>
      </c>
      <c r="Z43" s="10" t="inlineStr">
        <is>
          <t>Medium</t>
        </is>
      </c>
      <c r="AA43" s="10" t="inlineStr">
        <is>
          <t>Partially Verified</t>
        </is>
      </c>
      <c r="AB43" s="10" t="inlineStr">
        <is>
          <t>https://azeemsvapeshop.co.uk/contact/</t>
        </is>
      </c>
    </row>
    <row r="44">
      <c r="A44" s="5" t="inlineStr">
        <is>
          <t>WY-0054</t>
        </is>
      </c>
      <c r="B44" s="5" t="inlineStr">
        <is>
          <t>WY-0054-01</t>
        </is>
      </c>
      <c r="C44" s="5" t="inlineStr"/>
      <c r="D44" s="5" t="inlineStr">
        <is>
          <t>Azeem's Vape Shop</t>
        </is>
      </c>
      <c r="E44" s="5" t="inlineStr">
        <is>
          <t>Vape Shop</t>
        </is>
      </c>
      <c r="F44" s="5" t="inlineStr"/>
      <c r="G44" s="5" t="inlineStr">
        <is>
          <t>Independent</t>
        </is>
      </c>
      <c r="H44" s="5" t="inlineStr">
        <is>
          <t>1</t>
        </is>
      </c>
      <c r="I44" s="5" t="inlineStr"/>
      <c r="J44" s="5" t="inlineStr">
        <is>
          <t>Todmorden</t>
        </is>
      </c>
      <c r="K44" s="5" t="inlineStr"/>
      <c r="L44" s="5" t="inlineStr"/>
      <c r="M44" s="5" t="inlineStr"/>
      <c r="N44" s="5" t="inlineStr"/>
      <c r="O44" s="5" t="inlineStr"/>
      <c r="P44" s="5" t="inlineStr"/>
      <c r="Q44" s="5" t="inlineStr"/>
      <c r="R44" s="5" t="inlineStr"/>
      <c r="S44" s="5" t="inlineStr"/>
      <c r="T44" s="5" t="inlineStr"/>
      <c r="U44" s="5" t="inlineStr"/>
      <c r="V44" s="5" t="inlineStr">
        <is>
          <t>Medium</t>
        </is>
      </c>
      <c r="W44" s="5" t="inlineStr">
        <is>
          <t>Independent retailer; Core relevant category</t>
        </is>
      </c>
      <c r="X44" s="5" t="inlineStr">
        <is>
          <t>Not Found</t>
        </is>
      </c>
      <c r="Y44" s="5" t="inlineStr">
        <is>
          <t>Not Found</t>
        </is>
      </c>
      <c r="Z44" s="5" t="inlineStr">
        <is>
          <t>Low</t>
        </is>
      </c>
      <c r="AA44" s="5" t="inlineStr">
        <is>
          <t>Requires Verification</t>
        </is>
      </c>
      <c r="AB44" s="5" t="inlineStr">
        <is>
          <t>https://tobaccoshops.co.uk/05958051/Azeem%E2%80%99s_vape_shop</t>
        </is>
      </c>
    </row>
    <row r="45">
      <c r="A45" s="10" t="inlineStr">
        <is>
          <t>WY-0064</t>
        </is>
      </c>
      <c r="B45" s="10" t="inlineStr">
        <is>
          <t>WY-0064-01</t>
        </is>
      </c>
      <c r="C45" s="10" t="inlineStr"/>
      <c r="D45" s="10" t="inlineStr">
        <is>
          <t>Big D Vapes</t>
        </is>
      </c>
      <c r="E45" s="10" t="inlineStr">
        <is>
          <t>Vape Shop</t>
        </is>
      </c>
      <c r="F45" s="10" t="inlineStr">
        <is>
          <t>Vape shop and dry herb vape lounge</t>
        </is>
      </c>
      <c r="G45" s="10" t="inlineStr">
        <is>
          <t>Independent</t>
        </is>
      </c>
      <c r="H45" s="10" t="inlineStr">
        <is>
          <t>1</t>
        </is>
      </c>
      <c r="I45" s="10" t="inlineStr">
        <is>
          <t>1139 Manchester Road</t>
        </is>
      </c>
      <c r="J45" s="10" t="inlineStr">
        <is>
          <t>Slaithwaite</t>
        </is>
      </c>
      <c r="K45" s="10" t="inlineStr">
        <is>
          <t>HD7 5LU</t>
        </is>
      </c>
      <c r="L45" s="10" t="inlineStr">
        <is>
          <t>01484 843253</t>
        </is>
      </c>
      <c r="M45" s="10" t="inlineStr"/>
      <c r="N45" s="10" t="inlineStr"/>
      <c r="O45" s="10" t="inlineStr"/>
      <c r="P45" s="10" t="inlineStr">
        <is>
          <t>https://www.facebook.com/BigDVapesSlaithwaite</t>
        </is>
      </c>
      <c r="Q45" s="10" t="inlineStr"/>
      <c r="R45" s="10" t="inlineStr"/>
      <c r="S45" s="10" t="inlineStr"/>
      <c r="T45" s="10" t="inlineStr">
        <is>
          <t>12029439</t>
        </is>
      </c>
      <c r="U45" s="10" t="inlineStr"/>
      <c r="V45" s="10" t="inlineStr">
        <is>
          <t>Medium</t>
        </is>
      </c>
      <c r="W45" s="10" t="inlineStr">
        <is>
          <t>Independent retailer; Core relevant category; Social presence</t>
        </is>
      </c>
      <c r="X45" s="10" t="inlineStr">
        <is>
          <t>Verified directory</t>
        </is>
      </c>
      <c r="Y45" s="10" t="inlineStr">
        <is>
          <t>Not Found</t>
        </is>
      </c>
      <c r="Z45" s="10" t="inlineStr">
        <is>
          <t>Medium</t>
        </is>
      </c>
      <c r="AA45" s="10" t="inlineStr">
        <is>
          <t>Requires Verification</t>
        </is>
      </c>
      <c r="AB45" s="10" t="inlineStr">
        <is>
          <t>https://find-and-update.company-information.service.gov.uk/company/12029439</t>
        </is>
      </c>
    </row>
    <row r="46">
      <c r="A46" s="5" t="inlineStr">
        <is>
          <t>WY-0065</t>
        </is>
      </c>
      <c r="B46" s="5" t="inlineStr">
        <is>
          <t>WY-0065-01</t>
        </is>
      </c>
      <c r="C46" s="5" t="inlineStr"/>
      <c r="D46" s="5" t="inlineStr">
        <is>
          <t>Bingley Vape Shop</t>
        </is>
      </c>
      <c r="E46" s="5" t="inlineStr">
        <is>
          <t>Vape Shop</t>
        </is>
      </c>
      <c r="F46" s="5" t="inlineStr">
        <is>
          <t>Vape shop, e-cigs, smoking accessories, phone cases</t>
        </is>
      </c>
      <c r="G46" s="5" t="inlineStr">
        <is>
          <t>Independent</t>
        </is>
      </c>
      <c r="H46" s="5" t="inlineStr">
        <is>
          <t>1</t>
        </is>
      </c>
      <c r="I46" s="5" t="inlineStr">
        <is>
          <t>67-69 Main Street</t>
        </is>
      </c>
      <c r="J46" s="5" t="inlineStr">
        <is>
          <t>Bingley</t>
        </is>
      </c>
      <c r="K46" s="5" t="inlineStr">
        <is>
          <t>BD16 2JA</t>
        </is>
      </c>
      <c r="L46" s="5" t="inlineStr">
        <is>
          <t>01535 213290</t>
        </is>
      </c>
      <c r="M46" s="5" t="inlineStr"/>
      <c r="N46" s="5" t="inlineStr"/>
      <c r="O46" s="5" t="inlineStr"/>
      <c r="P46" s="5" t="inlineStr">
        <is>
          <t>https://www.facebook.com/BingleyVapeShop/</t>
        </is>
      </c>
      <c r="Q46" s="5" t="inlineStr"/>
      <c r="R46" s="5" t="inlineStr"/>
      <c r="S46" s="5" t="inlineStr"/>
      <c r="T46" s="5" t="inlineStr">
        <is>
          <t>11788618</t>
        </is>
      </c>
      <c r="U46" s="5" t="inlineStr"/>
      <c r="V46" s="5" t="inlineStr">
        <is>
          <t>Medium</t>
        </is>
      </c>
      <c r="W46" s="5" t="inlineStr">
        <is>
          <t>Independent retailer; Core relevant category; Social presence</t>
        </is>
      </c>
      <c r="X46" s="5" t="inlineStr">
        <is>
          <t>Unverified</t>
        </is>
      </c>
      <c r="Y46" s="5" t="inlineStr">
        <is>
          <t>Not Found</t>
        </is>
      </c>
      <c r="Z46" s="5" t="inlineStr">
        <is>
          <t>Medium</t>
        </is>
      </c>
      <c r="AA46" s="5" t="inlineStr">
        <is>
          <t>Partially Verified</t>
        </is>
      </c>
      <c r="AB46" s="5" t="inlineStr">
        <is>
          <t>https://find-and-update.company-information.service.gov.uk/company/11788618</t>
        </is>
      </c>
    </row>
    <row r="47">
      <c r="A47" s="10" t="inlineStr">
        <is>
          <t>UK-000241</t>
        </is>
      </c>
      <c r="B47" s="10" t="inlineStr">
        <is>
          <t>UK-000241-01</t>
        </is>
      </c>
      <c r="C47" s="10" t="inlineStr"/>
      <c r="D47" s="10" t="inlineStr">
        <is>
          <t>Cirrus Vape Hull</t>
        </is>
      </c>
      <c r="E47" s="10" t="inlineStr">
        <is>
          <t>Vape Shop</t>
        </is>
      </c>
      <c r="F47" s="10" t="inlineStr">
        <is>
          <t>E-cigarette shop</t>
        </is>
      </c>
      <c r="G47" s="10" t="inlineStr">
        <is>
          <t>Independent</t>
        </is>
      </c>
      <c r="H47" s="10" t="inlineStr">
        <is>
          <t>1</t>
        </is>
      </c>
      <c r="I47" s="10" t="inlineStr"/>
      <c r="J47" s="10" t="inlineStr">
        <is>
          <t>Kingston upon Hull</t>
        </is>
      </c>
      <c r="K47" s="10" t="inlineStr"/>
      <c r="L47" s="10" t="inlineStr"/>
      <c r="M47" s="10" t="inlineStr"/>
      <c r="N47" s="10" t="inlineStr"/>
      <c r="O47" s="10" t="inlineStr"/>
      <c r="P47" s="10" t="inlineStr">
        <is>
          <t>https://www.facebook.com/cirrusvapecirrusvape/</t>
        </is>
      </c>
      <c r="Q47" s="10" t="inlineStr"/>
      <c r="R47" s="10" t="inlineStr"/>
      <c r="S47" s="10" t="inlineStr"/>
      <c r="T47" s="10" t="inlineStr"/>
      <c r="U47" s="10" t="inlineStr"/>
      <c r="V47" s="10" t="inlineStr">
        <is>
          <t>Medium</t>
        </is>
      </c>
      <c r="W47" s="10" t="inlineStr">
        <is>
          <t>Independent retailer; Core relevant category; Social presence</t>
        </is>
      </c>
      <c r="X47" s="10" t="inlineStr">
        <is>
          <t>Not Found</t>
        </is>
      </c>
      <c r="Y47" s="10" t="inlineStr">
        <is>
          <t>Not Found</t>
        </is>
      </c>
      <c r="Z47" s="10" t="inlineStr">
        <is>
          <t>Low</t>
        </is>
      </c>
      <c r="AA47" s="10" t="inlineStr">
        <is>
          <t>Requires Verification</t>
        </is>
      </c>
      <c r="AB47" s="10" t="inlineStr">
        <is>
          <t>https://www.facebook.com/cirrusvapecirrusvape/</t>
        </is>
      </c>
    </row>
    <row r="48">
      <c r="A48" s="5" t="inlineStr">
        <is>
          <t>UK-000242</t>
        </is>
      </c>
      <c r="B48" s="5" t="inlineStr">
        <is>
          <t>UK-000242-01</t>
        </is>
      </c>
      <c r="C48" s="5" t="inlineStr"/>
      <c r="D48" s="5" t="inlineStr">
        <is>
          <t>Cram Vape Doncaster</t>
        </is>
      </c>
      <c r="E48" s="5" t="inlineStr">
        <is>
          <t>Vape Shop</t>
        </is>
      </c>
      <c r="F48" s="5" t="inlineStr">
        <is>
          <t>Vape shop</t>
        </is>
      </c>
      <c r="G48" s="5" t="inlineStr">
        <is>
          <t>Independent</t>
        </is>
      </c>
      <c r="H48" s="5" t="inlineStr">
        <is>
          <t>1</t>
        </is>
      </c>
      <c r="I48" s="5" t="inlineStr"/>
      <c r="J48" s="5" t="inlineStr">
        <is>
          <t>Doncaster</t>
        </is>
      </c>
      <c r="K48" s="5" t="inlineStr"/>
      <c r="L48" s="5" t="inlineStr"/>
      <c r="M48" s="5" t="inlineStr"/>
      <c r="N48" s="5" t="inlineStr"/>
      <c r="O48" s="5" t="inlineStr">
        <is>
          <t>https://cram-vape.ueniweb.com/</t>
        </is>
      </c>
      <c r="P48" s="5" t="inlineStr"/>
      <c r="Q48" s="5" t="inlineStr"/>
      <c r="R48" s="5" t="inlineStr"/>
      <c r="S48" s="5" t="inlineStr"/>
      <c r="T48" s="5" t="inlineStr"/>
      <c r="U48" s="5" t="inlineStr"/>
      <c r="V48" s="5" t="inlineStr">
        <is>
          <t>Medium</t>
        </is>
      </c>
      <c r="W48" s="5" t="inlineStr">
        <is>
          <t>Independent retailer; Core relevant category; Active website</t>
        </is>
      </c>
      <c r="X48" s="5" t="inlineStr">
        <is>
          <t>Not Found</t>
        </is>
      </c>
      <c r="Y48" s="5" t="inlineStr">
        <is>
          <t>Website Found</t>
        </is>
      </c>
      <c r="Z48" s="5" t="inlineStr">
        <is>
          <t>Low</t>
        </is>
      </c>
      <c r="AA48" s="5" t="inlineStr">
        <is>
          <t>Requires Verification</t>
        </is>
      </c>
      <c r="AB48" s="5" t="inlineStr">
        <is>
          <t>https://cram-vape.ueniweb.com/</t>
        </is>
      </c>
    </row>
    <row r="49">
      <c r="A49" s="10" t="inlineStr">
        <is>
          <t>WY-0078</t>
        </is>
      </c>
      <c r="B49" s="10" t="inlineStr">
        <is>
          <t>WY-0078-01</t>
        </is>
      </c>
      <c r="C49" s="10" t="inlineStr"/>
      <c r="D49" s="10" t="inlineStr">
        <is>
          <t>Crazycloudzzz</t>
        </is>
      </c>
      <c r="E49" s="10" t="inlineStr">
        <is>
          <t>Vape Shop</t>
        </is>
      </c>
      <c r="F49" s="10" t="inlineStr"/>
      <c r="G49" s="10" t="inlineStr">
        <is>
          <t>Independent</t>
        </is>
      </c>
      <c r="H49" s="10" t="inlineStr">
        <is>
          <t>1</t>
        </is>
      </c>
      <c r="I49" s="10" t="inlineStr">
        <is>
          <t>20 Bull Green</t>
        </is>
      </c>
      <c r="J49" s="10" t="inlineStr">
        <is>
          <t>Halifax</t>
        </is>
      </c>
      <c r="K49" s="10" t="inlineStr">
        <is>
          <t>HX1 5AB</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Independent retailer; Core relevant category</t>
        </is>
      </c>
      <c r="X49" s="10" t="inlineStr">
        <is>
          <t>Not Found</t>
        </is>
      </c>
      <c r="Y49" s="10" t="inlineStr">
        <is>
          <t>Not Found</t>
        </is>
      </c>
      <c r="Z49" s="10" t="inlineStr">
        <is>
          <t>Low</t>
        </is>
      </c>
      <c r="AA49" s="10" t="inlineStr">
        <is>
          <t>Requires Verification</t>
        </is>
      </c>
      <c r="AB49" s="10" t="inlineStr">
        <is>
          <t>https://www.yell.com/s/tobacconists-halifax.html</t>
        </is>
      </c>
    </row>
    <row r="50">
      <c r="A50" s="5" t="inlineStr">
        <is>
          <t>WY-0081</t>
        </is>
      </c>
      <c r="B50" s="5" t="inlineStr">
        <is>
          <t>WY-0081-01</t>
        </is>
      </c>
      <c r="C50" s="5" t="inlineStr"/>
      <c r="D50" s="5" t="inlineStr">
        <is>
          <t>ECigarette Outlet</t>
        </is>
      </c>
      <c r="E50" s="5" t="inlineStr">
        <is>
          <t>Vape Shop</t>
        </is>
      </c>
      <c r="F50" s="5" t="inlineStr">
        <is>
          <t>E-cigarette retailer</t>
        </is>
      </c>
      <c r="G50" s="5" t="inlineStr">
        <is>
          <t>Independent</t>
        </is>
      </c>
      <c r="H50" s="5" t="inlineStr">
        <is>
          <t>1</t>
        </is>
      </c>
      <c r="I50" s="5" t="inlineStr">
        <is>
          <t>27 Kirkgate</t>
        </is>
      </c>
      <c r="J50" s="5" t="inlineStr">
        <is>
          <t>Shipley</t>
        </is>
      </c>
      <c r="K50" s="5" t="inlineStr">
        <is>
          <t>BD18 3QW</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Not Found</t>
        </is>
      </c>
      <c r="Y50" s="5" t="inlineStr">
        <is>
          <t>Not Found</t>
        </is>
      </c>
      <c r="Z50" s="5" t="inlineStr">
        <is>
          <t>Medium</t>
        </is>
      </c>
      <c r="AA50" s="5" t="inlineStr">
        <is>
          <t>Requires Verification</t>
        </is>
      </c>
      <c r="AB50" s="5" t="inlineStr">
        <is>
          <t>https://ecigdirectory.co.uk/vape-shop/listing/ecigarette-outlet-shipley</t>
        </is>
      </c>
    </row>
    <row r="51">
      <c r="A51" s="10" t="inlineStr">
        <is>
          <t>WY-0082</t>
        </is>
      </c>
      <c r="B51" s="10" t="inlineStr">
        <is>
          <t>WY-0082-01</t>
        </is>
      </c>
      <c r="C51" s="10" t="inlineStr"/>
      <c r="D51" s="10" t="inlineStr">
        <is>
          <t>Ecig N Vape</t>
        </is>
      </c>
      <c r="E51" s="10" t="inlineStr">
        <is>
          <t>Vape Shop</t>
        </is>
      </c>
      <c r="F51" s="10" t="inlineStr">
        <is>
          <t>Vape retailer</t>
        </is>
      </c>
      <c r="G51" s="10" t="inlineStr">
        <is>
          <t>Independent</t>
        </is>
      </c>
      <c r="H51" s="10" t="inlineStr">
        <is>
          <t>1</t>
        </is>
      </c>
      <c r="I51" s="10" t="inlineStr">
        <is>
          <t>49 Market Street</t>
        </is>
      </c>
      <c r="J51" s="10" t="inlineStr">
        <is>
          <t>Heckmondwike</t>
        </is>
      </c>
      <c r="K51" s="10" t="inlineStr">
        <is>
          <t>WF16 0EU</t>
        </is>
      </c>
      <c r="L51" s="10" t="inlineStr">
        <is>
          <t>01924 402342</t>
        </is>
      </c>
      <c r="M51" s="10" t="inlineStr"/>
      <c r="N51" s="10" t="inlineStr"/>
      <c r="O51" s="10" t="inlineStr"/>
      <c r="P51" s="10" t="inlineStr"/>
      <c r="Q51" s="10" t="inlineStr"/>
      <c r="R51" s="10" t="inlineStr"/>
      <c r="S51" s="10" t="inlineStr"/>
      <c r="T51" s="10" t="inlineStr"/>
      <c r="U51" s="10" t="inlineStr"/>
      <c r="V51" s="10" t="inlineStr">
        <is>
          <t>Medium</t>
        </is>
      </c>
      <c r="W51" s="10" t="inlineStr">
        <is>
          <t>Independent retailer; Core relevant category</t>
        </is>
      </c>
      <c r="X51" s="10" t="inlineStr">
        <is>
          <t>Verified directory</t>
        </is>
      </c>
      <c r="Y51" s="10" t="inlineStr">
        <is>
          <t>Not Found</t>
        </is>
      </c>
      <c r="Z51" s="10" t="inlineStr">
        <is>
          <t>Medium</t>
        </is>
      </c>
      <c r="AA51" s="10" t="inlineStr">
        <is>
          <t>Requires Verification</t>
        </is>
      </c>
      <c r="AB51" s="10" t="inlineStr">
        <is>
          <t>https://heckmondwike.cylex-uk.co.uk/company/ecig-n-vape-26993170.html</t>
        </is>
      </c>
    </row>
    <row r="52">
      <c r="A52" s="5" t="inlineStr">
        <is>
          <t>UK-000243</t>
        </is>
      </c>
      <c r="B52" s="5" t="inlineStr">
        <is>
          <t>UK-000243-01</t>
        </is>
      </c>
      <c r="C52" s="5" t="inlineStr"/>
      <c r="D52" s="5" t="inlineStr">
        <is>
          <t>Ecigbox Northallerton</t>
        </is>
      </c>
      <c r="E52" s="5" t="inlineStr">
        <is>
          <t>Vape Shop</t>
        </is>
      </c>
      <c r="F52" s="5" t="inlineStr">
        <is>
          <t>E-cigarette &amp; e-liquid shop</t>
        </is>
      </c>
      <c r="G52" s="5" t="inlineStr">
        <is>
          <t>Independent</t>
        </is>
      </c>
      <c r="H52" s="5" t="inlineStr">
        <is>
          <t>1</t>
        </is>
      </c>
      <c r="I52" s="5" t="inlineStr">
        <is>
          <t>231 High Street</t>
        </is>
      </c>
      <c r="J52" s="5" t="inlineStr">
        <is>
          <t>Northallerton</t>
        </is>
      </c>
      <c r="K52" s="5" t="inlineStr">
        <is>
          <t>DL7 8LU</t>
        </is>
      </c>
      <c r="L52" s="5" t="inlineStr"/>
      <c r="M52" s="5" t="inlineStr"/>
      <c r="N52" s="5" t="inlineStr"/>
      <c r="O52" s="5" t="inlineStr"/>
      <c r="P52" s="5" t="inlineStr">
        <is>
          <t>https://www.facebook.com/Ecigboxnorthallerton/</t>
        </is>
      </c>
      <c r="Q52" s="5" t="inlineStr"/>
      <c r="R52" s="5" t="inlineStr"/>
      <c r="S52" s="5" t="inlineStr"/>
      <c r="T52" s="5" t="inlineStr"/>
      <c r="U52" s="5" t="inlineStr"/>
      <c r="V52" s="5" t="inlineStr">
        <is>
          <t>Medium</t>
        </is>
      </c>
      <c r="W52" s="5" t="inlineStr">
        <is>
          <t>Independent retailer; Core relevant category; Social presence</t>
        </is>
      </c>
      <c r="X52" s="5" t="inlineStr">
        <is>
          <t>Not Found</t>
        </is>
      </c>
      <c r="Y52" s="5" t="inlineStr">
        <is>
          <t>Not Found</t>
        </is>
      </c>
      <c r="Z52" s="5" t="inlineStr">
        <is>
          <t>Low</t>
        </is>
      </c>
      <c r="AA52" s="5" t="inlineStr">
        <is>
          <t>Requires Verification</t>
        </is>
      </c>
      <c r="AB52" s="5" t="inlineStr">
        <is>
          <t>https://www.facebook.com/Ecigboxnorthallerton/</t>
        </is>
      </c>
    </row>
    <row r="53">
      <c r="A53" s="10" t="inlineStr">
        <is>
          <t>WY-0083</t>
        </is>
      </c>
      <c r="B53" s="10" t="inlineStr">
        <is>
          <t>WY-0083-01</t>
        </is>
      </c>
      <c r="C53" s="10" t="inlineStr"/>
      <c r="D53" s="10" t="inlineStr">
        <is>
          <t>Emporium Vapez</t>
        </is>
      </c>
      <c r="E53" s="10" t="inlineStr">
        <is>
          <t>Vape Shop</t>
        </is>
      </c>
      <c r="F53" s="10" t="inlineStr">
        <is>
          <t>Vape retailer</t>
        </is>
      </c>
      <c r="G53" s="10" t="inlineStr">
        <is>
          <t>Independent</t>
        </is>
      </c>
      <c r="H53" s="10" t="inlineStr">
        <is>
          <t>1</t>
        </is>
      </c>
      <c r="I53" s="10" t="inlineStr">
        <is>
          <t>21 Crackenedge Lane</t>
        </is>
      </c>
      <c r="J53" s="10" t="inlineStr">
        <is>
          <t>Dewsbury</t>
        </is>
      </c>
      <c r="K53" s="10" t="inlineStr">
        <is>
          <t>WF13 1PU</t>
        </is>
      </c>
      <c r="L53" s="10" t="inlineStr">
        <is>
          <t>07375 706970</t>
        </is>
      </c>
      <c r="M53" s="10" t="inlineStr"/>
      <c r="N53" s="10" t="inlineStr"/>
      <c r="O53" s="10" t="inlineStr"/>
      <c r="P53" s="10" t="inlineStr"/>
      <c r="Q53" s="10" t="inlineStr"/>
      <c r="R53" s="10" t="inlineStr"/>
      <c r="S53" s="10" t="inlineStr"/>
      <c r="T53" s="10" t="inlineStr"/>
      <c r="U53" s="10" t="inlineStr"/>
      <c r="V53" s="10" t="inlineStr">
        <is>
          <t>Medium</t>
        </is>
      </c>
      <c r="W53" s="10" t="inlineStr">
        <is>
          <t>Independent retailer; Core relevant category</t>
        </is>
      </c>
      <c r="X53" s="10" t="inlineStr">
        <is>
          <t>Verified directory</t>
        </is>
      </c>
      <c r="Y53" s="10" t="inlineStr">
        <is>
          <t>Not Found</t>
        </is>
      </c>
      <c r="Z53" s="10" t="inlineStr">
        <is>
          <t>Medium</t>
        </is>
      </c>
      <c r="AA53" s="10" t="inlineStr">
        <is>
          <t>Requires Verification</t>
        </is>
      </c>
      <c r="AB53" s="10" t="inlineStr">
        <is>
          <t>https://www.yelp.com/biz/emporium-vapez-dewsbury</t>
        </is>
      </c>
    </row>
    <row r="54">
      <c r="A54" s="5" t="inlineStr">
        <is>
          <t>UK-000244</t>
        </is>
      </c>
      <c r="B54" s="5" t="inlineStr">
        <is>
          <t>UK-000244-01</t>
        </is>
      </c>
      <c r="C54" s="5" t="inlineStr"/>
      <c r="D54" s="5" t="inlineStr">
        <is>
          <t>Fantasy Vapez</t>
        </is>
      </c>
      <c r="E54" s="5" t="inlineStr">
        <is>
          <t>Vape Shop</t>
        </is>
      </c>
      <c r="F54" s="5" t="inlineStr">
        <is>
          <t>Vape shop</t>
        </is>
      </c>
      <c r="G54" s="5" t="inlineStr">
        <is>
          <t>Independent</t>
        </is>
      </c>
      <c r="H54" s="5" t="inlineStr">
        <is>
          <t>1</t>
        </is>
      </c>
      <c r="I54" s="5" t="inlineStr">
        <is>
          <t>4 Market Street</t>
        </is>
      </c>
      <c r="J54" s="5" t="inlineStr">
        <is>
          <t>Cleethorpes</t>
        </is>
      </c>
      <c r="K54" s="5" t="inlineStr">
        <is>
          <t>DN35 8LY</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Independent retailer; Core relevant category</t>
        </is>
      </c>
      <c r="X54" s="5" t="inlineStr">
        <is>
          <t>Not Found</t>
        </is>
      </c>
      <c r="Y54" s="5" t="inlineStr">
        <is>
          <t>Not Found</t>
        </is>
      </c>
      <c r="Z54" s="5" t="inlineStr">
        <is>
          <t>Low</t>
        </is>
      </c>
      <c r="AA54" s="5" t="inlineStr">
        <is>
          <t>Requires Verification</t>
        </is>
      </c>
      <c r="AB54" s="5" t="inlineStr">
        <is>
          <t>https://cleethorpes.cylex-uk.co.uk/vape-shops/</t>
        </is>
      </c>
    </row>
    <row r="55">
      <c r="A55" s="10" t="inlineStr">
        <is>
          <t>UK-000247</t>
        </is>
      </c>
      <c r="B55" s="10" t="inlineStr">
        <is>
          <t>UK-000247-01</t>
        </is>
      </c>
      <c r="C55" s="10" t="inlineStr"/>
      <c r="D55" s="10" t="inlineStr">
        <is>
          <t>FonFix &amp; Vape Shop</t>
        </is>
      </c>
      <c r="E55" s="10" t="inlineStr">
        <is>
          <t>Vape Shop</t>
        </is>
      </c>
      <c r="F55" s="10" t="inlineStr">
        <is>
          <t>Phone repair and vape shop</t>
        </is>
      </c>
      <c r="G55" s="10" t="inlineStr">
        <is>
          <t>Independent</t>
        </is>
      </c>
      <c r="H55" s="10" t="inlineStr">
        <is>
          <t>1</t>
        </is>
      </c>
      <c r="I55" s="10" t="inlineStr">
        <is>
          <t>217 Freeman Street</t>
        </is>
      </c>
      <c r="J55" s="10" t="inlineStr">
        <is>
          <t>Grimsby</t>
        </is>
      </c>
      <c r="K55" s="10" t="inlineStr"/>
      <c r="L55" s="10" t="inlineStr">
        <is>
          <t>07404 435088</t>
        </is>
      </c>
      <c r="M55" s="10" t="inlineStr"/>
      <c r="N55" s="10" t="inlineStr"/>
      <c r="O55" s="10" t="inlineStr"/>
      <c r="P55" s="10" t="inlineStr">
        <is>
          <t>https://www.facebook.com/p/FonFix-Vape-Shop-100067673350065/</t>
        </is>
      </c>
      <c r="Q55" s="10" t="inlineStr"/>
      <c r="R55" s="10" t="inlineStr"/>
      <c r="S55" s="10" t="inlineStr"/>
      <c r="T55" s="10" t="inlineStr"/>
      <c r="U55" s="10" t="inlineStr"/>
      <c r="V55" s="10" t="inlineStr">
        <is>
          <t>Medium</t>
        </is>
      </c>
      <c r="W55" s="10" t="inlineStr">
        <is>
          <t>Independent retailer; Core relevant category; Social presence</t>
        </is>
      </c>
      <c r="X55" s="10" t="inlineStr">
        <is>
          <t>Verified directory</t>
        </is>
      </c>
      <c r="Y55" s="10" t="inlineStr">
        <is>
          <t>Not Found</t>
        </is>
      </c>
      <c r="Z55" s="10" t="inlineStr">
        <is>
          <t>Low</t>
        </is>
      </c>
      <c r="AA55" s="10" t="inlineStr">
        <is>
          <t>Requires Verification</t>
        </is>
      </c>
      <c r="AB55" s="10" t="inlineStr">
        <is>
          <t>https://www.facebook.com/p/FonFix-Vape-Shop-100067673350065/</t>
        </is>
      </c>
    </row>
    <row r="56">
      <c r="A56" s="5" t="inlineStr">
        <is>
          <t>WY-0085</t>
        </is>
      </c>
      <c r="B56" s="5" t="inlineStr">
        <is>
          <t>WY-0085-01</t>
        </is>
      </c>
      <c r="C56" s="5" t="inlineStr"/>
      <c r="D56" s="5" t="inlineStr">
        <is>
          <t>Forever Vapes</t>
        </is>
      </c>
      <c r="E56" s="5" t="inlineStr">
        <is>
          <t>Vape Shop</t>
        </is>
      </c>
      <c r="F56" s="5" t="inlineStr">
        <is>
          <t>Vape retailer</t>
        </is>
      </c>
      <c r="G56" s="5" t="inlineStr">
        <is>
          <t>Independent</t>
        </is>
      </c>
      <c r="H56" s="5" t="inlineStr">
        <is>
          <t>1</t>
        </is>
      </c>
      <c r="I56" s="5" t="inlineStr">
        <is>
          <t>Market Street</t>
        </is>
      </c>
      <c r="J56" s="5" t="inlineStr">
        <is>
          <t>Heckmondwike</t>
        </is>
      </c>
      <c r="K56" s="5" t="inlineStr">
        <is>
          <t>WF16 0JU</t>
        </is>
      </c>
      <c r="L56" s="5" t="inlineStr"/>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Not Found</t>
        </is>
      </c>
      <c r="Y56" s="5" t="inlineStr">
        <is>
          <t>Not Found</t>
        </is>
      </c>
      <c r="Z56" s="5" t="inlineStr">
        <is>
          <t>Low</t>
        </is>
      </c>
      <c r="AA56" s="5" t="inlineStr">
        <is>
          <t>Requires Verification</t>
        </is>
      </c>
      <c r="AB56" s="5" t="inlineStr">
        <is>
          <t>https://vapeshops.puffingbird.com/yorkshire-and-the-humber/heckmondwike/forever-vapes-ltd</t>
        </is>
      </c>
    </row>
    <row r="57">
      <c r="A57" s="10" t="inlineStr">
        <is>
          <t>UK-000250</t>
        </is>
      </c>
      <c r="B57" s="10" t="inlineStr">
        <is>
          <t>UK-000250-01</t>
        </is>
      </c>
      <c r="C57" s="10" t="inlineStr"/>
      <c r="D57" s="10" t="inlineStr">
        <is>
          <t>GDF Vape Shop</t>
        </is>
      </c>
      <c r="E57" s="10" t="inlineStr">
        <is>
          <t>Vape Shop</t>
        </is>
      </c>
      <c r="F57" s="10" t="inlineStr">
        <is>
          <t>Vape shop</t>
        </is>
      </c>
      <c r="G57" s="10" t="inlineStr">
        <is>
          <t>Independent</t>
        </is>
      </c>
      <c r="H57" s="10" t="inlineStr">
        <is>
          <t>1</t>
        </is>
      </c>
      <c r="I57" s="10" t="inlineStr"/>
      <c r="J57" s="10" t="inlineStr">
        <is>
          <t>Doncaster</t>
        </is>
      </c>
      <c r="K57" s="10" t="inlineStr"/>
      <c r="L57" s="10" t="inlineStr"/>
      <c r="M57" s="10" t="inlineStr"/>
      <c r="N57" s="10" t="inlineStr"/>
      <c r="O57" s="10" t="inlineStr">
        <is>
          <t>https://gdf-vape-shop.ueniweb.com/</t>
        </is>
      </c>
      <c r="P57" s="10" t="inlineStr"/>
      <c r="Q57" s="10" t="inlineStr"/>
      <c r="R57" s="10" t="inlineStr"/>
      <c r="S57" s="10" t="inlineStr"/>
      <c r="T57" s="10" t="inlineStr"/>
      <c r="U57" s="10" t="inlineStr"/>
      <c r="V57" s="10" t="inlineStr">
        <is>
          <t>Medium</t>
        </is>
      </c>
      <c r="W57" s="10" t="inlineStr">
        <is>
          <t>Independent retailer; Core relevant category; Active website</t>
        </is>
      </c>
      <c r="X57" s="10" t="inlineStr">
        <is>
          <t>Not Found</t>
        </is>
      </c>
      <c r="Y57" s="10" t="inlineStr">
        <is>
          <t>Website Found</t>
        </is>
      </c>
      <c r="Z57" s="10" t="inlineStr">
        <is>
          <t>Low</t>
        </is>
      </c>
      <c r="AA57" s="10" t="inlineStr">
        <is>
          <t>Requires Verification</t>
        </is>
      </c>
      <c r="AB57" s="10" t="inlineStr">
        <is>
          <t>https://gdf-vape-shop.ueniweb.com/</t>
        </is>
      </c>
    </row>
    <row r="58">
      <c r="A58" s="5" t="inlineStr">
        <is>
          <t>WY-0088</t>
        </is>
      </c>
      <c r="B58" s="5" t="inlineStr">
        <is>
          <t>WY-0088-01</t>
        </is>
      </c>
      <c r="C58" s="5" t="inlineStr"/>
      <c r="D58" s="5" t="inlineStr">
        <is>
          <t>Get Plugged</t>
        </is>
      </c>
      <c r="E58" s="5" t="inlineStr">
        <is>
          <t>Vape Shop</t>
        </is>
      </c>
      <c r="F58" s="5" t="inlineStr">
        <is>
          <t>Vape shop and convenience snacks</t>
        </is>
      </c>
      <c r="G58" s="5" t="inlineStr">
        <is>
          <t>Independent</t>
        </is>
      </c>
      <c r="H58" s="5" t="inlineStr">
        <is>
          <t>1</t>
        </is>
      </c>
      <c r="I58" s="5" t="inlineStr">
        <is>
          <t>Bradford Road</t>
        </is>
      </c>
      <c r="J58" s="5" t="inlineStr">
        <is>
          <t>Huddersfield</t>
        </is>
      </c>
      <c r="K58" s="5" t="inlineStr"/>
      <c r="L58" s="5" t="inlineStr"/>
      <c r="M58" s="5" t="inlineStr"/>
      <c r="N58" s="5" t="inlineStr"/>
      <c r="O58" s="5" t="inlineStr">
        <is>
          <t>https://getplugged.co.uk/</t>
        </is>
      </c>
      <c r="P58" s="5" t="inlineStr">
        <is>
          <t>https://www.facebook.com/p/Get-Plugged-61559687350403/</t>
        </is>
      </c>
      <c r="Q58" s="5" t="inlineStr"/>
      <c r="R58" s="5" t="inlineStr"/>
      <c r="S58" s="5" t="inlineStr"/>
      <c r="T58" s="5" t="inlineStr"/>
      <c r="U58" s="5" t="inlineStr"/>
      <c r="V58" s="5" t="inlineStr">
        <is>
          <t>Medium</t>
        </is>
      </c>
      <c r="W58" s="5" t="inlineStr">
        <is>
          <t>Independent retailer; Core relevant category; Active website; Social presence</t>
        </is>
      </c>
      <c r="X58" s="5" t="inlineStr">
        <is>
          <t>Not Found</t>
        </is>
      </c>
      <c r="Y58" s="5" t="inlineStr">
        <is>
          <t>Website Found</t>
        </is>
      </c>
      <c r="Z58" s="5" t="inlineStr">
        <is>
          <t>Medium</t>
        </is>
      </c>
      <c r="AA58" s="5" t="inlineStr">
        <is>
          <t>Requires Verification</t>
        </is>
      </c>
      <c r="AB58" s="5" t="inlineStr">
        <is>
          <t>https://getplugged.co.uk/</t>
        </is>
      </c>
    </row>
    <row r="59">
      <c r="A59" s="10" t="inlineStr">
        <is>
          <t>UK-000252</t>
        </is>
      </c>
      <c r="B59" s="10" t="inlineStr">
        <is>
          <t>UK-000252-01</t>
        </is>
      </c>
      <c r="C59" s="10" t="inlineStr"/>
      <c r="D59" s="10" t="inlineStr">
        <is>
          <t>Grimsby Toys and Vapes</t>
        </is>
      </c>
      <c r="E59" s="10" t="inlineStr">
        <is>
          <t>Vape Shop</t>
        </is>
      </c>
      <c r="F59" s="10" t="inlineStr">
        <is>
          <t>Vape and toy shop</t>
        </is>
      </c>
      <c r="G59" s="10" t="inlineStr">
        <is>
          <t>Independent</t>
        </is>
      </c>
      <c r="H59" s="10" t="inlineStr">
        <is>
          <t>1</t>
        </is>
      </c>
      <c r="I59" s="10" t="inlineStr">
        <is>
          <t>Pasture Street</t>
        </is>
      </c>
      <c r="J59" s="10" t="inlineStr">
        <is>
          <t>Grimsby</t>
        </is>
      </c>
      <c r="K59" s="10" t="inlineStr"/>
      <c r="L59" s="10" t="inlineStr">
        <is>
          <t>07429 286555</t>
        </is>
      </c>
      <c r="M59" s="10" t="inlineStr"/>
      <c r="N59" s="10" t="inlineStr"/>
      <c r="O59" s="10" t="inlineStr"/>
      <c r="P59" s="10" t="inlineStr"/>
      <c r="Q59" s="10" t="inlineStr"/>
      <c r="R59" s="10" t="inlineStr"/>
      <c r="S59" s="10" t="inlineStr"/>
      <c r="T59" s="10" t="inlineStr"/>
      <c r="U59" s="10" t="inlineStr"/>
      <c r="V59" s="10" t="inlineStr">
        <is>
          <t>Medium</t>
        </is>
      </c>
      <c r="W59" s="10" t="inlineStr">
        <is>
          <t>Independent retailer; Core relevant category</t>
        </is>
      </c>
      <c r="X59" s="10" t="inlineStr">
        <is>
          <t>Verified directory</t>
        </is>
      </c>
      <c r="Y59" s="10" t="inlineStr">
        <is>
          <t>Not Found</t>
        </is>
      </c>
      <c r="Z59" s="10" t="inlineStr">
        <is>
          <t>Low</t>
        </is>
      </c>
      <c r="AA59" s="10" t="inlineStr">
        <is>
          <t>Requires Verification</t>
        </is>
      </c>
      <c r="AB59" s="10" t="inlineStr">
        <is>
          <t>https://grimsbylocal.co.uk/businesses/grimsby-toys-and-vapes</t>
        </is>
      </c>
    </row>
    <row r="60">
      <c r="A60" s="5" t="inlineStr">
        <is>
          <t>UK-000255</t>
        </is>
      </c>
      <c r="B60" s="5" t="inlineStr">
        <is>
          <t>UK-000255-01</t>
        </is>
      </c>
      <c r="C60" s="5" t="inlineStr"/>
      <c r="D60" s="5" t="inlineStr">
        <is>
          <t>Hillsborough Vape Lounge</t>
        </is>
      </c>
      <c r="E60" s="5" t="inlineStr">
        <is>
          <t>Vape Shop</t>
        </is>
      </c>
      <c r="F60" s="5" t="inlineStr">
        <is>
          <t>E-cigarette and e-liquid shop</t>
        </is>
      </c>
      <c r="G60" s="5" t="inlineStr">
        <is>
          <t>Independent</t>
        </is>
      </c>
      <c r="H60" s="5" t="inlineStr">
        <is>
          <t>1</t>
        </is>
      </c>
      <c r="I60" s="5" t="inlineStr">
        <is>
          <t>66 Owlerton Green</t>
        </is>
      </c>
      <c r="J60" s="5" t="inlineStr">
        <is>
          <t>Sheffield</t>
        </is>
      </c>
      <c r="K60" s="5" t="inlineStr">
        <is>
          <t>S6 2BH</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Independent retailer; Core relevant category</t>
        </is>
      </c>
      <c r="X60" s="5" t="inlineStr">
        <is>
          <t>Not Found</t>
        </is>
      </c>
      <c r="Y60" s="5" t="inlineStr">
        <is>
          <t>Not Found</t>
        </is>
      </c>
      <c r="Z60" s="5" t="inlineStr">
        <is>
          <t>Low</t>
        </is>
      </c>
      <c r="AA60" s="5" t="inlineStr">
        <is>
          <t>Requires Verification</t>
        </is>
      </c>
      <c r="AB60" s="5" t="inlineStr">
        <is>
          <t>https://ecigdirectory.co.uk/vape-shop/listing/hillsborough-vape-lounge-sheffield</t>
        </is>
      </c>
    </row>
    <row r="61">
      <c r="A61" s="10" t="inlineStr">
        <is>
          <t>WY-0097</t>
        </is>
      </c>
      <c r="B61" s="10" t="inlineStr">
        <is>
          <t>WY-0097-01</t>
        </is>
      </c>
      <c r="C61" s="10" t="inlineStr"/>
      <c r="D61" s="10" t="inlineStr">
        <is>
          <t>House of Vapour</t>
        </is>
      </c>
      <c r="E61" s="10" t="inlineStr">
        <is>
          <t>Vape Shop</t>
        </is>
      </c>
      <c r="F61" s="10" t="inlineStr">
        <is>
          <t>Premium e-cigarette products</t>
        </is>
      </c>
      <c r="G61" s="10" t="inlineStr">
        <is>
          <t>Independent</t>
        </is>
      </c>
      <c r="H61" s="10" t="inlineStr">
        <is>
          <t>1</t>
        </is>
      </c>
      <c r="I61" s="10" t="inlineStr">
        <is>
          <t>Barnsley Road</t>
        </is>
      </c>
      <c r="J61" s="10" t="inlineStr">
        <is>
          <t>South Elmsall</t>
        </is>
      </c>
      <c r="K61" s="10" t="inlineStr">
        <is>
          <t>WF9 2AL</t>
        </is>
      </c>
      <c r="L61" s="10" t="inlineStr">
        <is>
          <t>01977 647969</t>
        </is>
      </c>
      <c r="M61" s="10" t="inlineStr"/>
      <c r="N61" s="10" t="inlineStr"/>
      <c r="O61" s="10" t="inlineStr">
        <is>
          <t>https://www.houseofvapour.net</t>
        </is>
      </c>
      <c r="P61" s="10" t="inlineStr"/>
      <c r="Q61" s="10" t="inlineStr"/>
      <c r="R61" s="10" t="inlineStr"/>
      <c r="S61" s="10" t="inlineStr"/>
      <c r="T61" s="10" t="inlineStr"/>
      <c r="U61" s="10" t="inlineStr"/>
      <c r="V61" s="10" t="inlineStr">
        <is>
          <t>Medium</t>
        </is>
      </c>
      <c r="W61" s="10" t="inlineStr">
        <is>
          <t>Independent retailer; Core relevant category; Active website</t>
        </is>
      </c>
      <c r="X61" s="10" t="inlineStr">
        <is>
          <t>Verified directory</t>
        </is>
      </c>
      <c r="Y61" s="10" t="inlineStr">
        <is>
          <t>Website Found</t>
        </is>
      </c>
      <c r="Z61" s="10" t="inlineStr">
        <is>
          <t>Medium</t>
        </is>
      </c>
      <c r="AA61" s="10" t="inlineStr">
        <is>
          <t>Requires Verification</t>
        </is>
      </c>
      <c r="AB61" s="10" t="inlineStr">
        <is>
          <t>https://www.houseofvapour.net/</t>
        </is>
      </c>
    </row>
    <row r="62">
      <c r="A62" s="5" t="inlineStr">
        <is>
          <t>UK-000260</t>
        </is>
      </c>
      <c r="B62" s="5" t="inlineStr">
        <is>
          <t>UK-000260-01</t>
        </is>
      </c>
      <c r="C62" s="5" t="inlineStr"/>
      <c r="D62" s="5" t="inlineStr">
        <is>
          <t>Juice &amp; Coil Co</t>
        </is>
      </c>
      <c r="E62" s="5" t="inlineStr">
        <is>
          <t>Vape Shop</t>
        </is>
      </c>
      <c r="F62" s="5" t="inlineStr">
        <is>
          <t>E-liquid and coil specialist</t>
        </is>
      </c>
      <c r="G62" s="5" t="inlineStr">
        <is>
          <t>Independent</t>
        </is>
      </c>
      <c r="H62" s="5" t="inlineStr">
        <is>
          <t>1</t>
        </is>
      </c>
      <c r="I62" s="5" t="inlineStr">
        <is>
          <t>851 Chesterfield Road</t>
        </is>
      </c>
      <c r="J62" s="5" t="inlineStr">
        <is>
          <t>Sheffield</t>
        </is>
      </c>
      <c r="K62" s="5" t="inlineStr">
        <is>
          <t>S8 0SQ</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Not Found</t>
        </is>
      </c>
      <c r="Y62" s="5" t="inlineStr">
        <is>
          <t>Not Found</t>
        </is>
      </c>
      <c r="Z62" s="5" t="inlineStr">
        <is>
          <t>Low</t>
        </is>
      </c>
      <c r="AA62" s="5" t="inlineStr">
        <is>
          <t>Requires Verification</t>
        </is>
      </c>
      <c r="AB62" s="5" t="inlineStr">
        <is>
          <t>https://www.yelp.com/search?cflt=vapeshops&amp;find_loc=Unit+12+Parkway+Close%2C+Sheffield+S9+4WJ%2C+United+Kingdom</t>
        </is>
      </c>
    </row>
    <row r="63">
      <c r="A63" s="10" t="inlineStr">
        <is>
          <t>UK-000262</t>
        </is>
      </c>
      <c r="B63" s="10" t="inlineStr">
        <is>
          <t>UK-000262-01</t>
        </is>
      </c>
      <c r="C63" s="10" t="inlineStr"/>
      <c r="D63" s="10" t="inlineStr">
        <is>
          <t>Kick Ash Vapes Cleethorpes</t>
        </is>
      </c>
      <c r="E63" s="10" t="inlineStr">
        <is>
          <t>Vape Shop</t>
        </is>
      </c>
      <c r="F63" s="10" t="inlineStr">
        <is>
          <t>Vape shop</t>
        </is>
      </c>
      <c r="G63" s="10" t="inlineStr">
        <is>
          <t>Independent</t>
        </is>
      </c>
      <c r="H63" s="10" t="inlineStr">
        <is>
          <t>1</t>
        </is>
      </c>
      <c r="I63" s="10" t="inlineStr">
        <is>
          <t>201 Grimsby Road</t>
        </is>
      </c>
      <c r="J63" s="10" t="inlineStr">
        <is>
          <t>Cleethorpes</t>
        </is>
      </c>
      <c r="K63" s="10" t="inlineStr">
        <is>
          <t>DN35 7HB</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Independent retailer; Core relevant category</t>
        </is>
      </c>
      <c r="X63" s="10" t="inlineStr">
        <is>
          <t>Not Found</t>
        </is>
      </c>
      <c r="Y63" s="10" t="inlineStr">
        <is>
          <t>Not Found</t>
        </is>
      </c>
      <c r="Z63" s="10" t="inlineStr">
        <is>
          <t>Low</t>
        </is>
      </c>
      <c r="AA63" s="10" t="inlineStr">
        <is>
          <t>Requires Verification</t>
        </is>
      </c>
      <c r="AB63" s="10" t="inlineStr">
        <is>
          <t>https://kick-ash-vapes-cleethorpes.wheree.com/</t>
        </is>
      </c>
    </row>
    <row r="64">
      <c r="A64" s="5" t="inlineStr">
        <is>
          <t>UK-000263</t>
        </is>
      </c>
      <c r="B64" s="5" t="inlineStr">
        <is>
          <t>UK-000263-01</t>
        </is>
      </c>
      <c r="C64" s="5" t="inlineStr"/>
      <c r="D64" s="5" t="inlineStr">
        <is>
          <t>Kings Lites Acomb</t>
        </is>
      </c>
      <c r="E64" s="5" t="inlineStr">
        <is>
          <t>Vape Shop</t>
        </is>
      </c>
      <c r="F64" s="5" t="inlineStr">
        <is>
          <t>Vaping specialist</t>
        </is>
      </c>
      <c r="G64" s="5" t="inlineStr">
        <is>
          <t>Independent</t>
        </is>
      </c>
      <c r="H64" s="5" t="inlineStr">
        <is>
          <t>1</t>
        </is>
      </c>
      <c r="I64" s="5" t="inlineStr"/>
      <c r="J64" s="5" t="inlineStr">
        <is>
          <t>York</t>
        </is>
      </c>
      <c r="K64" s="5" t="inlineStr"/>
      <c r="L64" s="5" t="inlineStr"/>
      <c r="M64" s="5" t="inlineStr"/>
      <c r="N64" s="5" t="inlineStr"/>
      <c r="O64" s="5" t="inlineStr">
        <is>
          <t>https://www.kingslites.co.uk/acomb</t>
        </is>
      </c>
      <c r="P64" s="5" t="inlineStr"/>
      <c r="Q64" s="5" t="inlineStr"/>
      <c r="R64" s="5" t="inlineStr"/>
      <c r="S64" s="5" t="inlineStr"/>
      <c r="T64" s="5" t="inlineStr"/>
      <c r="U64" s="5" t="inlineStr"/>
      <c r="V64" s="5" t="inlineStr">
        <is>
          <t>Medium</t>
        </is>
      </c>
      <c r="W64" s="5" t="inlineStr">
        <is>
          <t>Independent retailer; Core relevant category; Active website</t>
        </is>
      </c>
      <c r="X64" s="5" t="inlineStr">
        <is>
          <t>Not Found</t>
        </is>
      </c>
      <c r="Y64" s="5" t="inlineStr">
        <is>
          <t>Website Found</t>
        </is>
      </c>
      <c r="Z64" s="5" t="inlineStr">
        <is>
          <t>Low</t>
        </is>
      </c>
      <c r="AA64" s="5" t="inlineStr">
        <is>
          <t>Requires Verification</t>
        </is>
      </c>
      <c r="AB64" s="5" t="inlineStr">
        <is>
          <t>https://www.kingslites.co.uk/acomb</t>
        </is>
      </c>
    </row>
    <row r="65">
      <c r="A65" s="10" t="inlineStr">
        <is>
          <t>WY-0110</t>
        </is>
      </c>
      <c r="B65" s="10" t="inlineStr">
        <is>
          <t>WY-0110-01</t>
        </is>
      </c>
      <c r="C65" s="10" t="inlineStr"/>
      <c r="D65" s="10" t="inlineStr">
        <is>
          <t>Liquid Mafia The King of Vapes</t>
        </is>
      </c>
      <c r="E65" s="10" t="inlineStr">
        <is>
          <t>Vape Shop</t>
        </is>
      </c>
      <c r="F65" s="10" t="inlineStr">
        <is>
          <t>Vape retailer</t>
        </is>
      </c>
      <c r="G65" s="10" t="inlineStr">
        <is>
          <t>Independent</t>
        </is>
      </c>
      <c r="H65" s="10" t="inlineStr">
        <is>
          <t>1</t>
        </is>
      </c>
      <c r="I65" s="10" t="inlineStr">
        <is>
          <t>506 Huddersfield Road</t>
        </is>
      </c>
      <c r="J65" s="10" t="inlineStr">
        <is>
          <t>Dewsbury</t>
        </is>
      </c>
      <c r="K65" s="10" t="inlineStr">
        <is>
          <t>WF13 3ET</t>
        </is>
      </c>
      <c r="L65" s="10" t="inlineStr">
        <is>
          <t>07512 340800</t>
        </is>
      </c>
      <c r="M65" s="10" t="inlineStr"/>
      <c r="N65" s="10" t="inlineStr"/>
      <c r="O65" s="10" t="inlineStr"/>
      <c r="P65" s="10" t="inlineStr"/>
      <c r="Q65" s="10" t="inlineStr">
        <is>
          <t>https://www.instagram.com/liquidmafiaofficial/</t>
        </is>
      </c>
      <c r="R65" s="10" t="inlineStr"/>
      <c r="S65" s="10" t="inlineStr"/>
      <c r="T65" s="10" t="inlineStr"/>
      <c r="U65" s="10" t="inlineStr"/>
      <c r="V65" s="10" t="inlineStr">
        <is>
          <t>Medium</t>
        </is>
      </c>
      <c r="W65" s="10" t="inlineStr">
        <is>
          <t>Independent retailer; Core relevant category; Social presence</t>
        </is>
      </c>
      <c r="X65" s="10" t="inlineStr">
        <is>
          <t>Verified directory</t>
        </is>
      </c>
      <c r="Y65" s="10" t="inlineStr">
        <is>
          <t>Not Found</t>
        </is>
      </c>
      <c r="Z65" s="10" t="inlineStr">
        <is>
          <t>Medium</t>
        </is>
      </c>
      <c r="AA65" s="10" t="inlineStr">
        <is>
          <t>Requires Verification</t>
        </is>
      </c>
      <c r="AB65" s="10" t="inlineStr">
        <is>
          <t>https://www.instagram.com/liquidmafiaofficial/</t>
        </is>
      </c>
    </row>
    <row r="66">
      <c r="A66" s="5" t="inlineStr">
        <is>
          <t>WY-0121</t>
        </is>
      </c>
      <c r="B66" s="5" t="inlineStr">
        <is>
          <t>WY-0121-01</t>
        </is>
      </c>
      <c r="C66" s="5" t="inlineStr"/>
      <c r="D66" s="5" t="inlineStr">
        <is>
          <t>Mister Motivaper</t>
        </is>
      </c>
      <c r="E66" s="5" t="inlineStr">
        <is>
          <t>Vape Shop</t>
        </is>
      </c>
      <c r="F66" s="5" t="inlineStr">
        <is>
          <t>Vape retailer</t>
        </is>
      </c>
      <c r="G66" s="5" t="inlineStr">
        <is>
          <t>Independent</t>
        </is>
      </c>
      <c r="H66" s="5" t="inlineStr">
        <is>
          <t>1</t>
        </is>
      </c>
      <c r="I66" s="5" t="inlineStr">
        <is>
          <t>7 Horse Fair</t>
        </is>
      </c>
      <c r="J66" s="5" t="inlineStr">
        <is>
          <t>Pontefract</t>
        </is>
      </c>
      <c r="K66" s="5" t="inlineStr"/>
      <c r="L66" s="5" t="inlineStr">
        <is>
          <t>01274 987430</t>
        </is>
      </c>
      <c r="M66" s="5" t="inlineStr"/>
      <c r="N66" s="5" t="inlineStr"/>
      <c r="O66" s="5" t="inlineStr"/>
      <c r="P66" s="5" t="inlineStr"/>
      <c r="Q66" s="5" t="inlineStr"/>
      <c r="R66" s="5" t="inlineStr"/>
      <c r="S66" s="5" t="inlineStr"/>
      <c r="T66" s="5" t="inlineStr"/>
      <c r="U66" s="5" t="inlineStr"/>
      <c r="V66" s="5" t="inlineStr">
        <is>
          <t>Medium</t>
        </is>
      </c>
      <c r="W66" s="5" t="inlineStr">
        <is>
          <t>Independent retailer; Core relevant category</t>
        </is>
      </c>
      <c r="X66" s="5" t="inlineStr">
        <is>
          <t>Verified directory</t>
        </is>
      </c>
      <c r="Y66" s="5" t="inlineStr">
        <is>
          <t>Not Found</t>
        </is>
      </c>
      <c r="Z66" s="5" t="inlineStr">
        <is>
          <t>Low</t>
        </is>
      </c>
      <c r="AA66" s="5" t="inlineStr">
        <is>
          <t>Requires Verification</t>
        </is>
      </c>
      <c r="AB66" s="5" t="inlineStr">
        <is>
          <t>https://ecigdirectory.co.uk/vape-shop/listing/mister-motivaper-pontefract</t>
        </is>
      </c>
    </row>
    <row r="67">
      <c r="A67" s="10" t="inlineStr">
        <is>
          <t>WY-0123</t>
        </is>
      </c>
      <c r="B67" s="10" t="inlineStr">
        <is>
          <t>WY-0123-01</t>
        </is>
      </c>
      <c r="C67" s="10" t="inlineStr"/>
      <c r="D67" s="10" t="inlineStr">
        <is>
          <t>Mount Vapes</t>
        </is>
      </c>
      <c r="E67" s="10" t="inlineStr">
        <is>
          <t>Vape Shop</t>
        </is>
      </c>
      <c r="F67" s="10" t="inlineStr"/>
      <c r="G67" s="10" t="inlineStr">
        <is>
          <t>Independent</t>
        </is>
      </c>
      <c r="H67" s="10" t="inlineStr">
        <is>
          <t>1</t>
        </is>
      </c>
      <c r="I67" s="10" t="inlineStr"/>
      <c r="J67" s="10" t="inlineStr">
        <is>
          <t>Halifax</t>
        </is>
      </c>
      <c r="K67" s="10" t="inlineStr">
        <is>
          <t>HX3 6EE</t>
        </is>
      </c>
      <c r="L67" s="10" t="inlineStr">
        <is>
          <t>07843 846154</t>
        </is>
      </c>
      <c r="M67" s="10" t="inlineStr"/>
      <c r="N67" s="10" t="inlineStr"/>
      <c r="O67" s="10" t="inlineStr">
        <is>
          <t>https://mountvapes.co.uk/</t>
        </is>
      </c>
      <c r="P67" s="10" t="inlineStr">
        <is>
          <t>https://www.facebook.com/MountVapes/</t>
        </is>
      </c>
      <c r="Q67" s="10" t="inlineStr"/>
      <c r="R67" s="10" t="inlineStr"/>
      <c r="S67" s="10" t="inlineStr"/>
      <c r="T67" s="10" t="inlineStr"/>
      <c r="U67" s="10" t="inlineStr"/>
      <c r="V67" s="10" t="inlineStr">
        <is>
          <t>Medium</t>
        </is>
      </c>
      <c r="W67" s="10" t="inlineStr">
        <is>
          <t>Independent retailer; Core relevant category; Active website; Social presence</t>
        </is>
      </c>
      <c r="X67" s="10" t="inlineStr">
        <is>
          <t>Verified directory</t>
        </is>
      </c>
      <c r="Y67" s="10" t="inlineStr">
        <is>
          <t>Website Found</t>
        </is>
      </c>
      <c r="Z67" s="10" t="inlineStr">
        <is>
          <t>Medium</t>
        </is>
      </c>
      <c r="AA67" s="10" t="inlineStr">
        <is>
          <t>Requires Verification</t>
        </is>
      </c>
      <c r="AB67" s="10" t="inlineStr">
        <is>
          <t>https://mountvapes.co.uk/</t>
        </is>
      </c>
    </row>
    <row r="68">
      <c r="A68" s="5" t="inlineStr">
        <is>
          <t>WY-0131</t>
        </is>
      </c>
      <c r="B68" s="5" t="inlineStr">
        <is>
          <t>WY-0131-01</t>
        </is>
      </c>
      <c r="C68" s="5" t="inlineStr"/>
      <c r="D68" s="5" t="inlineStr">
        <is>
          <t>Phantom Vape Store</t>
        </is>
      </c>
      <c r="E68" s="5" t="inlineStr">
        <is>
          <t>Vape Shop</t>
        </is>
      </c>
      <c r="F68" s="5" t="inlineStr">
        <is>
          <t>Pods, kits, e-liquids and accessories</t>
        </is>
      </c>
      <c r="G68" s="5" t="inlineStr">
        <is>
          <t>Independent</t>
        </is>
      </c>
      <c r="H68" s="5" t="inlineStr">
        <is>
          <t>1</t>
        </is>
      </c>
      <c r="I68" s="5" t="inlineStr">
        <is>
          <t>17 Slaithwaite Road</t>
        </is>
      </c>
      <c r="J68" s="5" t="inlineStr">
        <is>
          <t>Dewsbury</t>
        </is>
      </c>
      <c r="K68" s="5" t="inlineStr">
        <is>
          <t>WF12 9DJ</t>
        </is>
      </c>
      <c r="L68" s="5" t="inlineStr"/>
      <c r="M68" s="5" t="inlineStr"/>
      <c r="N68" s="5" t="inlineStr"/>
      <c r="O68" s="5" t="inlineStr">
        <is>
          <t>https://www.phantomvapes.co.uk/</t>
        </is>
      </c>
      <c r="P68" s="5" t="inlineStr">
        <is>
          <t>https://www.facebook.com/61578393599194/</t>
        </is>
      </c>
      <c r="Q68" s="5" t="inlineStr"/>
      <c r="R68" s="5" t="inlineStr"/>
      <c r="S68" s="5" t="inlineStr"/>
      <c r="T68" s="5" t="inlineStr"/>
      <c r="U68" s="5" t="inlineStr"/>
      <c r="V68" s="5" t="inlineStr">
        <is>
          <t>Medium</t>
        </is>
      </c>
      <c r="W68" s="5" t="inlineStr">
        <is>
          <t>Independent retailer; Core relevant category; Active website; Social presence</t>
        </is>
      </c>
      <c r="X68" s="5" t="inlineStr">
        <is>
          <t>Not Found</t>
        </is>
      </c>
      <c r="Y68" s="5" t="inlineStr">
        <is>
          <t>Website Found</t>
        </is>
      </c>
      <c r="Z68" s="5" t="inlineStr">
        <is>
          <t>Medium</t>
        </is>
      </c>
      <c r="AA68" s="5" t="inlineStr">
        <is>
          <t>Requires Verification</t>
        </is>
      </c>
      <c r="AB68" s="5" t="inlineStr">
        <is>
          <t>https://www.phantomvapes.co.uk/vape-shop-dewsbury</t>
        </is>
      </c>
    </row>
    <row r="69">
      <c r="A69" s="10" t="inlineStr">
        <is>
          <t>UK-000267</t>
        </is>
      </c>
      <c r="B69" s="10" t="inlineStr">
        <is>
          <t>UK-000267-01</t>
        </is>
      </c>
      <c r="C69" s="10" t="inlineStr"/>
      <c r="D69" s="10" t="inlineStr">
        <is>
          <t>Platinum Vape Hull</t>
        </is>
      </c>
      <c r="E69" s="10" t="inlineStr">
        <is>
          <t>Vape Shop</t>
        </is>
      </c>
      <c r="F69" s="10" t="inlineStr">
        <is>
          <t>Disposables and e-liquid shop</t>
        </is>
      </c>
      <c r="G69" s="10" t="inlineStr">
        <is>
          <t>Independent</t>
        </is>
      </c>
      <c r="H69" s="10" t="inlineStr">
        <is>
          <t>1</t>
        </is>
      </c>
      <c r="I69" s="10" t="inlineStr"/>
      <c r="J69" s="10" t="inlineStr">
        <is>
          <t>Kingston upon Hull</t>
        </is>
      </c>
      <c r="K69" s="10" t="inlineStr"/>
      <c r="L69" s="10" t="inlineStr"/>
      <c r="M69" s="10" t="inlineStr"/>
      <c r="N69" s="10" t="inlineStr"/>
      <c r="O69" s="10" t="inlineStr"/>
      <c r="P69" s="10" t="inlineStr">
        <is>
          <t>https://www.facebook.com/PlatinumVapehull/</t>
        </is>
      </c>
      <c r="Q69" s="10" t="inlineStr"/>
      <c r="R69" s="10" t="inlineStr"/>
      <c r="S69" s="10" t="inlineStr"/>
      <c r="T69" s="10" t="inlineStr"/>
      <c r="U69" s="10" t="inlineStr"/>
      <c r="V69" s="10" t="inlineStr">
        <is>
          <t>Medium</t>
        </is>
      </c>
      <c r="W69" s="10" t="inlineStr">
        <is>
          <t>Independent retailer; Core relevant category; Social presence</t>
        </is>
      </c>
      <c r="X69" s="10" t="inlineStr">
        <is>
          <t>Not Found</t>
        </is>
      </c>
      <c r="Y69" s="10" t="inlineStr">
        <is>
          <t>Not Found</t>
        </is>
      </c>
      <c r="Z69" s="10" t="inlineStr">
        <is>
          <t>Low</t>
        </is>
      </c>
      <c r="AA69" s="10" t="inlineStr">
        <is>
          <t>Requires Verification</t>
        </is>
      </c>
      <c r="AB69" s="10" t="inlineStr">
        <is>
          <t>https://www.facebook.com/PlatinumVapehull/</t>
        </is>
      </c>
    </row>
    <row r="70">
      <c r="A70" s="5" t="inlineStr">
        <is>
          <t>WY-0138</t>
        </is>
      </c>
      <c r="B70" s="5" t="inlineStr">
        <is>
          <t>WY-0138-01</t>
        </is>
      </c>
      <c r="C70" s="5" t="inlineStr"/>
      <c r="D70" s="5" t="inlineStr">
        <is>
          <t>Revo Vapes</t>
        </is>
      </c>
      <c r="E70" s="5" t="inlineStr">
        <is>
          <t>Vape Shop</t>
        </is>
      </c>
      <c r="F70" s="5" t="inlineStr"/>
      <c r="G70" s="5" t="inlineStr">
        <is>
          <t>Independent</t>
        </is>
      </c>
      <c r="H70" s="5" t="inlineStr">
        <is>
          <t>1</t>
        </is>
      </c>
      <c r="I70" s="5" t="inlineStr">
        <is>
          <t>Unit 1a, 91 Queen Street</t>
        </is>
      </c>
      <c r="J70" s="5" t="inlineStr">
        <is>
          <t>Morley</t>
        </is>
      </c>
      <c r="K70" s="5" t="inlineStr">
        <is>
          <t>LS27 8DW</t>
        </is>
      </c>
      <c r="L70" s="5" t="inlineStr"/>
      <c r="M70" s="5" t="inlineStr"/>
      <c r="N70" s="5" t="inlineStr"/>
      <c r="O70" s="5" t="inlineStr"/>
      <c r="P70" s="5" t="inlineStr"/>
      <c r="Q70" s="5" t="inlineStr"/>
      <c r="R70" s="5" t="inlineStr"/>
      <c r="S70" s="5" t="inlineStr"/>
      <c r="T70" s="5" t="inlineStr"/>
      <c r="U70" s="5" t="inlineStr"/>
      <c r="V70" s="5" t="inlineStr">
        <is>
          <t>Medium</t>
        </is>
      </c>
      <c r="W70" s="5" t="inlineStr">
        <is>
          <t>Independent retailer; Core relevant category</t>
        </is>
      </c>
      <c r="X70" s="5" t="inlineStr">
        <is>
          <t>Not Found</t>
        </is>
      </c>
      <c r="Y70" s="5" t="inlineStr">
        <is>
          <t>Not Found</t>
        </is>
      </c>
      <c r="Z70" s="5" t="inlineStr">
        <is>
          <t>Low</t>
        </is>
      </c>
      <c r="AA70" s="5" t="inlineStr">
        <is>
          <t>Requires Verification</t>
        </is>
      </c>
      <c r="AB70" s="5" t="inlineStr">
        <is>
          <t>https://revo-vapes.wheree.com/</t>
        </is>
      </c>
    </row>
    <row r="71">
      <c r="A71" s="10" t="inlineStr">
        <is>
          <t>UK-000270</t>
        </is>
      </c>
      <c r="B71" s="10" t="inlineStr">
        <is>
          <t>UK-000270-01</t>
        </is>
      </c>
      <c r="C71" s="10" t="inlineStr"/>
      <c r="D71" s="10" t="inlineStr">
        <is>
          <t>Revolution Vape</t>
        </is>
      </c>
      <c r="E71" s="10" t="inlineStr">
        <is>
          <t>Vape Shop</t>
        </is>
      </c>
      <c r="F71" s="10" t="inlineStr">
        <is>
          <t>Vape shop</t>
        </is>
      </c>
      <c r="G71" s="10" t="inlineStr">
        <is>
          <t>Independent</t>
        </is>
      </c>
      <c r="H71" s="10" t="inlineStr">
        <is>
          <t>1</t>
        </is>
      </c>
      <c r="I71" s="10" t="inlineStr">
        <is>
          <t>75 High Street</t>
        </is>
      </c>
      <c r="J71" s="10" t="inlineStr">
        <is>
          <t>Rotherham</t>
        </is>
      </c>
      <c r="K71" s="10" t="inlineStr">
        <is>
          <t>S63 7QB</t>
        </is>
      </c>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Independent retailer; Core relevant category</t>
        </is>
      </c>
      <c r="X71" s="10" t="inlineStr">
        <is>
          <t>Not Found</t>
        </is>
      </c>
      <c r="Y71" s="10" t="inlineStr">
        <is>
          <t>Not Found</t>
        </is>
      </c>
      <c r="Z71" s="10" t="inlineStr">
        <is>
          <t>Low</t>
        </is>
      </c>
      <c r="AA71" s="10" t="inlineStr">
        <is>
          <t>Requires Verification</t>
        </is>
      </c>
      <c r="AB71" s="10" t="inlineStr">
        <is>
          <t>https://wath-upon-dearne.cylex-uk.co.uk/company/revolution-vape-19882113.html</t>
        </is>
      </c>
    </row>
    <row r="72">
      <c r="A72" s="5" t="inlineStr">
        <is>
          <t>UK-000271</t>
        </is>
      </c>
      <c r="B72" s="5" t="inlineStr">
        <is>
          <t>UK-000271-01</t>
        </is>
      </c>
      <c r="C72" s="5" t="inlineStr"/>
      <c r="D72" s="5" t="inlineStr">
        <is>
          <t>RicherVapes</t>
        </is>
      </c>
      <c r="E72" s="5" t="inlineStr">
        <is>
          <t>Vape Shop</t>
        </is>
      </c>
      <c r="F72" s="5" t="inlineStr">
        <is>
          <t>E-cigarette, e-liquid &amp; hardware specialist</t>
        </is>
      </c>
      <c r="G72" s="5" t="inlineStr">
        <is>
          <t>Independent</t>
        </is>
      </c>
      <c r="H72" s="5" t="inlineStr">
        <is>
          <t>1</t>
        </is>
      </c>
      <c r="I72" s="5" t="inlineStr">
        <is>
          <t>2 Skeldergate</t>
        </is>
      </c>
      <c r="J72" s="5" t="inlineStr">
        <is>
          <t>York</t>
        </is>
      </c>
      <c r="K72" s="5" t="inlineStr">
        <is>
          <t>YO1 6DG</t>
        </is>
      </c>
      <c r="L72" s="5" t="inlineStr">
        <is>
          <t>07879 654682</t>
        </is>
      </c>
      <c r="M72" s="5" t="inlineStr">
        <is>
          <t>richervapes@gmail.com</t>
        </is>
      </c>
      <c r="N72" s="5" t="inlineStr"/>
      <c r="O72" s="5" t="inlineStr">
        <is>
          <t>https://richervapes.com/</t>
        </is>
      </c>
      <c r="P72" s="5" t="inlineStr">
        <is>
          <t>https://www.facebook.com/richervapes/</t>
        </is>
      </c>
      <c r="Q72" s="5" t="inlineStr"/>
      <c r="R72" s="5" t="inlineStr"/>
      <c r="S72" s="5" t="inlineStr"/>
      <c r="T72" s="5" t="inlineStr"/>
      <c r="U72" s="5" t="inlineStr"/>
      <c r="V72" s="5" t="inlineStr">
        <is>
          <t>High</t>
        </is>
      </c>
      <c r="W72" s="5" t="inlineStr">
        <is>
          <t>Independent retailer; Core relevant category; Public email available; Active website; Social presence</t>
        </is>
      </c>
      <c r="X72" s="5" t="inlineStr">
        <is>
          <t>Verified directory</t>
        </is>
      </c>
      <c r="Y72" s="5" t="inlineStr">
        <is>
          <t>Publicly Listed</t>
        </is>
      </c>
      <c r="Z72" s="5" t="inlineStr">
        <is>
          <t>Medium</t>
        </is>
      </c>
      <c r="AA72" s="5" t="inlineStr">
        <is>
          <t>Requires Verification</t>
        </is>
      </c>
      <c r="AB72" s="5" t="inlineStr">
        <is>
          <t>https://richervapes.com/pages/come-and-visit-us</t>
        </is>
      </c>
    </row>
    <row r="73">
      <c r="A73" s="10" t="inlineStr">
        <is>
          <t>UK-000273</t>
        </is>
      </c>
      <c r="B73" s="10" t="inlineStr">
        <is>
          <t>UK-000273-01</t>
        </is>
      </c>
      <c r="C73" s="10" t="inlineStr"/>
      <c r="D73" s="10" t="inlineStr">
        <is>
          <t>Ryedale Vapour</t>
        </is>
      </c>
      <c r="E73" s="10" t="inlineStr">
        <is>
          <t>Vape Shop</t>
        </is>
      </c>
      <c r="F73" s="10" t="inlineStr">
        <is>
          <t>Premium vape juices, e-liquids &amp; accessories</t>
        </is>
      </c>
      <c r="G73" s="10" t="inlineStr">
        <is>
          <t>Independent</t>
        </is>
      </c>
      <c r="H73" s="10" t="inlineStr">
        <is>
          <t>1</t>
        </is>
      </c>
      <c r="I73" s="10" t="inlineStr">
        <is>
          <t>15 Yorkersgate</t>
        </is>
      </c>
      <c r="J73" s="10" t="inlineStr">
        <is>
          <t>Malton</t>
        </is>
      </c>
      <c r="K73" s="10" t="inlineStr">
        <is>
          <t>YO17 7AA</t>
        </is>
      </c>
      <c r="L73" s="10" t="inlineStr">
        <is>
          <t>01653 228160</t>
        </is>
      </c>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Verified directory</t>
        </is>
      </c>
      <c r="Y73" s="10" t="inlineStr">
        <is>
          <t>Not Found</t>
        </is>
      </c>
      <c r="Z73" s="10" t="inlineStr">
        <is>
          <t>Low</t>
        </is>
      </c>
      <c r="AA73" s="10" t="inlineStr">
        <is>
          <t>Requires Verification</t>
        </is>
      </c>
      <c r="AB73" s="10" t="inlineStr">
        <is>
          <t>https://www.yelp.com/search?cflt=vapeshops&amp;find_loc=Malton+YO17</t>
        </is>
      </c>
    </row>
    <row r="74">
      <c r="A74" s="5" t="inlineStr">
        <is>
          <t>WY-0140</t>
        </is>
      </c>
      <c r="B74" s="5" t="inlineStr">
        <is>
          <t>WY-0140-01</t>
        </is>
      </c>
      <c r="C74" s="5" t="inlineStr"/>
      <c r="D74" s="5" t="inlineStr">
        <is>
          <t>SMKD</t>
        </is>
      </c>
      <c r="E74" s="5" t="inlineStr">
        <is>
          <t>Vape Shop</t>
        </is>
      </c>
      <c r="F74" s="5" t="inlineStr">
        <is>
          <t>Online vape retailer with same-day West Yorkshire delivery (former multi-store chain)</t>
        </is>
      </c>
      <c r="G74" s="5" t="inlineStr">
        <is>
          <t>Independent</t>
        </is>
      </c>
      <c r="H74" s="5" t="inlineStr">
        <is>
          <t>1</t>
        </is>
      </c>
      <c r="I74" s="5" t="inlineStr">
        <is>
          <t>Unit 7, Bradford Chamber Business Park</t>
        </is>
      </c>
      <c r="J74" s="5" t="inlineStr">
        <is>
          <t>Bradford</t>
        </is>
      </c>
      <c r="K74" s="5" t="inlineStr">
        <is>
          <t>BD4 8BX</t>
        </is>
      </c>
      <c r="L74" s="5" t="inlineStr">
        <is>
          <t>01274 270303</t>
        </is>
      </c>
      <c r="M74" s="5" t="inlineStr">
        <is>
          <t>info@smkd.com</t>
        </is>
      </c>
      <c r="N74" s="5" t="inlineStr"/>
      <c r="O74" s="5" t="inlineStr">
        <is>
          <t>https://smkd.com/</t>
        </is>
      </c>
      <c r="P74" s="5" t="inlineStr">
        <is>
          <t>https://www.facebook.com/SmkdVapeShop/</t>
        </is>
      </c>
      <c r="Q74" s="5" t="inlineStr"/>
      <c r="R74" s="5" t="inlineStr"/>
      <c r="S74" s="5" t="inlineStr"/>
      <c r="T74" s="5" t="inlineStr"/>
      <c r="U74" s="5" t="inlineStr"/>
      <c r="V74" s="5" t="inlineStr">
        <is>
          <t>High</t>
        </is>
      </c>
      <c r="W74" s="5" t="inlineStr">
        <is>
          <t>Independent retailer; Core relevant category; Public email available; Active website; Social presence; Phone verified on official website</t>
        </is>
      </c>
      <c r="X74" s="5" t="inlineStr">
        <is>
          <t>Verified on official website</t>
        </is>
      </c>
      <c r="Y74" s="5" t="inlineStr">
        <is>
          <t>Publicly Listed</t>
        </is>
      </c>
      <c r="Z74" s="5" t="inlineStr">
        <is>
          <t>Medium</t>
        </is>
      </c>
      <c r="AA74" s="5" t="inlineStr">
        <is>
          <t>Partially Verified</t>
        </is>
      </c>
      <c r="AB74" s="5" t="inlineStr">
        <is>
          <t>https://smkd.com/vape-shop-locator/</t>
        </is>
      </c>
    </row>
    <row r="75">
      <c r="A75" s="10" t="inlineStr">
        <is>
          <t>UK-000276</t>
        </is>
      </c>
      <c r="B75" s="10" t="inlineStr">
        <is>
          <t>UK-000276-01</t>
        </is>
      </c>
      <c r="C75" s="10" t="inlineStr"/>
      <c r="D75" s="10" t="inlineStr">
        <is>
          <t>Selby Vapes</t>
        </is>
      </c>
      <c r="E75" s="10" t="inlineStr">
        <is>
          <t>Vape Shop</t>
        </is>
      </c>
      <c r="F75" s="10" t="inlineStr">
        <is>
          <t>E-liquids, nic salts &amp; vape kits</t>
        </is>
      </c>
      <c r="G75" s="10" t="inlineStr">
        <is>
          <t>Independent</t>
        </is>
      </c>
      <c r="H75" s="10" t="inlineStr">
        <is>
          <t>1</t>
        </is>
      </c>
      <c r="I75" s="10" t="inlineStr">
        <is>
          <t>24 Abbots Court</t>
        </is>
      </c>
      <c r="J75" s="10" t="inlineStr">
        <is>
          <t>Selby</t>
        </is>
      </c>
      <c r="K75" s="10" t="inlineStr">
        <is>
          <t>YO8 8BF</t>
        </is>
      </c>
      <c r="L75" s="10" t="inlineStr">
        <is>
          <t>07772 913458</t>
        </is>
      </c>
      <c r="M75" s="10" t="inlineStr"/>
      <c r="N75" s="10" t="inlineStr"/>
      <c r="O75" s="10" t="inlineStr"/>
      <c r="P75" s="10" t="inlineStr"/>
      <c r="Q75" s="10" t="inlineStr"/>
      <c r="R75" s="10" t="inlineStr"/>
      <c r="S75" s="10" t="inlineStr"/>
      <c r="T75" s="10" t="inlineStr"/>
      <c r="U75" s="10" t="inlineStr"/>
      <c r="V75" s="10" t="inlineStr">
        <is>
          <t>Medium</t>
        </is>
      </c>
      <c r="W75" s="10" t="inlineStr">
        <is>
          <t>Independent retailer; Core relevant category; Social presence</t>
        </is>
      </c>
      <c r="X75" s="10" t="inlineStr">
        <is>
          <t>Verified directory</t>
        </is>
      </c>
      <c r="Y75" s="10" t="inlineStr">
        <is>
          <t>Not Found</t>
        </is>
      </c>
      <c r="Z75" s="10" t="inlineStr">
        <is>
          <t>Medium</t>
        </is>
      </c>
      <c r="AA75" s="10" t="inlineStr">
        <is>
          <t>Requires Verification</t>
        </is>
      </c>
      <c r="AB75" s="10" t="inlineStr">
        <is>
          <t>https://www.bizify.co.uk/vape-shops/york/YO8-8FB/selby-vapes</t>
        </is>
      </c>
    </row>
    <row r="76">
      <c r="A76" s="5" t="inlineStr">
        <is>
          <t>UK-000278</t>
        </is>
      </c>
      <c r="B76" s="5" t="inlineStr">
        <is>
          <t>UK-000278-01</t>
        </is>
      </c>
      <c r="C76" s="5" t="inlineStr"/>
      <c r="D76" s="5" t="inlineStr">
        <is>
          <t>Smoke Free Skipton</t>
        </is>
      </c>
      <c r="E76" s="5" t="inlineStr">
        <is>
          <t>Vape Shop</t>
        </is>
      </c>
      <c r="F76" s="5" t="inlineStr">
        <is>
          <t>E-cigarette &amp; e-liquid shop</t>
        </is>
      </c>
      <c r="G76" s="5" t="inlineStr">
        <is>
          <t>Independent</t>
        </is>
      </c>
      <c r="H76" s="5" t="inlineStr">
        <is>
          <t>1</t>
        </is>
      </c>
      <c r="I76" s="5" t="inlineStr">
        <is>
          <t>19 Water Street</t>
        </is>
      </c>
      <c r="J76" s="5" t="inlineStr">
        <is>
          <t>Skipton</t>
        </is>
      </c>
      <c r="K76" s="5" t="inlineStr">
        <is>
          <t>BD23 1PQ</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Independent retailer; Core relevant category</t>
        </is>
      </c>
      <c r="X76" s="5" t="inlineStr">
        <is>
          <t>Not Found</t>
        </is>
      </c>
      <c r="Y76" s="5" t="inlineStr">
        <is>
          <t>Not Found</t>
        </is>
      </c>
      <c r="Z76" s="5" t="inlineStr">
        <is>
          <t>Low</t>
        </is>
      </c>
      <c r="AA76" s="5" t="inlineStr">
        <is>
          <t>Requires Verification</t>
        </is>
      </c>
      <c r="AB76" s="5" t="inlineStr">
        <is>
          <t>https://ecigdirectory.co.uk/vape-shop/listing/smoke-free-skipton</t>
        </is>
      </c>
    </row>
    <row r="77">
      <c r="A77" s="10" t="inlineStr">
        <is>
          <t>WY-0149</t>
        </is>
      </c>
      <c r="B77" s="10" t="inlineStr">
        <is>
          <t>WY-0149-01</t>
        </is>
      </c>
      <c r="C77" s="10" t="inlineStr"/>
      <c r="D77" s="10" t="inlineStr">
        <is>
          <t>Smokers D'Lite</t>
        </is>
      </c>
      <c r="E77" s="10" t="inlineStr">
        <is>
          <t>Vape Shop</t>
        </is>
      </c>
      <c r="F77" s="10" t="inlineStr">
        <is>
          <t>Vape and smoking accessories</t>
        </is>
      </c>
      <c r="G77" s="10" t="inlineStr">
        <is>
          <t>Independent</t>
        </is>
      </c>
      <c r="H77" s="10" t="inlineStr">
        <is>
          <t>1</t>
        </is>
      </c>
      <c r="I77" s="10" t="inlineStr">
        <is>
          <t>20 Thorntons Arcade</t>
        </is>
      </c>
      <c r="J77" s="10" t="inlineStr">
        <is>
          <t>Leeds</t>
        </is>
      </c>
      <c r="K77" s="10" t="inlineStr">
        <is>
          <t>LS1 6LQ</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Independent retailer; Core relevant category</t>
        </is>
      </c>
      <c r="X77" s="10" t="inlineStr">
        <is>
          <t>Not Found</t>
        </is>
      </c>
      <c r="Y77" s="10" t="inlineStr">
        <is>
          <t>Not Found</t>
        </is>
      </c>
      <c r="Z77" s="10" t="inlineStr">
        <is>
          <t>Low</t>
        </is>
      </c>
      <c r="AA77" s="10" t="inlineStr">
        <is>
          <t>Requires Verification</t>
        </is>
      </c>
      <c r="AB77" s="10" t="inlineStr">
        <is>
          <t>https://ecigdirectory.co.uk/vape-shop-leeds/</t>
        </is>
      </c>
    </row>
    <row r="78">
      <c r="A78" s="5" t="inlineStr">
        <is>
          <t>UK-000282</t>
        </is>
      </c>
      <c r="B78" s="5" t="inlineStr">
        <is>
          <t>UK-000282-01</t>
        </is>
      </c>
      <c r="C78" s="5" t="inlineStr"/>
      <c r="D78" s="5" t="inlineStr">
        <is>
          <t>The Little Shop of Vapes</t>
        </is>
      </c>
      <c r="E78" s="5" t="inlineStr">
        <is>
          <t>Vape Shop</t>
        </is>
      </c>
      <c r="F78" s="5" t="inlineStr">
        <is>
          <t>Independent B&amp;M vape shop</t>
        </is>
      </c>
      <c r="G78" s="5" t="inlineStr">
        <is>
          <t>Independent</t>
        </is>
      </c>
      <c r="H78" s="5" t="inlineStr">
        <is>
          <t>1</t>
        </is>
      </c>
      <c r="I78" s="5" t="inlineStr">
        <is>
          <t>144 Victoria Road</t>
        </is>
      </c>
      <c r="J78" s="5" t="inlineStr">
        <is>
          <t>Scarborough</t>
        </is>
      </c>
      <c r="K78" s="5" t="inlineStr">
        <is>
          <t>YO11 1SL</t>
        </is>
      </c>
      <c r="L78" s="5" t="inlineStr">
        <is>
          <t>01723 449978</t>
        </is>
      </c>
      <c r="M78" s="5" t="inlineStr"/>
      <c r="N78" s="5" t="inlineStr"/>
      <c r="O78" s="5" t="inlineStr"/>
      <c r="P78" s="5" t="inlineStr"/>
      <c r="Q78" s="5" t="inlineStr"/>
      <c r="R78" s="5" t="inlineStr"/>
      <c r="S78" s="5" t="inlineStr"/>
      <c r="T78" s="5" t="inlineStr"/>
      <c r="U78" s="5" t="inlineStr"/>
      <c r="V78" s="5" t="inlineStr">
        <is>
          <t>Medium</t>
        </is>
      </c>
      <c r="W78" s="5" t="inlineStr">
        <is>
          <t>Independent retailer; Core relevant category</t>
        </is>
      </c>
      <c r="X78" s="5" t="inlineStr">
        <is>
          <t>Verified directory</t>
        </is>
      </c>
      <c r="Y78" s="5" t="inlineStr">
        <is>
          <t>Not Found</t>
        </is>
      </c>
      <c r="Z78" s="5" t="inlineStr">
        <is>
          <t>Medium</t>
        </is>
      </c>
      <c r="AA78" s="5" t="inlineStr">
        <is>
          <t>Requires Verification</t>
        </is>
      </c>
      <c r="AB78" s="5" t="inlineStr">
        <is>
          <t>https://scarborough.cylex-uk.co.uk/company/the-little-shop-of-vapes-26778046.html</t>
        </is>
      </c>
    </row>
    <row r="79">
      <c r="A79" s="10" t="inlineStr">
        <is>
          <t>UK-000283</t>
        </is>
      </c>
      <c r="B79" s="10" t="inlineStr">
        <is>
          <t>UK-000283-01</t>
        </is>
      </c>
      <c r="C79" s="10" t="inlineStr"/>
      <c r="D79" s="10" t="inlineStr">
        <is>
          <t>The Vape Centre York</t>
        </is>
      </c>
      <c r="E79" s="10" t="inlineStr">
        <is>
          <t>Vape Shop</t>
        </is>
      </c>
      <c r="F79" s="10" t="inlineStr">
        <is>
          <t>Vape hardware &amp; e-liquid shop</t>
        </is>
      </c>
      <c r="G79" s="10" t="inlineStr">
        <is>
          <t>Independent</t>
        </is>
      </c>
      <c r="H79" s="10" t="inlineStr">
        <is>
          <t>1</t>
        </is>
      </c>
      <c r="I79" s="10" t="inlineStr">
        <is>
          <t>2 Gillygate</t>
        </is>
      </c>
      <c r="J79" s="10" t="inlineStr">
        <is>
          <t>York</t>
        </is>
      </c>
      <c r="K79" s="10" t="inlineStr">
        <is>
          <t>YO31 7EA</t>
        </is>
      </c>
      <c r="L79" s="10" t="inlineStr">
        <is>
          <t>01904 927903</t>
        </is>
      </c>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Verified directory</t>
        </is>
      </c>
      <c r="Y79" s="10" t="inlineStr">
        <is>
          <t>Not Found</t>
        </is>
      </c>
      <c r="Z79" s="10" t="inlineStr">
        <is>
          <t>Low</t>
        </is>
      </c>
      <c r="AA79" s="10" t="inlineStr">
        <is>
          <t>Requires Verification</t>
        </is>
      </c>
      <c r="AB79" s="10" t="inlineStr">
        <is>
          <t>https://the-vape-centre-york.wheree.com/</t>
        </is>
      </c>
    </row>
    <row r="80">
      <c r="A80" s="5" t="inlineStr">
        <is>
          <t>WY-0161</t>
        </is>
      </c>
      <c r="B80" s="5" t="inlineStr">
        <is>
          <t>WY-0161-01</t>
        </is>
      </c>
      <c r="C80" s="5" t="inlineStr"/>
      <c r="D80" s="5" t="inlineStr">
        <is>
          <t>The Vape Hub</t>
        </is>
      </c>
      <c r="E80" s="5" t="inlineStr">
        <is>
          <t>Vape Shop</t>
        </is>
      </c>
      <c r="F80" s="5" t="inlineStr">
        <is>
          <t>Local vape shop</t>
        </is>
      </c>
      <c r="G80" s="5" t="inlineStr">
        <is>
          <t>Independent</t>
        </is>
      </c>
      <c r="H80" s="5" t="inlineStr">
        <is>
          <t>1</t>
        </is>
      </c>
      <c r="I80" s="5" t="inlineStr">
        <is>
          <t>105b Cooper Lane</t>
        </is>
      </c>
      <c r="J80" s="5" t="inlineStr">
        <is>
          <t>Bradford</t>
        </is>
      </c>
      <c r="K80" s="5" t="inlineStr">
        <is>
          <t>BD6 3PB</t>
        </is>
      </c>
      <c r="L80" s="5" t="inlineStr">
        <is>
          <t>01274 785496</t>
        </is>
      </c>
      <c r="M80" s="5" t="inlineStr"/>
      <c r="N80" s="5" t="inlineStr"/>
      <c r="O80" s="5" t="inlineStr"/>
      <c r="P80" s="5" t="inlineStr">
        <is>
          <t>https://www.facebook.com/tvhbradford/</t>
        </is>
      </c>
      <c r="Q80" s="5" t="inlineStr"/>
      <c r="R80" s="5" t="inlineStr"/>
      <c r="S80" s="5" t="inlineStr"/>
      <c r="T80" s="5" t="inlineStr"/>
      <c r="U80" s="5" t="inlineStr"/>
      <c r="V80" s="5" t="inlineStr">
        <is>
          <t>Medium</t>
        </is>
      </c>
      <c r="W80" s="5" t="inlineStr">
        <is>
          <t>Independent retailer; Core relevant category; Social presence</t>
        </is>
      </c>
      <c r="X80" s="5" t="inlineStr">
        <is>
          <t>Verified directory</t>
        </is>
      </c>
      <c r="Y80" s="5" t="inlineStr">
        <is>
          <t>Not Found</t>
        </is>
      </c>
      <c r="Z80" s="5" t="inlineStr">
        <is>
          <t>Medium</t>
        </is>
      </c>
      <c r="AA80" s="5" t="inlineStr">
        <is>
          <t>Requires Verification</t>
        </is>
      </c>
      <c r="AB80" s="5" t="inlineStr">
        <is>
          <t>https://www.yell.com/biz/the-vape-hub-bradford-10128282/</t>
        </is>
      </c>
    </row>
    <row r="81">
      <c r="A81" s="10" t="inlineStr">
        <is>
          <t>UK-000284</t>
        </is>
      </c>
      <c r="B81" s="10" t="inlineStr">
        <is>
          <t>UK-000284-01</t>
        </is>
      </c>
      <c r="C81" s="10" t="inlineStr"/>
      <c r="D81" s="10" t="inlineStr">
        <is>
          <t>The Vape Lounge Scunthorpe</t>
        </is>
      </c>
      <c r="E81" s="10" t="inlineStr">
        <is>
          <t>Vape Shop</t>
        </is>
      </c>
      <c r="F81" s="10" t="inlineStr">
        <is>
          <t>E-liquid and hardware shop</t>
        </is>
      </c>
      <c r="G81" s="10" t="inlineStr">
        <is>
          <t>Independent</t>
        </is>
      </c>
      <c r="H81" s="10" t="inlineStr">
        <is>
          <t>1</t>
        </is>
      </c>
      <c r="I81" s="10" t="inlineStr">
        <is>
          <t>223-231 Ashby High Street</t>
        </is>
      </c>
      <c r="J81" s="10" t="inlineStr">
        <is>
          <t>Scunthorpe</t>
        </is>
      </c>
      <c r="K81" s="10" t="inlineStr"/>
      <c r="L81" s="10" t="inlineStr">
        <is>
          <t>01724 858999</t>
        </is>
      </c>
      <c r="M81" s="10" t="inlineStr"/>
      <c r="N81" s="10" t="inlineStr"/>
      <c r="O81" s="10" t="inlineStr"/>
      <c r="P81" s="10" t="inlineStr"/>
      <c r="Q81" s="10" t="inlineStr"/>
      <c r="R81" s="10" t="inlineStr"/>
      <c r="S81" s="10" t="inlineStr"/>
      <c r="T81" s="10" t="inlineStr"/>
      <c r="U81" s="10" t="inlineStr"/>
      <c r="V81" s="10" t="inlineStr">
        <is>
          <t>Medium</t>
        </is>
      </c>
      <c r="W81" s="10" t="inlineStr">
        <is>
          <t>Independent retailer; Core relevant category</t>
        </is>
      </c>
      <c r="X81" s="10" t="inlineStr">
        <is>
          <t>Verified directory</t>
        </is>
      </c>
      <c r="Y81" s="10" t="inlineStr">
        <is>
          <t>Not Found</t>
        </is>
      </c>
      <c r="Z81" s="10" t="inlineStr">
        <is>
          <t>Low</t>
        </is>
      </c>
      <c r="AA81" s="10" t="inlineStr">
        <is>
          <t>Requires Verification</t>
        </is>
      </c>
      <c r="AB81" s="10" t="inlineStr">
        <is>
          <t>https://ecigdirectory.co.uk/vape-shop/listing/the-vape-lounge-scunthorpe</t>
        </is>
      </c>
    </row>
    <row r="82">
      <c r="A82" s="5" t="inlineStr">
        <is>
          <t>UK-000285</t>
        </is>
      </c>
      <c r="B82" s="5" t="inlineStr">
        <is>
          <t>UK-000285-01</t>
        </is>
      </c>
      <c r="C82" s="5" t="inlineStr"/>
      <c r="D82" s="5" t="inlineStr">
        <is>
          <t>The Vape Lounge Thirsk</t>
        </is>
      </c>
      <c r="E82" s="5" t="inlineStr">
        <is>
          <t>Vape Shop</t>
        </is>
      </c>
      <c r="F82" s="5" t="inlineStr">
        <is>
          <t>Vape hardware &amp; e-liquid shop</t>
        </is>
      </c>
      <c r="G82" s="5" t="inlineStr">
        <is>
          <t>Independent</t>
        </is>
      </c>
      <c r="H82" s="5" t="inlineStr">
        <is>
          <t>1</t>
        </is>
      </c>
      <c r="I82" s="5" t="inlineStr">
        <is>
          <t>7 Market Place</t>
        </is>
      </c>
      <c r="J82" s="5" t="inlineStr">
        <is>
          <t>Thirsk</t>
        </is>
      </c>
      <c r="K82" s="5" t="inlineStr">
        <is>
          <t>YO7 1HQ</t>
        </is>
      </c>
      <c r="L82" s="5" t="inlineStr">
        <is>
          <t>01845 525571</t>
        </is>
      </c>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Verified directory</t>
        </is>
      </c>
      <c r="Y82" s="5" t="inlineStr">
        <is>
          <t>Not Found</t>
        </is>
      </c>
      <c r="Z82" s="5" t="inlineStr">
        <is>
          <t>Medium</t>
        </is>
      </c>
      <c r="AA82" s="5" t="inlineStr">
        <is>
          <t>Requires Verification</t>
        </is>
      </c>
      <c r="AB82" s="5" t="inlineStr">
        <is>
          <t>https://directory.crewechronicle.co.uk/company/742362676371456</t>
        </is>
      </c>
    </row>
    <row r="83">
      <c r="A83" s="10" t="inlineStr">
        <is>
          <t>WY-0162</t>
        </is>
      </c>
      <c r="B83" s="10" t="inlineStr">
        <is>
          <t>WY-0162-01</t>
        </is>
      </c>
      <c r="C83" s="10" t="inlineStr"/>
      <c r="D83" s="10" t="inlineStr">
        <is>
          <t>The Vape Shop Wakefield</t>
        </is>
      </c>
      <c r="E83" s="10" t="inlineStr">
        <is>
          <t>Vape Shop</t>
        </is>
      </c>
      <c r="F83" s="10" t="inlineStr">
        <is>
          <t>E-cigarettes and e-liquids (American and British ranges)</t>
        </is>
      </c>
      <c r="G83" s="10" t="inlineStr">
        <is>
          <t>Independent</t>
        </is>
      </c>
      <c r="H83" s="10" t="inlineStr">
        <is>
          <t>1</t>
        </is>
      </c>
      <c r="I83" s="10" t="inlineStr">
        <is>
          <t>Horbury Road</t>
        </is>
      </c>
      <c r="J83" s="10" t="inlineStr">
        <is>
          <t>Wakefield</t>
        </is>
      </c>
      <c r="K83" s="10" t="inlineStr"/>
      <c r="L83" s="10" t="inlineStr"/>
      <c r="M83" s="10" t="inlineStr"/>
      <c r="N83" s="10" t="inlineStr"/>
      <c r="O83" s="10" t="inlineStr"/>
      <c r="P83" s="10" t="inlineStr">
        <is>
          <t>https://www.facebook.com/vapeshopwakefield.uk/</t>
        </is>
      </c>
      <c r="Q83" s="10" t="inlineStr"/>
      <c r="R83" s="10" t="inlineStr"/>
      <c r="S83" s="10" t="inlineStr"/>
      <c r="T83" s="10" t="inlineStr"/>
      <c r="U83" s="10" t="inlineStr"/>
      <c r="V83" s="10" t="inlineStr">
        <is>
          <t>Medium</t>
        </is>
      </c>
      <c r="W83" s="10" t="inlineStr">
        <is>
          <t>Independent retailer; Core relevant category; Social presence</t>
        </is>
      </c>
      <c r="X83" s="10" t="inlineStr">
        <is>
          <t>Not Found</t>
        </is>
      </c>
      <c r="Y83" s="10" t="inlineStr">
        <is>
          <t>Not Found</t>
        </is>
      </c>
      <c r="Z83" s="10" t="inlineStr">
        <is>
          <t>Low</t>
        </is>
      </c>
      <c r="AA83" s="10" t="inlineStr">
        <is>
          <t>Requires Verification</t>
        </is>
      </c>
      <c r="AB83" s="10" t="inlineStr">
        <is>
          <t>https://www.facebook.com/vapeshopwakefield.uk/</t>
        </is>
      </c>
    </row>
    <row r="84">
      <c r="A84" s="5" t="inlineStr">
        <is>
          <t>UK-000286</t>
        </is>
      </c>
      <c r="B84" s="5" t="inlineStr">
        <is>
          <t>UK-000286-01</t>
        </is>
      </c>
      <c r="C84" s="5" t="inlineStr"/>
      <c r="D84" s="5" t="inlineStr">
        <is>
          <t>The Vape Supermarket</t>
        </is>
      </c>
      <c r="E84" s="5" t="inlineStr">
        <is>
          <t>Vape Shop</t>
        </is>
      </c>
      <c r="F84" s="5" t="inlineStr">
        <is>
          <t>Vape shop</t>
        </is>
      </c>
      <c r="G84" s="5" t="inlineStr">
        <is>
          <t>Independent</t>
        </is>
      </c>
      <c r="H84" s="5" t="inlineStr">
        <is>
          <t>1</t>
        </is>
      </c>
      <c r="I84" s="5" t="inlineStr"/>
      <c r="J84" s="5" t="inlineStr">
        <is>
          <t>Barnsley</t>
        </is>
      </c>
      <c r="K84" s="5" t="inlineStr"/>
      <c r="L84" s="5" t="inlineStr"/>
      <c r="M84" s="5" t="inlineStr"/>
      <c r="N84" s="5" t="inlineStr"/>
      <c r="O84" s="5" t="inlineStr"/>
      <c r="P84" s="5" t="inlineStr">
        <is>
          <t>https://www.facebook.com/TheVapeSupermarket/</t>
        </is>
      </c>
      <c r="Q84" s="5" t="inlineStr"/>
      <c r="R84" s="5" t="inlineStr"/>
      <c r="S84" s="5" t="inlineStr"/>
      <c r="T84" s="5" t="inlineStr"/>
      <c r="U84" s="5" t="inlineStr"/>
      <c r="V84" s="5" t="inlineStr">
        <is>
          <t>Medium</t>
        </is>
      </c>
      <c r="W84" s="5" t="inlineStr">
        <is>
          <t>Independent retailer; Core relevant category; Social presence</t>
        </is>
      </c>
      <c r="X84" s="5" t="inlineStr">
        <is>
          <t>Not Found</t>
        </is>
      </c>
      <c r="Y84" s="5" t="inlineStr">
        <is>
          <t>Not Found</t>
        </is>
      </c>
      <c r="Z84" s="5" t="inlineStr">
        <is>
          <t>Low</t>
        </is>
      </c>
      <c r="AA84" s="5" t="inlineStr">
        <is>
          <t>Requires Verification</t>
        </is>
      </c>
      <c r="AB84" s="5" t="inlineStr">
        <is>
          <t>https://www.facebook.com/TheVapeSupermarket/</t>
        </is>
      </c>
    </row>
    <row r="85">
      <c r="A85" s="10" t="inlineStr">
        <is>
          <t>UK-000287</t>
        </is>
      </c>
      <c r="B85" s="10" t="inlineStr">
        <is>
          <t>UK-000287-01</t>
        </is>
      </c>
      <c r="C85" s="10" t="inlineStr"/>
      <c r="D85" s="10" t="inlineStr">
        <is>
          <t>The Vapers Guild</t>
        </is>
      </c>
      <c r="E85" s="10" t="inlineStr">
        <is>
          <t>Vape Shop</t>
        </is>
      </c>
      <c r="F85" s="10" t="inlineStr">
        <is>
          <t>E-cigarette and e-liquid shop</t>
        </is>
      </c>
      <c r="G85" s="10" t="inlineStr">
        <is>
          <t>Independent</t>
        </is>
      </c>
      <c r="H85" s="10" t="inlineStr">
        <is>
          <t>1</t>
        </is>
      </c>
      <c r="I85" s="10" t="inlineStr"/>
      <c r="J85" s="10" t="inlineStr">
        <is>
          <t>Kingston upon Hull</t>
        </is>
      </c>
      <c r="K85" s="10" t="inlineStr"/>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Independent retailer; Core relevant category</t>
        </is>
      </c>
      <c r="X85" s="10" t="inlineStr">
        <is>
          <t>Not Found</t>
        </is>
      </c>
      <c r="Y85" s="10" t="inlineStr">
        <is>
          <t>Not Found</t>
        </is>
      </c>
      <c r="Z85" s="10" t="inlineStr">
        <is>
          <t>Low</t>
        </is>
      </c>
      <c r="AA85" s="10" t="inlineStr">
        <is>
          <t>Requires Verification</t>
        </is>
      </c>
      <c r="AB85" s="10" t="inlineStr">
        <is>
          <t>https://ecigdirectory.co.uk/vape-shop/listing/the-vapers-guild-hull</t>
        </is>
      </c>
    </row>
    <row r="86">
      <c r="A86" s="5" t="inlineStr">
        <is>
          <t>WY-0163</t>
        </is>
      </c>
      <c r="B86" s="5" t="inlineStr">
        <is>
          <t>WY-0163-01</t>
        </is>
      </c>
      <c r="C86" s="5" t="inlineStr"/>
      <c r="D86" s="5" t="inlineStr">
        <is>
          <t>The Vintage Vapour Co</t>
        </is>
      </c>
      <c r="E86" s="5" t="inlineStr">
        <is>
          <t>Vape Shop</t>
        </is>
      </c>
      <c r="F86" s="5" t="inlineStr">
        <is>
          <t>Vape retailer</t>
        </is>
      </c>
      <c r="G86" s="5" t="inlineStr">
        <is>
          <t>Independent</t>
        </is>
      </c>
      <c r="H86" s="5" t="inlineStr">
        <is>
          <t>1</t>
        </is>
      </c>
      <c r="I86" s="5" t="inlineStr">
        <is>
          <t>12 Town End</t>
        </is>
      </c>
      <c r="J86" s="5" t="inlineStr">
        <is>
          <t>Ossett</t>
        </is>
      </c>
      <c r="K86" s="5" t="inlineStr">
        <is>
          <t>WF5 8BJ</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Independent retailer; Core relevant category</t>
        </is>
      </c>
      <c r="X86" s="5" t="inlineStr">
        <is>
          <t>Not Found</t>
        </is>
      </c>
      <c r="Y86" s="5" t="inlineStr">
        <is>
          <t>Not Found</t>
        </is>
      </c>
      <c r="Z86" s="5" t="inlineStr">
        <is>
          <t>Low</t>
        </is>
      </c>
      <c r="AA86" s="5" t="inlineStr">
        <is>
          <t>Requires Verification</t>
        </is>
      </c>
      <c r="AB86" s="5" t="inlineStr">
        <is>
          <t>https://vapegeezer.co.uk/vape-shop-directory/locations/west-yorkshire/</t>
        </is>
      </c>
    </row>
    <row r="87">
      <c r="A87" s="10" t="inlineStr">
        <is>
          <t>WY-0166</t>
        </is>
      </c>
      <c r="B87" s="10" t="inlineStr">
        <is>
          <t>WY-0166-01</t>
        </is>
      </c>
      <c r="C87" s="10" t="inlineStr"/>
      <c r="D87" s="10" t="inlineStr">
        <is>
          <t>Told Vape Co</t>
        </is>
      </c>
      <c r="E87" s="10" t="inlineStr">
        <is>
          <t>Vape Shop</t>
        </is>
      </c>
      <c r="F87" s="10" t="inlineStr">
        <is>
          <t>Vape retailer</t>
        </is>
      </c>
      <c r="G87" s="10" t="inlineStr">
        <is>
          <t>Independent</t>
        </is>
      </c>
      <c r="H87" s="10" t="inlineStr">
        <is>
          <t>1</t>
        </is>
      </c>
      <c r="I87" s="10" t="inlineStr">
        <is>
          <t>29 Queen Street</t>
        </is>
      </c>
      <c r="J87" s="10" t="inlineStr">
        <is>
          <t>Horbury</t>
        </is>
      </c>
      <c r="K87" s="10" t="inlineStr">
        <is>
          <t>WF4 6LP</t>
        </is>
      </c>
      <c r="L87" s="10" t="inlineStr"/>
      <c r="M87" s="10" t="inlineStr"/>
      <c r="N87" s="10" t="inlineStr"/>
      <c r="O87" s="10" t="inlineStr"/>
      <c r="P87" s="10" t="inlineStr"/>
      <c r="Q87" s="10" t="inlineStr"/>
      <c r="R87" s="10" t="inlineStr"/>
      <c r="S87" s="10" t="inlineStr"/>
      <c r="T87" s="10" t="inlineStr"/>
      <c r="U87" s="10" t="inlineStr"/>
      <c r="V87" s="10" t="inlineStr">
        <is>
          <t>Medium</t>
        </is>
      </c>
      <c r="W87" s="10" t="inlineStr">
        <is>
          <t>Independent retailer; Core relevant category</t>
        </is>
      </c>
      <c r="X87" s="10" t="inlineStr">
        <is>
          <t>Not Found</t>
        </is>
      </c>
      <c r="Y87" s="10" t="inlineStr">
        <is>
          <t>Not Found</t>
        </is>
      </c>
      <c r="Z87" s="10" t="inlineStr">
        <is>
          <t>Medium</t>
        </is>
      </c>
      <c r="AA87" s="10" t="inlineStr">
        <is>
          <t>Requires Verification</t>
        </is>
      </c>
      <c r="AB87" s="10" t="inlineStr">
        <is>
          <t>https://ecigdirectory.co.uk/vape-shop/listing/told-vape-co</t>
        </is>
      </c>
    </row>
    <row r="88">
      <c r="A88" s="5" t="inlineStr">
        <is>
          <t>WY-0171</t>
        </is>
      </c>
      <c r="B88" s="5" t="inlineStr">
        <is>
          <t>WY-0171-01</t>
        </is>
      </c>
      <c r="C88" s="5" t="inlineStr"/>
      <c r="D88" s="5" t="inlineStr">
        <is>
          <t>VAPE (Heckmondwike)</t>
        </is>
      </c>
      <c r="E88" s="5" t="inlineStr">
        <is>
          <t>Vape Shop</t>
        </is>
      </c>
      <c r="F88" s="5" t="inlineStr">
        <is>
          <t>Vape retailer</t>
        </is>
      </c>
      <c r="G88" s="5" t="inlineStr">
        <is>
          <t>Independent</t>
        </is>
      </c>
      <c r="H88" s="5" t="inlineStr">
        <is>
          <t>1</t>
        </is>
      </c>
      <c r="I88" s="5" t="inlineStr">
        <is>
          <t>36 Market Street</t>
        </is>
      </c>
      <c r="J88" s="5" t="inlineStr">
        <is>
          <t>Heckmondwike</t>
        </is>
      </c>
      <c r="K88" s="5" t="inlineStr">
        <is>
          <t>WF16 0JG</t>
        </is>
      </c>
      <c r="L88" s="5" t="inlineStr">
        <is>
          <t>01924 650140</t>
        </is>
      </c>
      <c r="M88" s="5" t="inlineStr"/>
      <c r="N88" s="5" t="inlineStr"/>
      <c r="O88" s="5" t="inlineStr"/>
      <c r="P88" s="5" t="inlineStr"/>
      <c r="Q88" s="5" t="inlineStr"/>
      <c r="R88" s="5" t="inlineStr"/>
      <c r="S88" s="5" t="inlineStr"/>
      <c r="T88" s="5" t="inlineStr"/>
      <c r="U88" s="5" t="inlineStr"/>
      <c r="V88" s="5" t="inlineStr">
        <is>
          <t>Medium</t>
        </is>
      </c>
      <c r="W88" s="5" t="inlineStr">
        <is>
          <t>Independent retailer; Core relevant category</t>
        </is>
      </c>
      <c r="X88" s="5" t="inlineStr">
        <is>
          <t>Verified directory</t>
        </is>
      </c>
      <c r="Y88" s="5" t="inlineStr">
        <is>
          <t>Not Found</t>
        </is>
      </c>
      <c r="Z88" s="5" t="inlineStr">
        <is>
          <t>Medium</t>
        </is>
      </c>
      <c r="AA88" s="5" t="inlineStr">
        <is>
          <t>Requires Verification</t>
        </is>
      </c>
      <c r="AB88" s="5" t="inlineStr">
        <is>
          <t>https://ecigdirectory.co.uk/vape-shop/listing/vape-heckmondwike</t>
        </is>
      </c>
    </row>
    <row r="89">
      <c r="A89" s="10" t="inlineStr">
        <is>
          <t>WY-0172</t>
        </is>
      </c>
      <c r="B89" s="10" t="inlineStr">
        <is>
          <t>WY-0172-01</t>
        </is>
      </c>
      <c r="C89" s="10" t="inlineStr"/>
      <c r="D89" s="10" t="inlineStr">
        <is>
          <t>Vape Dream</t>
        </is>
      </c>
      <c r="E89" s="10" t="inlineStr">
        <is>
          <t>Vape Shop</t>
        </is>
      </c>
      <c r="F89" s="10" t="inlineStr">
        <is>
          <t>Vape retailer</t>
        </is>
      </c>
      <c r="G89" s="10" t="inlineStr">
        <is>
          <t>Independent</t>
        </is>
      </c>
      <c r="H89" s="10" t="inlineStr">
        <is>
          <t>1</t>
        </is>
      </c>
      <c r="I89" s="10" t="inlineStr"/>
      <c r="J89" s="10" t="inlineStr">
        <is>
          <t>Dewsbury</t>
        </is>
      </c>
      <c r="K89" s="10" t="inlineStr"/>
      <c r="L89" s="10" t="inlineStr"/>
      <c r="M89" s="10" t="inlineStr"/>
      <c r="N89" s="10" t="inlineStr"/>
      <c r="O89" s="10" t="inlineStr"/>
      <c r="P89" s="10" t="inlineStr">
        <is>
          <t>https://www.facebook.com/p/Vape-Dream-Vape-Shop-61558567906935/</t>
        </is>
      </c>
      <c r="Q89" s="10" t="inlineStr"/>
      <c r="R89" s="10" t="inlineStr"/>
      <c r="S89" s="10" t="inlineStr"/>
      <c r="T89" s="10" t="inlineStr"/>
      <c r="U89" s="10" t="inlineStr"/>
      <c r="V89" s="10" t="inlineStr">
        <is>
          <t>Medium</t>
        </is>
      </c>
      <c r="W89" s="10" t="inlineStr">
        <is>
          <t>Independent retailer; Core relevant category; Social presence</t>
        </is>
      </c>
      <c r="X89" s="10" t="inlineStr">
        <is>
          <t>Not Found</t>
        </is>
      </c>
      <c r="Y89" s="10" t="inlineStr">
        <is>
          <t>Not Found</t>
        </is>
      </c>
      <c r="Z89" s="10" t="inlineStr">
        <is>
          <t>Low</t>
        </is>
      </c>
      <c r="AA89" s="10" t="inlineStr">
        <is>
          <t>Requires Verification</t>
        </is>
      </c>
      <c r="AB89" s="10" t="inlineStr">
        <is>
          <t>https://www.facebook.com/p/Vape-Dream-Vape-Shop-61558567906935/</t>
        </is>
      </c>
    </row>
    <row r="90">
      <c r="A90" s="5" t="inlineStr">
        <is>
          <t>UK-000288</t>
        </is>
      </c>
      <c r="B90" s="5" t="inlineStr">
        <is>
          <t>UK-000288-01</t>
        </is>
      </c>
      <c r="C90" s="5" t="inlineStr"/>
      <c r="D90" s="5" t="inlineStr">
        <is>
          <t>Vape HQ Stocksbridge</t>
        </is>
      </c>
      <c r="E90" s="5" t="inlineStr">
        <is>
          <t>Vape Shop</t>
        </is>
      </c>
      <c r="F90" s="5" t="inlineStr">
        <is>
          <t>Vape shop</t>
        </is>
      </c>
      <c r="G90" s="5" t="inlineStr">
        <is>
          <t>Independent</t>
        </is>
      </c>
      <c r="H90" s="5" t="inlineStr">
        <is>
          <t>1</t>
        </is>
      </c>
      <c r="I90" s="5" t="inlineStr"/>
      <c r="J90" s="5" t="inlineStr">
        <is>
          <t>Sheffield</t>
        </is>
      </c>
      <c r="K90" s="5" t="inlineStr"/>
      <c r="L90" s="5" t="inlineStr"/>
      <c r="M90" s="5" t="inlineStr"/>
      <c r="N90" s="5" t="inlineStr"/>
      <c r="O90" s="5" t="inlineStr"/>
      <c r="P90" s="5" t="inlineStr">
        <is>
          <t>https://www.facebook.com/VHQStocksbridge/</t>
        </is>
      </c>
      <c r="Q90" s="5" t="inlineStr"/>
      <c r="R90" s="5" t="inlineStr"/>
      <c r="S90" s="5" t="inlineStr"/>
      <c r="T90" s="5" t="inlineStr"/>
      <c r="U90" s="5" t="inlineStr"/>
      <c r="V90" s="5" t="inlineStr">
        <is>
          <t>Medium</t>
        </is>
      </c>
      <c r="W90" s="5" t="inlineStr">
        <is>
          <t>Independent retailer; Core relevant category; Social presence</t>
        </is>
      </c>
      <c r="X90" s="5" t="inlineStr">
        <is>
          <t>Not Found</t>
        </is>
      </c>
      <c r="Y90" s="5" t="inlineStr">
        <is>
          <t>Not Found</t>
        </is>
      </c>
      <c r="Z90" s="5" t="inlineStr">
        <is>
          <t>Low</t>
        </is>
      </c>
      <c r="AA90" s="5" t="inlineStr">
        <is>
          <t>Requires Verification</t>
        </is>
      </c>
      <c r="AB90" s="5" t="inlineStr">
        <is>
          <t>https://www.facebook.com/VHQStocksbridge/</t>
        </is>
      </c>
    </row>
    <row r="91">
      <c r="A91" s="10" t="inlineStr">
        <is>
          <t>WY-0173</t>
        </is>
      </c>
      <c r="B91" s="10" t="inlineStr">
        <is>
          <t>WY-0173-01</t>
        </is>
      </c>
      <c r="C91" s="10" t="inlineStr"/>
      <c r="D91" s="10" t="inlineStr">
        <is>
          <t>Vape N Go</t>
        </is>
      </c>
      <c r="E91" s="10" t="inlineStr">
        <is>
          <t>Vape Shop</t>
        </is>
      </c>
      <c r="F91" s="10" t="inlineStr"/>
      <c r="G91" s="10" t="inlineStr">
        <is>
          <t>Independent</t>
        </is>
      </c>
      <c r="H91" s="10" t="inlineStr">
        <is>
          <t>1</t>
        </is>
      </c>
      <c r="I91" s="10" t="inlineStr">
        <is>
          <t>14 The Square</t>
        </is>
      </c>
      <c r="J91" s="10" t="inlineStr">
        <is>
          <t>Halifax</t>
        </is>
      </c>
      <c r="K91" s="10" t="inlineStr">
        <is>
          <t>HX1 1RU</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Independent retailer; Core relevant category</t>
        </is>
      </c>
      <c r="X91" s="10" t="inlineStr">
        <is>
          <t>Not Found</t>
        </is>
      </c>
      <c r="Y91" s="10" t="inlineStr">
        <is>
          <t>Not Found</t>
        </is>
      </c>
      <c r="Z91" s="10" t="inlineStr">
        <is>
          <t>Low</t>
        </is>
      </c>
      <c r="AA91" s="10" t="inlineStr">
        <is>
          <t>Requires Verification</t>
        </is>
      </c>
      <c r="AB91" s="10" t="inlineStr">
        <is>
          <t>https://www.yell.com/s/tobacconists-halifax.html</t>
        </is>
      </c>
    </row>
    <row r="92">
      <c r="A92" s="5" t="inlineStr">
        <is>
          <t>WY-0174</t>
        </is>
      </c>
      <c r="B92" s="5" t="inlineStr">
        <is>
          <t>WY-0174-01</t>
        </is>
      </c>
      <c r="C92" s="5" t="inlineStr"/>
      <c r="D92" s="5" t="inlineStr">
        <is>
          <t>Vape Nation UK</t>
        </is>
      </c>
      <c r="E92" s="5" t="inlineStr">
        <is>
          <t>Vape Shop</t>
        </is>
      </c>
      <c r="F92" s="5" t="inlineStr">
        <is>
          <t>E-cigarette / e-liquid retailer</t>
        </is>
      </c>
      <c r="G92" s="5" t="inlineStr">
        <is>
          <t>Independent</t>
        </is>
      </c>
      <c r="H92" s="5" t="inlineStr">
        <is>
          <t>1</t>
        </is>
      </c>
      <c r="I92" s="5" t="inlineStr">
        <is>
          <t>31 New Street</t>
        </is>
      </c>
      <c r="J92" s="5" t="inlineStr">
        <is>
          <t>Huddersfield</t>
        </is>
      </c>
      <c r="K92" s="5" t="inlineStr">
        <is>
          <t>HD1 2AZ</t>
        </is>
      </c>
      <c r="L92" s="5" t="inlineStr">
        <is>
          <t>07809 655738</t>
        </is>
      </c>
      <c r="M92" s="5" t="inlineStr">
        <is>
          <t>info@vapenationeshop.co.uk</t>
        </is>
      </c>
      <c r="N92" s="5" t="inlineStr"/>
      <c r="O92" s="5" t="inlineStr">
        <is>
          <t>https://vapenationeshop.co.uk/</t>
        </is>
      </c>
      <c r="P92" s="5" t="inlineStr"/>
      <c r="Q92" s="5" t="inlineStr"/>
      <c r="R92" s="5" t="inlineStr"/>
      <c r="S92" s="5" t="inlineStr"/>
      <c r="T92" s="5" t="inlineStr"/>
      <c r="U92" s="5" t="inlineStr"/>
      <c r="V92" s="5" t="inlineStr">
        <is>
          <t>Medium</t>
        </is>
      </c>
      <c r="W92" s="5" t="inlineStr">
        <is>
          <t>Independent retailer; Core relevant category; Public email available; Active website</t>
        </is>
      </c>
      <c r="X92" s="5" t="inlineStr">
        <is>
          <t>Verified directory</t>
        </is>
      </c>
      <c r="Y92" s="5" t="inlineStr">
        <is>
          <t>Website Found</t>
        </is>
      </c>
      <c r="Z92" s="5" t="inlineStr">
        <is>
          <t>Medium</t>
        </is>
      </c>
      <c r="AA92" s="5" t="inlineStr">
        <is>
          <t>Partially Verified</t>
        </is>
      </c>
      <c r="AB92" s="5" t="inlineStr">
        <is>
          <t>https://vapenationeshop.co.uk/contact-us/</t>
        </is>
      </c>
    </row>
    <row r="93">
      <c r="A93" s="10" t="inlineStr">
        <is>
          <t>UK-000289</t>
        </is>
      </c>
      <c r="B93" s="10" t="inlineStr">
        <is>
          <t>UK-000289-01</t>
        </is>
      </c>
      <c r="C93" s="10" t="inlineStr"/>
      <c r="D93" s="10" t="inlineStr">
        <is>
          <t>Vape Newland</t>
        </is>
      </c>
      <c r="E93" s="10" t="inlineStr">
        <is>
          <t>Vape Shop</t>
        </is>
      </c>
      <c r="F93" s="10" t="inlineStr">
        <is>
          <t>E-liquid and hardware shop</t>
        </is>
      </c>
      <c r="G93" s="10" t="inlineStr">
        <is>
          <t>Independent</t>
        </is>
      </c>
      <c r="H93" s="10" t="inlineStr">
        <is>
          <t>1</t>
        </is>
      </c>
      <c r="I93" s="10" t="inlineStr">
        <is>
          <t>124 Newland Avenue</t>
        </is>
      </c>
      <c r="J93" s="10" t="inlineStr">
        <is>
          <t>Kingston upon Hull</t>
        </is>
      </c>
      <c r="K93" s="10" t="inlineStr"/>
      <c r="L93" s="10" t="inlineStr"/>
      <c r="M93" s="10" t="inlineStr"/>
      <c r="N93" s="10" t="inlineStr"/>
      <c r="O93" s="10" t="inlineStr"/>
      <c r="P93" s="10" t="inlineStr">
        <is>
          <t>https://www.facebook.com/p/Vape-Newland-100086500027739/</t>
        </is>
      </c>
      <c r="Q93" s="10" t="inlineStr"/>
      <c r="R93" s="10" t="inlineStr"/>
      <c r="S93" s="10" t="inlineStr"/>
      <c r="T93" s="10" t="inlineStr"/>
      <c r="U93" s="10" t="inlineStr"/>
      <c r="V93" s="10" t="inlineStr">
        <is>
          <t>Medium</t>
        </is>
      </c>
      <c r="W93" s="10" t="inlineStr">
        <is>
          <t>Independent retailer; Core relevant category; Social presence</t>
        </is>
      </c>
      <c r="X93" s="10" t="inlineStr">
        <is>
          <t>Not Found</t>
        </is>
      </c>
      <c r="Y93" s="10" t="inlineStr">
        <is>
          <t>Not Found</t>
        </is>
      </c>
      <c r="Z93" s="10" t="inlineStr">
        <is>
          <t>Low</t>
        </is>
      </c>
      <c r="AA93" s="10" t="inlineStr">
        <is>
          <t>Requires Verification</t>
        </is>
      </c>
      <c r="AB93" s="10" t="inlineStr">
        <is>
          <t>https://www.facebook.com/p/Vape-Newland-100086500027739/</t>
        </is>
      </c>
    </row>
    <row r="94">
      <c r="A94" s="5" t="inlineStr">
        <is>
          <t>WY-0175</t>
        </is>
      </c>
      <c r="B94" s="5" t="inlineStr">
        <is>
          <t>WY-0175-01</t>
        </is>
      </c>
      <c r="C94" s="5" t="inlineStr"/>
      <c r="D94" s="5" t="inlineStr">
        <is>
          <t>Vape Road</t>
        </is>
      </c>
      <c r="E94" s="5" t="inlineStr">
        <is>
          <t>Vape Shop</t>
        </is>
      </c>
      <c r="F94" s="5" t="inlineStr"/>
      <c r="G94" s="5" t="inlineStr">
        <is>
          <t>Independent</t>
        </is>
      </c>
      <c r="H94" s="5" t="inlineStr">
        <is>
          <t>1</t>
        </is>
      </c>
      <c r="I94" s="5" t="inlineStr">
        <is>
          <t>66 Commercial Street</t>
        </is>
      </c>
      <c r="J94" s="5" t="inlineStr">
        <is>
          <t>Brighouse</t>
        </is>
      </c>
      <c r="K94" s="5" t="inlineStr">
        <is>
          <t>HD6 1AQ</t>
        </is>
      </c>
      <c r="L94" s="5" t="inlineStr">
        <is>
          <t>01484 917785</t>
        </is>
      </c>
      <c r="M94" s="5" t="inlineStr"/>
      <c r="N94" s="5" t="inlineStr"/>
      <c r="O94" s="5" t="inlineStr"/>
      <c r="P94" s="5" t="inlineStr"/>
      <c r="Q94" s="5" t="inlineStr"/>
      <c r="R94" s="5" t="inlineStr"/>
      <c r="S94" s="5" t="inlineStr"/>
      <c r="T94" s="5" t="inlineStr"/>
      <c r="U94" s="5" t="inlineStr"/>
      <c r="V94" s="5" t="inlineStr">
        <is>
          <t>Medium</t>
        </is>
      </c>
      <c r="W94" s="5" t="inlineStr">
        <is>
          <t>Independent retailer; Core relevant category</t>
        </is>
      </c>
      <c r="X94" s="5" t="inlineStr">
        <is>
          <t>Verified directory</t>
        </is>
      </c>
      <c r="Y94" s="5" t="inlineStr">
        <is>
          <t>Not Found</t>
        </is>
      </c>
      <c r="Z94" s="5" t="inlineStr">
        <is>
          <t>Medium</t>
        </is>
      </c>
      <c r="AA94" s="5" t="inlineStr">
        <is>
          <t>Requires Verification</t>
        </is>
      </c>
      <c r="AB94" s="5" t="inlineStr">
        <is>
          <t>https://brighouse.cylex-uk.co.uk/company/vape-road-27599481.html</t>
        </is>
      </c>
    </row>
    <row r="95">
      <c r="A95" s="10" t="inlineStr">
        <is>
          <t>WY-0176</t>
        </is>
      </c>
      <c r="B95" s="10" t="inlineStr">
        <is>
          <t>WY-0176-01</t>
        </is>
      </c>
      <c r="C95" s="10" t="inlineStr"/>
      <c r="D95" s="10" t="inlineStr">
        <is>
          <t>Vape Road Cleckheaton</t>
        </is>
      </c>
      <c r="E95" s="10" t="inlineStr">
        <is>
          <t>Vape Shop</t>
        </is>
      </c>
      <c r="F95" s="10" t="inlineStr">
        <is>
          <t>Vape retailer</t>
        </is>
      </c>
      <c r="G95" s="10" t="inlineStr">
        <is>
          <t>Independent</t>
        </is>
      </c>
      <c r="H95" s="10" t="inlineStr">
        <is>
          <t>1</t>
        </is>
      </c>
      <c r="I95" s="10" t="inlineStr">
        <is>
          <t>Railway Street</t>
        </is>
      </c>
      <c r="J95" s="10" t="inlineStr">
        <is>
          <t>Cleckheaton</t>
        </is>
      </c>
      <c r="K95" s="10" t="inlineStr"/>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Independent retailer; Core relevant category</t>
        </is>
      </c>
      <c r="X95" s="10" t="inlineStr">
        <is>
          <t>Not Found</t>
        </is>
      </c>
      <c r="Y95" s="10" t="inlineStr">
        <is>
          <t>Not Found</t>
        </is>
      </c>
      <c r="Z95" s="10" t="inlineStr">
        <is>
          <t>Low</t>
        </is>
      </c>
      <c r="AA95" s="10" t="inlineStr">
        <is>
          <t>Requires Verification</t>
        </is>
      </c>
      <c r="AB95" s="10" t="inlineStr">
        <is>
          <t>https://cleckheaton.cylex-uk.co.uk/company/vape-road-cleckheaton-26986187.html</t>
        </is>
      </c>
    </row>
    <row r="96">
      <c r="A96" s="5" t="inlineStr">
        <is>
          <t>UK-000290</t>
        </is>
      </c>
      <c r="B96" s="5" t="inlineStr">
        <is>
          <t>UK-000290-01</t>
        </is>
      </c>
      <c r="C96" s="5" t="inlineStr"/>
      <c r="D96" s="5" t="inlineStr">
        <is>
          <t>Vape Safe Bridlington</t>
        </is>
      </c>
      <c r="E96" s="5" t="inlineStr">
        <is>
          <t>Vape Shop</t>
        </is>
      </c>
      <c r="F96" s="5" t="inlineStr">
        <is>
          <t>E-liquid and hardware shop</t>
        </is>
      </c>
      <c r="G96" s="5" t="inlineStr">
        <is>
          <t>Independent</t>
        </is>
      </c>
      <c r="H96" s="5" t="inlineStr">
        <is>
          <t>1</t>
        </is>
      </c>
      <c r="I96" s="5" t="inlineStr">
        <is>
          <t>4b Promenade</t>
        </is>
      </c>
      <c r="J96" s="5" t="inlineStr">
        <is>
          <t>Bridlington</t>
        </is>
      </c>
      <c r="K96" s="5" t="inlineStr">
        <is>
          <t>YO15 2PX</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Independent retailer; Core relevant category</t>
        </is>
      </c>
      <c r="X96" s="5" t="inlineStr">
        <is>
          <t>Not Found</t>
        </is>
      </c>
      <c r="Y96" s="5" t="inlineStr">
        <is>
          <t>Not Found</t>
        </is>
      </c>
      <c r="Z96" s="5" t="inlineStr">
        <is>
          <t>Low</t>
        </is>
      </c>
      <c r="AA96" s="5" t="inlineStr">
        <is>
          <t>Requires Verification</t>
        </is>
      </c>
      <c r="AB96" s="5" t="inlineStr">
        <is>
          <t>https://www.yell.com/s/vape+shops-bridlington.html</t>
        </is>
      </c>
    </row>
    <row r="97">
      <c r="A97" s="10" t="inlineStr">
        <is>
          <t>UK-000291</t>
        </is>
      </c>
      <c r="B97" s="10" t="inlineStr">
        <is>
          <t>UK-000291-01</t>
        </is>
      </c>
      <c r="C97" s="10" t="inlineStr"/>
      <c r="D97" s="10" t="inlineStr">
        <is>
          <t>Vape Store &amp; Bargains Galore</t>
        </is>
      </c>
      <c r="E97" s="10" t="inlineStr">
        <is>
          <t>Vape Shop</t>
        </is>
      </c>
      <c r="F97" s="10" t="inlineStr">
        <is>
          <t>Vape shop and discount store</t>
        </is>
      </c>
      <c r="G97" s="10" t="inlineStr">
        <is>
          <t>Independent</t>
        </is>
      </c>
      <c r="H97" s="10" t="inlineStr">
        <is>
          <t>1</t>
        </is>
      </c>
      <c r="I97" s="10" t="inlineStr"/>
      <c r="J97" s="10" t="inlineStr">
        <is>
          <t>Barnsley</t>
        </is>
      </c>
      <c r="K97" s="10" t="inlineStr"/>
      <c r="L97" s="10" t="inlineStr"/>
      <c r="M97" s="10" t="inlineStr"/>
      <c r="N97" s="10" t="inlineStr"/>
      <c r="O97" s="10" t="inlineStr"/>
      <c r="P97" s="10" t="inlineStr">
        <is>
          <t>https://www.facebook.com/VapeStorebarnsley/</t>
        </is>
      </c>
      <c r="Q97" s="10" t="inlineStr"/>
      <c r="R97" s="10" t="inlineStr"/>
      <c r="S97" s="10" t="inlineStr"/>
      <c r="T97" s="10" t="inlineStr"/>
      <c r="U97" s="10" t="inlineStr"/>
      <c r="V97" s="10" t="inlineStr">
        <is>
          <t>Medium</t>
        </is>
      </c>
      <c r="W97" s="10" t="inlineStr">
        <is>
          <t>Independent retailer; Core relevant category; Social presence</t>
        </is>
      </c>
      <c r="X97" s="10" t="inlineStr">
        <is>
          <t>Not Found</t>
        </is>
      </c>
      <c r="Y97" s="10" t="inlineStr">
        <is>
          <t>Not Found</t>
        </is>
      </c>
      <c r="Z97" s="10" t="inlineStr">
        <is>
          <t>Low</t>
        </is>
      </c>
      <c r="AA97" s="10" t="inlineStr">
        <is>
          <t>Requires Verification</t>
        </is>
      </c>
      <c r="AB97" s="10" t="inlineStr">
        <is>
          <t>https://www.yell.com/biz/vape-store-and-bargains-galore-barnsley-10072936/</t>
        </is>
      </c>
    </row>
    <row r="98">
      <c r="A98" s="5" t="inlineStr">
        <is>
          <t>WY-0177</t>
        </is>
      </c>
      <c r="B98" s="5" t="inlineStr">
        <is>
          <t>WY-0177-01</t>
        </is>
      </c>
      <c r="C98" s="5" t="inlineStr"/>
      <c r="D98" s="5" t="inlineStr">
        <is>
          <t>Vape Suite</t>
        </is>
      </c>
      <c r="E98" s="5" t="inlineStr">
        <is>
          <t>Vape Shop</t>
        </is>
      </c>
      <c r="F98" s="5" t="inlineStr">
        <is>
          <t>E-cigarette / e-liquid / disposables retailer</t>
        </is>
      </c>
      <c r="G98" s="5" t="inlineStr">
        <is>
          <t>Independent</t>
        </is>
      </c>
      <c r="H98" s="5" t="inlineStr">
        <is>
          <t>1</t>
        </is>
      </c>
      <c r="I98" s="5" t="inlineStr">
        <is>
          <t>7 King Street</t>
        </is>
      </c>
      <c r="J98" s="5" t="inlineStr">
        <is>
          <t>Huddersfield</t>
        </is>
      </c>
      <c r="K98" s="5" t="inlineStr">
        <is>
          <t>HD1 2QD</t>
        </is>
      </c>
      <c r="L98" s="5" t="inlineStr">
        <is>
          <t>01484 312366</t>
        </is>
      </c>
      <c r="M98" s="5" t="inlineStr"/>
      <c r="N98" s="5" t="inlineStr"/>
      <c r="O98" s="5" t="inlineStr"/>
      <c r="P98" s="5" t="inlineStr"/>
      <c r="Q98" s="5" t="inlineStr"/>
      <c r="R98" s="5" t="inlineStr"/>
      <c r="S98" s="5" t="inlineStr"/>
      <c r="T98" s="5" t="inlineStr">
        <is>
          <t>13476013</t>
        </is>
      </c>
      <c r="U98" s="5" t="inlineStr"/>
      <c r="V98" s="5" t="inlineStr">
        <is>
          <t>Medium</t>
        </is>
      </c>
      <c r="W98" s="5" t="inlineStr">
        <is>
          <t>Independent retailer; Core relevant category</t>
        </is>
      </c>
      <c r="X98" s="5" t="inlineStr">
        <is>
          <t>Verified directory</t>
        </is>
      </c>
      <c r="Y98" s="5" t="inlineStr">
        <is>
          <t>Not Found</t>
        </is>
      </c>
      <c r="Z98" s="5" t="inlineStr">
        <is>
          <t>Medium</t>
        </is>
      </c>
      <c r="AA98" s="5" t="inlineStr">
        <is>
          <t>Requires Verification</t>
        </is>
      </c>
      <c r="AB98" s="5" t="inlineStr">
        <is>
          <t>https://find-and-update.company-information.service.gov.uk/company/13476013</t>
        </is>
      </c>
    </row>
    <row r="99">
      <c r="A99" s="10" t="inlineStr">
        <is>
          <t>UK-000292</t>
        </is>
      </c>
      <c r="B99" s="10" t="inlineStr">
        <is>
          <t>UK-000292-01</t>
        </is>
      </c>
      <c r="C99" s="10" t="inlineStr"/>
      <c r="D99" s="10" t="inlineStr">
        <is>
          <t>Vape with Us Northallerton</t>
        </is>
      </c>
      <c r="E99" s="10" t="inlineStr">
        <is>
          <t>Vape Shop</t>
        </is>
      </c>
      <c r="F99" s="10" t="inlineStr">
        <is>
          <t>E-cigarette &amp; e-liquid retailer</t>
        </is>
      </c>
      <c r="G99" s="10" t="inlineStr">
        <is>
          <t>Independent</t>
        </is>
      </c>
      <c r="H99" s="10" t="inlineStr">
        <is>
          <t>1</t>
        </is>
      </c>
      <c r="I99" s="10" t="inlineStr">
        <is>
          <t>162 High Street</t>
        </is>
      </c>
      <c r="J99" s="10" t="inlineStr">
        <is>
          <t>Northallerton</t>
        </is>
      </c>
      <c r="K99" s="10" t="inlineStr">
        <is>
          <t>DL7 8JZ</t>
        </is>
      </c>
      <c r="L99" s="10" t="inlineStr">
        <is>
          <t>01609 772799</t>
        </is>
      </c>
      <c r="M99" s="10" t="inlineStr"/>
      <c r="N99" s="10" t="inlineStr"/>
      <c r="O99" s="10" t="inlineStr"/>
      <c r="P99" s="10" t="inlineStr">
        <is>
          <t>https://www.facebook.com/VAPEWITHUSNorthallerton/</t>
        </is>
      </c>
      <c r="Q99" s="10" t="inlineStr"/>
      <c r="R99" s="10" t="inlineStr"/>
      <c r="S99" s="10" t="inlineStr"/>
      <c r="T99" s="10" t="inlineStr"/>
      <c r="U99" s="10" t="inlineStr"/>
      <c r="V99" s="10" t="inlineStr">
        <is>
          <t>Medium</t>
        </is>
      </c>
      <c r="W99" s="10" t="inlineStr">
        <is>
          <t>Independent retailer; Core relevant category; Social presence</t>
        </is>
      </c>
      <c r="X99" s="10" t="inlineStr">
        <is>
          <t>Verified directory</t>
        </is>
      </c>
      <c r="Y99" s="10" t="inlineStr">
        <is>
          <t>Not Found</t>
        </is>
      </c>
      <c r="Z99" s="10" t="inlineStr">
        <is>
          <t>Medium</t>
        </is>
      </c>
      <c r="AA99" s="10" t="inlineStr">
        <is>
          <t>Requires Verification</t>
        </is>
      </c>
      <c r="AB99" s="10" t="inlineStr">
        <is>
          <t>https://www.facebook.com/VAPEWITHUSNorthallerton/</t>
        </is>
      </c>
    </row>
    <row r="100">
      <c r="A100" s="5" t="inlineStr">
        <is>
          <t>WY-0179</t>
        </is>
      </c>
      <c r="B100" s="5" t="inlineStr">
        <is>
          <t>WY-0179-01</t>
        </is>
      </c>
      <c r="C100" s="5" t="inlineStr"/>
      <c r="D100" s="5" t="inlineStr">
        <is>
          <t>VapeShop Leeds</t>
        </is>
      </c>
      <c r="E100" s="5" t="inlineStr">
        <is>
          <t>Vape Shop</t>
        </is>
      </c>
      <c r="F100" s="5" t="inlineStr">
        <is>
          <t>E-cigarette specialist</t>
        </is>
      </c>
      <c r="G100" s="5" t="inlineStr">
        <is>
          <t>Independent</t>
        </is>
      </c>
      <c r="H100" s="5" t="inlineStr">
        <is>
          <t>1</t>
        </is>
      </c>
      <c r="I100" s="5" t="inlineStr">
        <is>
          <t>229 Selby Road</t>
        </is>
      </c>
      <c r="J100" s="5" t="inlineStr">
        <is>
          <t>Leeds</t>
        </is>
      </c>
      <c r="K100" s="5" t="inlineStr">
        <is>
          <t>LS15 7HW</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Not Found</t>
        </is>
      </c>
      <c r="Y100" s="5" t="inlineStr">
        <is>
          <t>Not Found</t>
        </is>
      </c>
      <c r="Z100" s="5" t="inlineStr">
        <is>
          <t>Low</t>
        </is>
      </c>
      <c r="AA100" s="5" t="inlineStr">
        <is>
          <t>Requires Verification</t>
        </is>
      </c>
      <c r="AB100" s="5" t="inlineStr">
        <is>
          <t>https://ecigdirectory.co.uk/vape-shop/listing/vapeshop-leeds</t>
        </is>
      </c>
    </row>
    <row r="101">
      <c r="A101" s="10" t="inlineStr">
        <is>
          <t>WY-0180</t>
        </is>
      </c>
      <c r="B101" s="10" t="inlineStr">
        <is>
          <t>WY-0180-01</t>
        </is>
      </c>
      <c r="C101" s="10" t="inlineStr"/>
      <c r="D101" s="10" t="inlineStr">
        <is>
          <t>Vaperites</t>
        </is>
      </c>
      <c r="E101" s="10" t="inlineStr">
        <is>
          <t>Vape Shop</t>
        </is>
      </c>
      <c r="F101" s="10" t="inlineStr">
        <is>
          <t>Vape retailer and wholesaler</t>
        </is>
      </c>
      <c r="G101" s="10" t="inlineStr">
        <is>
          <t>Independent</t>
        </is>
      </c>
      <c r="H101" s="10" t="inlineStr">
        <is>
          <t>1</t>
        </is>
      </c>
      <c r="I101" s="10" t="inlineStr">
        <is>
          <t>9 Horse Fair</t>
        </is>
      </c>
      <c r="J101" s="10" t="inlineStr">
        <is>
          <t>Pontefract</t>
        </is>
      </c>
      <c r="K101" s="10" t="inlineStr">
        <is>
          <t>WF8 1PE</t>
        </is>
      </c>
      <c r="L101" s="10" t="inlineStr">
        <is>
          <t>01977 278484</t>
        </is>
      </c>
      <c r="M101" s="10" t="inlineStr">
        <is>
          <t>vaperite@gmail.com</t>
        </is>
      </c>
      <c r="N101" s="10" t="inlineStr"/>
      <c r="O101" s="10" t="inlineStr">
        <is>
          <t>https://vaperites.co.uk</t>
        </is>
      </c>
      <c r="P101" s="10" t="inlineStr">
        <is>
          <t>https://www.facebook.com/TheVapePeople/</t>
        </is>
      </c>
      <c r="Q101" s="10" t="inlineStr"/>
      <c r="R101" s="10" t="inlineStr"/>
      <c r="S101" s="10" t="inlineStr"/>
      <c r="T101" s="10" t="inlineStr"/>
      <c r="U101" s="10" t="inlineStr"/>
      <c r="V101" s="10" t="inlineStr">
        <is>
          <t>High</t>
        </is>
      </c>
      <c r="W101" s="10" t="inlineStr">
        <is>
          <t>Independent retailer; Core relevant category; Public email available; Active website; Social presence</t>
        </is>
      </c>
      <c r="X101" s="10" t="inlineStr">
        <is>
          <t>Verified directory</t>
        </is>
      </c>
      <c r="Y101" s="10" t="inlineStr">
        <is>
          <t>Unverified</t>
        </is>
      </c>
      <c r="Z101" s="10" t="inlineStr">
        <is>
          <t>Medium</t>
        </is>
      </c>
      <c r="AA101" s="10" t="inlineStr">
        <is>
          <t>Requires Verification</t>
        </is>
      </c>
      <c r="AB101" s="10" t="inlineStr">
        <is>
          <t>https://www.facebook.com/TheVapePeople/posts/new-opening-times9-horsefair-pontefract-wf8-1pe/417671657263981/</t>
        </is>
      </c>
    </row>
    <row r="102">
      <c r="A102" s="5" t="inlineStr">
        <is>
          <t>WY-0181</t>
        </is>
      </c>
      <c r="B102" s="5" t="inlineStr">
        <is>
          <t>WY-0181-01</t>
        </is>
      </c>
      <c r="C102" s="5" t="inlineStr"/>
      <c r="D102" s="5" t="inlineStr">
        <is>
          <t>Vapestation</t>
        </is>
      </c>
      <c r="E102" s="5" t="inlineStr">
        <is>
          <t>Vape Shop</t>
        </is>
      </c>
      <c r="F102" s="5" t="inlineStr">
        <is>
          <t>E-liquid and hardware specialist</t>
        </is>
      </c>
      <c r="G102" s="5" t="inlineStr">
        <is>
          <t>Independent</t>
        </is>
      </c>
      <c r="H102" s="5" t="inlineStr">
        <is>
          <t>1</t>
        </is>
      </c>
      <c r="I102" s="5" t="inlineStr">
        <is>
          <t>39a Horton Street</t>
        </is>
      </c>
      <c r="J102" s="5" t="inlineStr">
        <is>
          <t>Halifax</t>
        </is>
      </c>
      <c r="K102" s="5" t="inlineStr">
        <is>
          <t>HX1 1QE</t>
        </is>
      </c>
      <c r="L102" s="5" t="inlineStr">
        <is>
          <t>01422 365557</t>
        </is>
      </c>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 Social presence</t>
        </is>
      </c>
      <c r="X102" s="5" t="inlineStr">
        <is>
          <t>Verified directory</t>
        </is>
      </c>
      <c r="Y102" s="5" t="inlineStr">
        <is>
          <t>Not Found</t>
        </is>
      </c>
      <c r="Z102" s="5" t="inlineStr">
        <is>
          <t>Medium</t>
        </is>
      </c>
      <c r="AA102" s="5" t="inlineStr">
        <is>
          <t>Requires Verification</t>
        </is>
      </c>
      <c r="AB102" s="5" t="inlineStr">
        <is>
          <t>https://www.yell.com/biz/vape-station-halifax-8116342/</t>
        </is>
      </c>
    </row>
    <row r="103">
      <c r="A103" s="10" t="inlineStr">
        <is>
          <t>WY-0182</t>
        </is>
      </c>
      <c r="B103" s="10" t="inlineStr">
        <is>
          <t>WY-0182-01</t>
        </is>
      </c>
      <c r="C103" s="10" t="inlineStr"/>
      <c r="D103" s="10" t="inlineStr">
        <is>
          <t>Vaping Bar Normanton</t>
        </is>
      </c>
      <c r="E103" s="10" t="inlineStr">
        <is>
          <t>Vape Shop</t>
        </is>
      </c>
      <c r="F103" s="10" t="inlineStr">
        <is>
          <t>Vape retailer</t>
        </is>
      </c>
      <c r="G103" s="10" t="inlineStr">
        <is>
          <t>Independent</t>
        </is>
      </c>
      <c r="H103" s="10" t="inlineStr">
        <is>
          <t>1</t>
        </is>
      </c>
      <c r="I103" s="10" t="inlineStr"/>
      <c r="J103" s="10" t="inlineStr">
        <is>
          <t>Normanton</t>
        </is>
      </c>
      <c r="K103" s="10" t="inlineStr"/>
      <c r="L103" s="10" t="inlineStr"/>
      <c r="M103" s="10" t="inlineStr"/>
      <c r="N103" s="10" t="inlineStr"/>
      <c r="O103" s="10" t="inlineStr"/>
      <c r="P103" s="10" t="inlineStr">
        <is>
          <t>https://www.facebook.com/p/Vaping-Bar-Normanton-100063635944918/</t>
        </is>
      </c>
      <c r="Q103" s="10" t="inlineStr"/>
      <c r="R103" s="10" t="inlineStr"/>
      <c r="S103" s="10" t="inlineStr"/>
      <c r="T103" s="10" t="inlineStr"/>
      <c r="U103" s="10" t="inlineStr"/>
      <c r="V103" s="10" t="inlineStr">
        <is>
          <t>Medium</t>
        </is>
      </c>
      <c r="W103" s="10" t="inlineStr">
        <is>
          <t>Independent retailer; Core relevant category; Social presence</t>
        </is>
      </c>
      <c r="X103" s="10" t="inlineStr">
        <is>
          <t>Not Found</t>
        </is>
      </c>
      <c r="Y103" s="10" t="inlineStr">
        <is>
          <t>Not Found</t>
        </is>
      </c>
      <c r="Z103" s="10" t="inlineStr">
        <is>
          <t>Low</t>
        </is>
      </c>
      <c r="AA103" s="10" t="inlineStr">
        <is>
          <t>Requires Verification</t>
        </is>
      </c>
      <c r="AB103" s="10" t="inlineStr">
        <is>
          <t>https://www.facebook.com/p/Vaping-Bar-Normanton-100063635944918/</t>
        </is>
      </c>
    </row>
    <row r="104">
      <c r="A104" s="5" t="inlineStr">
        <is>
          <t>UK-000293</t>
        </is>
      </c>
      <c r="B104" s="5" t="inlineStr">
        <is>
          <t>UK-000293-01</t>
        </is>
      </c>
      <c r="C104" s="5" t="inlineStr"/>
      <c r="D104" s="5" t="inlineStr">
        <is>
          <t>Vaping Cloud</t>
        </is>
      </c>
      <c r="E104" s="5" t="inlineStr">
        <is>
          <t>Vape Shop</t>
        </is>
      </c>
      <c r="F104" s="5" t="inlineStr">
        <is>
          <t>E-liquid shop</t>
        </is>
      </c>
      <c r="G104" s="5" t="inlineStr">
        <is>
          <t>Independent</t>
        </is>
      </c>
      <c r="H104" s="5" t="inlineStr">
        <is>
          <t>1</t>
        </is>
      </c>
      <c r="I104" s="5" t="inlineStr">
        <is>
          <t>3 Bedford Road</t>
        </is>
      </c>
      <c r="J104" s="5" t="inlineStr">
        <is>
          <t>Cleethorpes</t>
        </is>
      </c>
      <c r="K104" s="5" t="inlineStr">
        <is>
          <t>DN35 0PX</t>
        </is>
      </c>
      <c r="L104" s="5" t="inlineStr">
        <is>
          <t>01472 488770</t>
        </is>
      </c>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Verified directory</t>
        </is>
      </c>
      <c r="Y104" s="5" t="inlineStr">
        <is>
          <t>Not Found</t>
        </is>
      </c>
      <c r="Z104" s="5" t="inlineStr">
        <is>
          <t>Low</t>
        </is>
      </c>
      <c r="AA104" s="5" t="inlineStr">
        <is>
          <t>Requires Verification</t>
        </is>
      </c>
      <c r="AB104" s="5" t="inlineStr">
        <is>
          <t>https://ecigdirectory.co.uk/vape-shop/listing/vaping-lounge-high-street</t>
        </is>
      </c>
    </row>
    <row r="105">
      <c r="A105" s="10" t="inlineStr">
        <is>
          <t>WY-0183</t>
        </is>
      </c>
      <c r="B105" s="10" t="inlineStr">
        <is>
          <t>WY-0183-01</t>
        </is>
      </c>
      <c r="C105" s="10" t="inlineStr"/>
      <c r="D105" s="10" t="inlineStr">
        <is>
          <t>Vaporized Meanwood</t>
        </is>
      </c>
      <c r="E105" s="10" t="inlineStr">
        <is>
          <t>Vape Shop</t>
        </is>
      </c>
      <c r="F105" s="10" t="inlineStr">
        <is>
          <t>E-cigarette and e-liquid shop</t>
        </is>
      </c>
      <c r="G105" s="10" t="inlineStr">
        <is>
          <t>Unknown</t>
        </is>
      </c>
      <c r="H105" s="10" t="inlineStr">
        <is>
          <t>1</t>
        </is>
      </c>
      <c r="I105" s="10" t="inlineStr">
        <is>
          <t>16 Stonegate Road</t>
        </is>
      </c>
      <c r="J105" s="10" t="inlineStr">
        <is>
          <t>Leeds</t>
        </is>
      </c>
      <c r="K105" s="10" t="inlineStr">
        <is>
          <t>LS6 4HY</t>
        </is>
      </c>
      <c r="L105" s="10" t="inlineStr">
        <is>
          <t>0113 274 8997</t>
        </is>
      </c>
      <c r="M105" s="10" t="inlineStr"/>
      <c r="N105" s="10" t="inlineStr"/>
      <c r="O105" s="10" t="inlineStr"/>
      <c r="P105" s="10" t="inlineStr"/>
      <c r="Q105" s="10" t="inlineStr"/>
      <c r="R105" s="10" t="inlineStr"/>
      <c r="S105" s="10" t="inlineStr"/>
      <c r="T105" s="10" t="inlineStr"/>
      <c r="U105" s="10" t="inlineStr"/>
      <c r="V105" s="10" t="inlineStr">
        <is>
          <t>Low</t>
        </is>
      </c>
      <c r="W105" s="10" t="inlineStr">
        <is>
          <t>Core relevant category</t>
        </is>
      </c>
      <c r="X105" s="10" t="inlineStr">
        <is>
          <t>Verified directory</t>
        </is>
      </c>
      <c r="Y105" s="10" t="inlineStr">
        <is>
          <t>Not Found</t>
        </is>
      </c>
      <c r="Z105" s="10" t="inlineStr">
        <is>
          <t>Low</t>
        </is>
      </c>
      <c r="AA105" s="10" t="inlineStr">
        <is>
          <t>Requires Verification</t>
        </is>
      </c>
      <c r="AB105" s="10" t="inlineStr">
        <is>
          <t>https://ecigdirectory.co.uk/vape-shop/listing/vaporized-meanwood-leeds</t>
        </is>
      </c>
    </row>
    <row r="106">
      <c r="A106" s="5" t="inlineStr">
        <is>
          <t>WY-0184</t>
        </is>
      </c>
      <c r="B106" s="5" t="inlineStr">
        <is>
          <t>WY-0184-01</t>
        </is>
      </c>
      <c r="C106" s="5" t="inlineStr"/>
      <c r="D106" s="5" t="inlineStr">
        <is>
          <t>Vapour Parlour</t>
        </is>
      </c>
      <c r="E106" s="5" t="inlineStr">
        <is>
          <t>Vape Shop</t>
        </is>
      </c>
      <c r="F106" s="5" t="inlineStr">
        <is>
          <t>Vape retailer</t>
        </is>
      </c>
      <c r="G106" s="5" t="inlineStr">
        <is>
          <t>Independent</t>
        </is>
      </c>
      <c r="H106" s="5" t="inlineStr">
        <is>
          <t>1</t>
        </is>
      </c>
      <c r="I106" s="5" t="inlineStr">
        <is>
          <t>83 Kirkby Road</t>
        </is>
      </c>
      <c r="J106" s="5" t="inlineStr">
        <is>
          <t>Hemsworth</t>
        </is>
      </c>
      <c r="K106" s="5" t="inlineStr"/>
      <c r="L106" s="5" t="inlineStr"/>
      <c r="M106" s="5" t="inlineStr"/>
      <c r="N106" s="5" t="inlineStr"/>
      <c r="O106" s="5" t="inlineStr"/>
      <c r="P106" s="5" t="inlineStr"/>
      <c r="Q106" s="5" t="inlineStr"/>
      <c r="R106" s="5" t="inlineStr"/>
      <c r="S106" s="5" t="inlineStr"/>
      <c r="T106" s="5" t="inlineStr"/>
      <c r="U106" s="5" t="inlineStr"/>
      <c r="V106" s="5" t="inlineStr">
        <is>
          <t>Medium</t>
        </is>
      </c>
      <c r="W106" s="5" t="inlineStr">
        <is>
          <t>Independent retailer; Core relevant category</t>
        </is>
      </c>
      <c r="X106" s="5" t="inlineStr">
        <is>
          <t>Not Found</t>
        </is>
      </c>
      <c r="Y106" s="5" t="inlineStr">
        <is>
          <t>Not Found</t>
        </is>
      </c>
      <c r="Z106" s="5" t="inlineStr">
        <is>
          <t>Low</t>
        </is>
      </c>
      <c r="AA106" s="5" t="inlineStr">
        <is>
          <t>Requires Verification</t>
        </is>
      </c>
      <c r="AB106" s="5" t="inlineStr">
        <is>
          <t>https://ecigdirectory.co.uk/vape-shop/listing/vapour-parlour</t>
        </is>
      </c>
    </row>
    <row r="107">
      <c r="A107" s="10" t="inlineStr">
        <is>
          <t>UK-000294</t>
        </is>
      </c>
      <c r="B107" s="10" t="inlineStr">
        <is>
          <t>UK-000294-01</t>
        </is>
      </c>
      <c r="C107" s="10" t="inlineStr"/>
      <c r="D107" s="10" t="inlineStr">
        <is>
          <t>VapourWave Harrogate</t>
        </is>
      </c>
      <c r="E107" s="10" t="inlineStr">
        <is>
          <t>Vape Shop</t>
        </is>
      </c>
      <c r="F107" s="10" t="inlineStr">
        <is>
          <t>Pod kits, e-juice, coils &amp; shortfills</t>
        </is>
      </c>
      <c r="G107" s="10" t="inlineStr">
        <is>
          <t>Independent</t>
        </is>
      </c>
      <c r="H107" s="10" t="inlineStr">
        <is>
          <t>1</t>
        </is>
      </c>
      <c r="I107" s="10" t="inlineStr">
        <is>
          <t>25 Regent Parade</t>
        </is>
      </c>
      <c r="J107" s="10" t="inlineStr">
        <is>
          <t>Harrogate</t>
        </is>
      </c>
      <c r="K107" s="10" t="inlineStr">
        <is>
          <t>HG1 5AZ</t>
        </is>
      </c>
      <c r="L107" s="10" t="inlineStr">
        <is>
          <t>01423 601806</t>
        </is>
      </c>
      <c r="M107" s="10" t="inlineStr"/>
      <c r="N107" s="10" t="inlineStr"/>
      <c r="O107" s="10" t="inlineStr">
        <is>
          <t>https://www.vapour-wave.co.uk/</t>
        </is>
      </c>
      <c r="P107" s="10" t="inlineStr">
        <is>
          <t>https://www.facebook.com/VapourWaveHG/</t>
        </is>
      </c>
      <c r="Q107" s="10" t="inlineStr"/>
      <c r="R107" s="10" t="inlineStr"/>
      <c r="S107" s="10" t="inlineStr"/>
      <c r="T107" s="10" t="inlineStr"/>
      <c r="U107" s="10" t="inlineStr"/>
      <c r="V107" s="10" t="inlineStr">
        <is>
          <t>Medium</t>
        </is>
      </c>
      <c r="W107" s="10" t="inlineStr">
        <is>
          <t>Independent retailer; Core relevant category; Active website; Social presence</t>
        </is>
      </c>
      <c r="X107" s="10" t="inlineStr">
        <is>
          <t>Verified directory</t>
        </is>
      </c>
      <c r="Y107" s="10" t="inlineStr">
        <is>
          <t>Website Found</t>
        </is>
      </c>
      <c r="Z107" s="10" t="inlineStr">
        <is>
          <t>Medium</t>
        </is>
      </c>
      <c r="AA107" s="10" t="inlineStr">
        <is>
          <t>Requires Verification</t>
        </is>
      </c>
      <c r="AB107" s="10" t="inlineStr">
        <is>
          <t>https://www.vapour-wave.co.uk/location</t>
        </is>
      </c>
    </row>
    <row r="108">
      <c r="A108" s="5" t="inlineStr">
        <is>
          <t>WY-0191</t>
        </is>
      </c>
      <c r="B108" s="5" t="inlineStr">
        <is>
          <t>WY-0191-01</t>
        </is>
      </c>
      <c r="C108" s="5" t="inlineStr"/>
      <c r="D108" s="5" t="inlineStr">
        <is>
          <t>Zesty Vape</t>
        </is>
      </c>
      <c r="E108" s="5" t="inlineStr">
        <is>
          <t>Vape Shop</t>
        </is>
      </c>
      <c r="F108" s="5" t="inlineStr"/>
      <c r="G108" s="5" t="inlineStr">
        <is>
          <t>Independent</t>
        </is>
      </c>
      <c r="H108" s="5" t="inlineStr">
        <is>
          <t>1</t>
        </is>
      </c>
      <c r="I108" s="5" t="inlineStr">
        <is>
          <t>108 Commercial Street</t>
        </is>
      </c>
      <c r="J108" s="5" t="inlineStr">
        <is>
          <t>Brighouse</t>
        </is>
      </c>
      <c r="K108" s="5" t="inlineStr">
        <is>
          <t>HD6 1AQ</t>
        </is>
      </c>
      <c r="L108" s="5" t="inlineStr">
        <is>
          <t>01484 722183</t>
        </is>
      </c>
      <c r="M108" s="5" t="inlineStr"/>
      <c r="N108" s="5" t="inlineStr"/>
      <c r="O108" s="5" t="inlineStr"/>
      <c r="P108" s="5" t="inlineStr"/>
      <c r="Q108" s="5" t="inlineStr"/>
      <c r="R108" s="5" t="inlineStr"/>
      <c r="S108" s="5" t="inlineStr"/>
      <c r="T108" s="5" t="inlineStr"/>
      <c r="U108" s="5" t="inlineStr"/>
      <c r="V108" s="5" t="inlineStr">
        <is>
          <t>Medium</t>
        </is>
      </c>
      <c r="W108" s="5" t="inlineStr">
        <is>
          <t>Independent retailer; Core relevant category</t>
        </is>
      </c>
      <c r="X108" s="5" t="inlineStr">
        <is>
          <t>Verified directory</t>
        </is>
      </c>
      <c r="Y108" s="5" t="inlineStr">
        <is>
          <t>Not Found</t>
        </is>
      </c>
      <c r="Z108" s="5" t="inlineStr">
        <is>
          <t>Medium</t>
        </is>
      </c>
      <c r="AA108" s="5" t="inlineStr">
        <is>
          <t>Requires Verification</t>
        </is>
      </c>
      <c r="AB108" s="5" t="inlineStr">
        <is>
          <t>https://brighouse.cylex-uk.co.uk/vape-shops/</t>
        </is>
      </c>
    </row>
    <row r="109">
      <c r="A109" s="10" t="inlineStr">
        <is>
          <t>WY-0192</t>
        </is>
      </c>
      <c r="B109" s="10" t="inlineStr">
        <is>
          <t>WY-0192-01</t>
        </is>
      </c>
      <c r="C109" s="10" t="inlineStr"/>
      <c r="D109" s="10" t="inlineStr">
        <is>
          <t>eVape Outlet</t>
        </is>
      </c>
      <c r="E109" s="10" t="inlineStr">
        <is>
          <t>Vape Shop</t>
        </is>
      </c>
      <c r="F109" s="10" t="inlineStr">
        <is>
          <t>Vape shop</t>
        </is>
      </c>
      <c r="G109" s="10" t="inlineStr">
        <is>
          <t>Independent</t>
        </is>
      </c>
      <c r="H109" s="10" t="inlineStr">
        <is>
          <t>1</t>
        </is>
      </c>
      <c r="I109" s="10" t="inlineStr"/>
      <c r="J109" s="10" t="inlineStr">
        <is>
          <t>Keighley</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Not Found</t>
        </is>
      </c>
      <c r="Y109" s="10" t="inlineStr">
        <is>
          <t>Not Found</t>
        </is>
      </c>
      <c r="Z109" s="10" t="inlineStr">
        <is>
          <t>Low</t>
        </is>
      </c>
      <c r="AA109" s="10" t="inlineStr">
        <is>
          <t>Requires Verification</t>
        </is>
      </c>
      <c r="AB109" s="10" t="inlineStr">
        <is>
          <t>https://keighley.cylex-uk.co.uk/company/evape-outlet-27656791.html</t>
        </is>
      </c>
    </row>
    <row r="110">
      <c r="A110" s="5" t="inlineStr">
        <is>
          <t>WY-0193</t>
        </is>
      </c>
      <c r="B110" s="5" t="inlineStr">
        <is>
          <t>WY-0193-01</t>
        </is>
      </c>
      <c r="C110" s="5" t="inlineStr"/>
      <c r="D110" s="5" t="inlineStr">
        <is>
          <t>iVape Lounge</t>
        </is>
      </c>
      <c r="E110" s="5" t="inlineStr">
        <is>
          <t>Vape Shop</t>
        </is>
      </c>
      <c r="F110" s="5" t="inlineStr"/>
      <c r="G110" s="5" t="inlineStr">
        <is>
          <t>Independent</t>
        </is>
      </c>
      <c r="H110" s="5" t="inlineStr">
        <is>
          <t>1</t>
        </is>
      </c>
      <c r="I110" s="5" t="inlineStr">
        <is>
          <t>53 Halifax Road</t>
        </is>
      </c>
      <c r="J110" s="5" t="inlineStr">
        <is>
          <t>Todmorden</t>
        </is>
      </c>
      <c r="K110" s="5" t="inlineStr">
        <is>
          <t>OL14 5BB</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Independent retailer; Core relevant category</t>
        </is>
      </c>
      <c r="X110" s="5" t="inlineStr">
        <is>
          <t>Not Found</t>
        </is>
      </c>
      <c r="Y110" s="5" t="inlineStr">
        <is>
          <t>Not Found</t>
        </is>
      </c>
      <c r="Z110" s="5" t="inlineStr">
        <is>
          <t>Low</t>
        </is>
      </c>
      <c r="AA110" s="5" t="inlineStr">
        <is>
          <t>Requires Verification</t>
        </is>
      </c>
      <c r="AB110" s="5" t="inlineStr">
        <is>
          <t>https://ivape-lounge-todmorden-vape-shop.wheree.com/</t>
        </is>
      </c>
    </row>
  </sheetData>
  <autoFilter ref="A1:AB1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6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4" customWidth="1" min="3" max="3"/>
    <col width="45" customWidth="1" min="4" max="4"/>
    <col width="19"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UK-000195</t>
        </is>
      </c>
      <c r="B2" s="5" t="inlineStr">
        <is>
          <t>COSTCUTTER-01</t>
        </is>
      </c>
      <c r="C2" s="5" t="inlineStr">
        <is>
          <t>Costcutter</t>
        </is>
      </c>
      <c r="D2" s="5" t="inlineStr">
        <is>
          <t>Costcutter Tadcaster</t>
        </is>
      </c>
      <c r="E2" s="5" t="inlineStr">
        <is>
          <t>Convenience Store</t>
        </is>
      </c>
      <c r="F2" s="5" t="inlineStr">
        <is>
          <t>Symbol-group convenience store</t>
        </is>
      </c>
      <c r="G2" s="5" t="inlineStr">
        <is>
          <t>Franchise / Symbol Group</t>
        </is>
      </c>
      <c r="H2" s="5" t="inlineStr">
        <is>
          <t>1</t>
        </is>
      </c>
      <c r="I2" s="5" t="inlineStr"/>
      <c r="J2" s="5" t="inlineStr">
        <is>
          <t>Tadcaster</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https://www.yorkshire.com/tadcaster/shopping/corner-shops/costcutter-16</t>
        </is>
      </c>
    </row>
    <row r="3">
      <c r="A3" s="10" t="inlineStr">
        <is>
          <t>WY-0014</t>
        </is>
      </c>
      <c r="B3" s="10" t="inlineStr">
        <is>
          <t>GTNEWS-01</t>
        </is>
      </c>
      <c r="C3" s="10" t="inlineStr">
        <is>
          <t>GT News</t>
        </is>
      </c>
      <c r="D3" s="10" t="inlineStr">
        <is>
          <t>GT News (White Rose Shopping Centre)</t>
        </is>
      </c>
      <c r="E3" s="10" t="inlineStr">
        <is>
          <t>Newsagent</t>
        </is>
      </c>
      <c r="F3" s="10" t="inlineStr">
        <is>
          <t>Shopping-centre newsagent and convenience kiosk</t>
        </is>
      </c>
      <c r="G3" s="10" t="inlineStr">
        <is>
          <t>Multi-Site Independent</t>
        </is>
      </c>
      <c r="H3" s="10" t="inlineStr">
        <is>
          <t>2</t>
        </is>
      </c>
      <c r="I3" s="10" t="inlineStr">
        <is>
          <t>Unit 28E Lower Level, White Rose Shopping Centre</t>
        </is>
      </c>
      <c r="J3" s="10" t="inlineStr">
        <is>
          <t>Leeds</t>
        </is>
      </c>
      <c r="K3" s="10" t="inlineStr">
        <is>
          <t>LS11 8LU</t>
        </is>
      </c>
      <c r="L3" s="10" t="inlineStr">
        <is>
          <t>0113 228 6446</t>
        </is>
      </c>
      <c r="M3" s="10" t="inlineStr"/>
      <c r="N3" s="10" t="inlineStr"/>
      <c r="O3" s="10" t="inlineStr">
        <is>
          <t>http://www.gtnews.co.uk/</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Verified directory</t>
        </is>
      </c>
      <c r="Y3" s="10" t="inlineStr">
        <is>
          <t>Website Found</t>
        </is>
      </c>
      <c r="Z3" s="10" t="inlineStr">
        <is>
          <t>Medium</t>
        </is>
      </c>
      <c r="AA3" s="10" t="inlineStr">
        <is>
          <t>Requires Verification</t>
        </is>
      </c>
      <c r="AB3" s="10" t="inlineStr">
        <is>
          <t>https://www.leedsonline.co.uk/info/17974/</t>
        </is>
      </c>
    </row>
    <row r="4">
      <c r="A4" s="5" t="inlineStr">
        <is>
          <t>WY-0020</t>
        </is>
      </c>
      <c r="B4" s="5" t="inlineStr">
        <is>
          <t>MULLACO-02</t>
        </is>
      </c>
      <c r="C4" s="5" t="inlineStr">
        <is>
          <t>Mullaco</t>
        </is>
      </c>
      <c r="D4" s="5" t="inlineStr">
        <is>
          <t>Mullaco Minimarket (Dewsbury)</t>
        </is>
      </c>
      <c r="E4" s="5" t="inlineStr">
        <is>
          <t>Convenience Store</t>
        </is>
      </c>
      <c r="F4" s="5" t="inlineStr">
        <is>
          <t>World foods minimarket</t>
        </is>
      </c>
      <c r="G4" s="5" t="inlineStr">
        <is>
          <t>Regional Chain</t>
        </is>
      </c>
      <c r="H4" s="5" t="inlineStr">
        <is>
          <t>3</t>
        </is>
      </c>
      <c r="I4" s="5" t="inlineStr"/>
      <c r="J4" s="5" t="inlineStr">
        <is>
          <t>Dewsbury</t>
        </is>
      </c>
      <c r="K4" s="5" t="inlineStr">
        <is>
          <t>WF12 9LX</t>
        </is>
      </c>
      <c r="L4" s="5" t="inlineStr"/>
      <c r="M4" s="5" t="inlineStr"/>
      <c r="N4" s="5" t="inlineStr"/>
      <c r="O4" s="5" t="inlineStr">
        <is>
          <t>https://mullaco.co.uk/</t>
        </is>
      </c>
      <c r="P4" s="5" t="inlineStr">
        <is>
          <t>https://www.facebook.com/mullaco.supermarket/</t>
        </is>
      </c>
      <c r="Q4" s="5" t="inlineStr"/>
      <c r="R4" s="5" t="inlineStr"/>
      <c r="S4" s="5" t="inlineStr"/>
      <c r="T4" s="5" t="inlineStr"/>
      <c r="U4" s="5" t="inlineStr"/>
      <c r="V4" s="5" t="inlineStr">
        <is>
          <t>Medium</t>
        </is>
      </c>
      <c r="W4" s="5" t="inlineStr">
        <is>
          <t>Multi-site retailer; Relevant category; Active website; Social presence</t>
        </is>
      </c>
      <c r="X4" s="5" t="inlineStr">
        <is>
          <t>Not Found</t>
        </is>
      </c>
      <c r="Y4" s="5" t="inlineStr">
        <is>
          <t>Website Found</t>
        </is>
      </c>
      <c r="Z4" s="5" t="inlineStr">
        <is>
          <t>Medium</t>
        </is>
      </c>
      <c r="AA4" s="5" t="inlineStr">
        <is>
          <t>Requires Verification</t>
        </is>
      </c>
      <c r="AB4" s="5" t="inlineStr">
        <is>
          <t>https://www.facebook.com/mullaco.supermarket/</t>
        </is>
      </c>
    </row>
    <row r="5">
      <c r="A5" s="10" t="inlineStr">
        <is>
          <t>UK-000201</t>
        </is>
      </c>
      <c r="B5" s="10" t="inlineStr">
        <is>
          <t>NISA-01</t>
        </is>
      </c>
      <c r="C5" s="10" t="inlineStr">
        <is>
          <t>Nisa</t>
        </is>
      </c>
      <c r="D5" s="10" t="inlineStr">
        <is>
          <t>Nisa Express Grimsby (Victor Street)</t>
        </is>
      </c>
      <c r="E5" s="10" t="inlineStr">
        <is>
          <t>Convenience Store</t>
        </is>
      </c>
      <c r="F5" s="10" t="inlineStr">
        <is>
          <t>Symbol-group convenience store</t>
        </is>
      </c>
      <c r="G5" s="10" t="inlineStr">
        <is>
          <t>Franchise / Symbol Group</t>
        </is>
      </c>
      <c r="H5" s="10" t="inlineStr">
        <is>
          <t>1</t>
        </is>
      </c>
      <c r="I5" s="10" t="inlineStr">
        <is>
          <t>129 Victor Street</t>
        </is>
      </c>
      <c r="J5" s="10" t="inlineStr">
        <is>
          <t>Grimsby</t>
        </is>
      </c>
      <c r="K5" s="10" t="inlineStr"/>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https://www.nisalocally.co.uk/stores/north-east-lincs/grimsby/129-victor-st</t>
        </is>
      </c>
    </row>
    <row r="6">
      <c r="A6" s="5" t="inlineStr">
        <is>
          <t>UK-000202</t>
        </is>
      </c>
      <c r="B6" s="5" t="inlineStr">
        <is>
          <t>NISA-02</t>
        </is>
      </c>
      <c r="C6" s="5" t="inlineStr">
        <is>
          <t>Nisa</t>
        </is>
      </c>
      <c r="D6" s="5" t="inlineStr">
        <is>
          <t>Nisa Local Cleethorpes (Grimsby Road)</t>
        </is>
      </c>
      <c r="E6" s="5" t="inlineStr">
        <is>
          <t>Convenience Store</t>
        </is>
      </c>
      <c r="F6" s="5" t="inlineStr">
        <is>
          <t>Symbol-group convenience store</t>
        </is>
      </c>
      <c r="G6" s="5" t="inlineStr">
        <is>
          <t>Franchise / Symbol Group</t>
        </is>
      </c>
      <c r="H6" s="5" t="inlineStr">
        <is>
          <t>1</t>
        </is>
      </c>
      <c r="I6" s="5" t="inlineStr">
        <is>
          <t>29-31 Grimsby Road</t>
        </is>
      </c>
      <c r="J6" s="5" t="inlineStr">
        <is>
          <t>Cleethorpes</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https://ratings.food.gov.uk/business/1631635/nisa-local-grimsby-local-store</t>
        </is>
      </c>
    </row>
    <row r="7">
      <c r="A7" s="10" t="inlineStr">
        <is>
          <t>UK-000203</t>
        </is>
      </c>
      <c r="B7" s="10" t="inlineStr">
        <is>
          <t>PARFETTSTH-01</t>
        </is>
      </c>
      <c r="C7" s="10" t="inlineStr">
        <is>
          <t>Parfetts / The Local</t>
        </is>
      </c>
      <c r="D7" s="10" t="inlineStr">
        <is>
          <t>The Local (Marfleet Lane)</t>
        </is>
      </c>
      <c r="E7" s="10" t="inlineStr">
        <is>
          <t>Convenience Store</t>
        </is>
      </c>
      <c r="F7" s="10" t="inlineStr">
        <is>
          <t>Symbol-group convenience store</t>
        </is>
      </c>
      <c r="G7" s="10" t="inlineStr">
        <is>
          <t>Franchise / Symbol Group</t>
        </is>
      </c>
      <c r="H7" s="10" t="inlineStr">
        <is>
          <t>1</t>
        </is>
      </c>
      <c r="I7" s="10" t="inlineStr">
        <is>
          <t>Marfleet Lane</t>
        </is>
      </c>
      <c r="J7" s="10" t="inlineStr">
        <is>
          <t>Kingston upon Hull</t>
        </is>
      </c>
      <c r="K7" s="10" t="inlineStr"/>
      <c r="L7" s="10" t="inlineStr"/>
      <c r="M7" s="10" t="inlineStr"/>
      <c r="N7" s="10" t="inlineStr"/>
      <c r="O7" s="10" t="inlineStr"/>
      <c r="P7" s="10" t="inlineStr"/>
      <c r="Q7" s="10" t="inlineStr"/>
      <c r="R7" s="10" t="inlineStr">
        <is>
          <t>Prasath Balakrishnan</t>
        </is>
      </c>
      <c r="S7" s="10" t="inlineStr">
        <is>
          <t>Owner</t>
        </is>
      </c>
      <c r="T7" s="10" t="inlineStr"/>
      <c r="U7" s="10" t="inlineStr"/>
      <c r="V7" s="10" t="inlineStr">
        <is>
          <t>Medium</t>
        </is>
      </c>
      <c r="W7" s="10" t="inlineStr">
        <is>
          <t>Multi-site retailer; Independent retailer; Relevant category</t>
        </is>
      </c>
      <c r="X7" s="10" t="inlineStr">
        <is>
          <t>Not Found</t>
        </is>
      </c>
      <c r="Y7" s="10" t="inlineStr">
        <is>
          <t>Not Found</t>
        </is>
      </c>
      <c r="Z7" s="10" t="inlineStr">
        <is>
          <t>Medium</t>
        </is>
      </c>
      <c r="AA7" s="10" t="inlineStr">
        <is>
          <t>Requires Verification</t>
        </is>
      </c>
      <c r="AB7" s="10" t="inlineStr">
        <is>
          <t>https://wholesalemanager.co.uk/new-the-local-store-opens-in-hull/</t>
        </is>
      </c>
    </row>
    <row r="8">
      <c r="A8" s="5" t="inlineStr">
        <is>
          <t>UK-000204</t>
        </is>
      </c>
      <c r="B8" s="5" t="inlineStr">
        <is>
          <t>PREMIERBOO-01</t>
        </is>
      </c>
      <c r="C8" s="5" t="inlineStr">
        <is>
          <t>Premier (Booker Group)</t>
        </is>
      </c>
      <c r="D8" s="5" t="inlineStr">
        <is>
          <t>Premier Stores Ripon</t>
        </is>
      </c>
      <c r="E8" s="5" t="inlineStr">
        <is>
          <t>Convenience Store</t>
        </is>
      </c>
      <c r="F8" s="5" t="inlineStr">
        <is>
          <t>Symbol-group convenience store</t>
        </is>
      </c>
      <c r="G8" s="5" t="inlineStr">
        <is>
          <t>Franchise / Symbol Group</t>
        </is>
      </c>
      <c r="H8" s="5" t="inlineStr">
        <is>
          <t>1</t>
        </is>
      </c>
      <c r="I8" s="5" t="inlineStr">
        <is>
          <t>64 Bondgate</t>
        </is>
      </c>
      <c r="J8" s="5" t="inlineStr">
        <is>
          <t>Ripon</t>
        </is>
      </c>
      <c r="K8" s="5" t="inlineStr"/>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https://www.localstore.co.uk/store/394275/premier-stores/ripon/</t>
        </is>
      </c>
    </row>
    <row r="9">
      <c r="A9" s="10" t="inlineStr">
        <is>
          <t>UK-000205</t>
        </is>
      </c>
      <c r="B9" s="10" t="inlineStr">
        <is>
          <t>PREMIERBOO-01</t>
        </is>
      </c>
      <c r="C9" s="10" t="inlineStr">
        <is>
          <t>Premier (Booker)</t>
        </is>
      </c>
      <c r="D9" s="10" t="inlineStr">
        <is>
          <t>Firth Park Convenience Store</t>
        </is>
      </c>
      <c r="E9" s="10" t="inlineStr">
        <is>
          <t>Convenience Store</t>
        </is>
      </c>
      <c r="F9" s="10" t="inlineStr">
        <is>
          <t>Convenience store (symbol group)</t>
        </is>
      </c>
      <c r="G9" s="10" t="inlineStr">
        <is>
          <t>Franchise / Symbol Group</t>
        </is>
      </c>
      <c r="H9" s="10" t="inlineStr">
        <is>
          <t>1</t>
        </is>
      </c>
      <c r="I9" s="10" t="inlineStr">
        <is>
          <t>11-13 Stubbin Lane</t>
        </is>
      </c>
      <c r="J9" s="10" t="inlineStr">
        <is>
          <t>Sheffield</t>
        </is>
      </c>
      <c r="K9" s="10" t="inlineStr">
        <is>
          <t>S5 6QG</t>
        </is>
      </c>
      <c r="L9" s="10" t="inlineStr"/>
      <c r="M9" s="10" t="inlineStr"/>
      <c r="N9" s="10" t="inlineStr"/>
      <c r="O9" s="10" t="inlineStr">
        <is>
          <t>https://www.premier-stores.co.uk/our-stores/firth-park-convenience-store</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Not Found</t>
        </is>
      </c>
      <c r="Z9" s="10" t="inlineStr">
        <is>
          <t>Low</t>
        </is>
      </c>
      <c r="AA9" s="10" t="inlineStr">
        <is>
          <t>Requires Verification</t>
        </is>
      </c>
      <c r="AB9" s="10" t="inlineStr">
        <is>
          <t>https://www.premier-stores.co.uk/our-stores/firth-park-convenience-store</t>
        </is>
      </c>
    </row>
    <row r="10">
      <c r="A10" s="5" t="inlineStr">
        <is>
          <t>UK-000206</t>
        </is>
      </c>
      <c r="B10" s="5" t="inlineStr">
        <is>
          <t>PREMIERBOO-02</t>
        </is>
      </c>
      <c r="C10" s="5" t="inlineStr">
        <is>
          <t>Premier (Booker)</t>
        </is>
      </c>
      <c r="D10" s="5" t="inlineStr">
        <is>
          <t>Premier (Grimsby Road, Cleethorpes)</t>
        </is>
      </c>
      <c r="E10" s="5" t="inlineStr">
        <is>
          <t>Convenience Store</t>
        </is>
      </c>
      <c r="F10" s="5" t="inlineStr">
        <is>
          <t>Symbol-group convenience store</t>
        </is>
      </c>
      <c r="G10" s="5" t="inlineStr">
        <is>
          <t>Franchise / Symbol Group</t>
        </is>
      </c>
      <c r="H10" s="5" t="inlineStr">
        <is>
          <t>1</t>
        </is>
      </c>
      <c r="I10" s="5" t="inlineStr">
        <is>
          <t>141-143 Grimsby Road</t>
        </is>
      </c>
      <c r="J10" s="5" t="inlineStr">
        <is>
          <t>Cleethorpes</t>
        </is>
      </c>
      <c r="K10" s="5" t="inlineStr"/>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https://www.premier-stores.co.uk/our-stores/grimsby-road</t>
        </is>
      </c>
    </row>
    <row r="11">
      <c r="A11" s="10" t="inlineStr">
        <is>
          <t>UK-000207</t>
        </is>
      </c>
      <c r="B11" s="10" t="inlineStr">
        <is>
          <t>PREMIERBOO-03</t>
        </is>
      </c>
      <c r="C11" s="10" t="inlineStr">
        <is>
          <t>Premier (Booker)</t>
        </is>
      </c>
      <c r="D11" s="10" t="inlineStr">
        <is>
          <t>Premier Mexborough Convenience Store</t>
        </is>
      </c>
      <c r="E11" s="10" t="inlineStr">
        <is>
          <t>Convenience Store</t>
        </is>
      </c>
      <c r="F11" s="10" t="inlineStr">
        <is>
          <t>Convenience store (symbol group)</t>
        </is>
      </c>
      <c r="G11" s="10" t="inlineStr">
        <is>
          <t>Franchise / Symbol Group</t>
        </is>
      </c>
      <c r="H11" s="10" t="inlineStr">
        <is>
          <t>1</t>
        </is>
      </c>
      <c r="I11" s="10" t="inlineStr">
        <is>
          <t>41-43 Wath Road</t>
        </is>
      </c>
      <c r="J11" s="10" t="inlineStr">
        <is>
          <t>Mexborough</t>
        </is>
      </c>
      <c r="K11" s="10" t="inlineStr">
        <is>
          <t>S64 9QZ</t>
        </is>
      </c>
      <c r="L11" s="10" t="inlineStr">
        <is>
          <t>01709 581369</t>
        </is>
      </c>
      <c r="M11" s="10" t="inlineStr"/>
      <c r="N11" s="10" t="inlineStr"/>
      <c r="O11" s="10" t="inlineStr">
        <is>
          <t>https://www.premier-stores.co.uk/our-stores/mexborough-convenience-store</t>
        </is>
      </c>
      <c r="P11" s="10" t="inlineStr">
        <is>
          <t>https://www.facebook.com/p/Premier-Mexborough-Convenience-Store-100068015556730/</t>
        </is>
      </c>
      <c r="Q11" s="10" t="inlineStr"/>
      <c r="R11" s="10" t="inlineStr"/>
      <c r="S11" s="10" t="inlineStr"/>
      <c r="T11" s="10" t="inlineStr"/>
      <c r="U11" s="10" t="inlineStr"/>
      <c r="V11" s="10" t="inlineStr">
        <is>
          <t>High</t>
        </is>
      </c>
      <c r="W11" s="10" t="inlineStr">
        <is>
          <t>Multi-site retailer; Independent retailer; Relevant category; Active website; Social presence</t>
        </is>
      </c>
      <c r="X11" s="10" t="inlineStr">
        <is>
          <t>Verified directory</t>
        </is>
      </c>
      <c r="Y11" s="10" t="inlineStr">
        <is>
          <t>Not Found</t>
        </is>
      </c>
      <c r="Z11" s="10" t="inlineStr">
        <is>
          <t>Medium</t>
        </is>
      </c>
      <c r="AA11" s="10" t="inlineStr">
        <is>
          <t>Requires Verification</t>
        </is>
      </c>
      <c r="AB11" s="10" t="inlineStr">
        <is>
          <t>https://www.premier-stores.co.uk/our-stores/mexborough-convenience-store</t>
        </is>
      </c>
    </row>
    <row r="12">
      <c r="A12" s="5" t="inlineStr">
        <is>
          <t>UK-000208</t>
        </is>
      </c>
      <c r="B12" s="5" t="inlineStr">
        <is>
          <t>PREMIERBOO-04</t>
        </is>
      </c>
      <c r="C12" s="5" t="inlineStr">
        <is>
          <t>Premier (Booker)</t>
        </is>
      </c>
      <c r="D12" s="5" t="inlineStr">
        <is>
          <t>Premier Super Convenience Store Barnsley</t>
        </is>
      </c>
      <c r="E12" s="5" t="inlineStr">
        <is>
          <t>Convenience Store</t>
        </is>
      </c>
      <c r="F12" s="5" t="inlineStr">
        <is>
          <t>Convenience store (symbol group)</t>
        </is>
      </c>
      <c r="G12" s="5" t="inlineStr">
        <is>
          <t>Franchise / Symbol Group</t>
        </is>
      </c>
      <c r="H12" s="5" t="inlineStr">
        <is>
          <t>1</t>
        </is>
      </c>
      <c r="I12" s="5" t="inlineStr">
        <is>
          <t>38-40 Dodworth Road</t>
        </is>
      </c>
      <c r="J12" s="5" t="inlineStr">
        <is>
          <t>Barnsley</t>
        </is>
      </c>
      <c r="K12" s="5" t="inlineStr"/>
      <c r="L12" s="5" t="inlineStr"/>
      <c r="M12" s="5" t="inlineStr"/>
      <c r="N12" s="5" t="inlineStr"/>
      <c r="O12" s="5" t="inlineStr"/>
      <c r="P12" s="5" t="inlineStr">
        <is>
          <t>https://web.facebook.com/premier3840/</t>
        </is>
      </c>
      <c r="Q12" s="5" t="inlineStr"/>
      <c r="R12" s="5" t="inlineStr"/>
      <c r="S12" s="5" t="inlineStr"/>
      <c r="T12" s="5" t="inlineStr"/>
      <c r="U12" s="5" t="inlineStr"/>
      <c r="V12" s="5" t="inlineStr">
        <is>
          <t>Medium</t>
        </is>
      </c>
      <c r="W12" s="5" t="inlineStr">
        <is>
          <t>Multi-site retailer; Independent retailer; Relevant category; Social presence</t>
        </is>
      </c>
      <c r="X12" s="5" t="inlineStr">
        <is>
          <t>Not Found</t>
        </is>
      </c>
      <c r="Y12" s="5" t="inlineStr">
        <is>
          <t>Not Found</t>
        </is>
      </c>
      <c r="Z12" s="5" t="inlineStr">
        <is>
          <t>Low</t>
        </is>
      </c>
      <c r="AA12" s="5" t="inlineStr">
        <is>
          <t>Requires Verification</t>
        </is>
      </c>
      <c r="AB12" s="5" t="inlineStr">
        <is>
          <t>https://web.facebook.com/premier3840/</t>
        </is>
      </c>
    </row>
    <row r="13">
      <c r="A13" s="10" t="inlineStr">
        <is>
          <t>UK-000209</t>
        </is>
      </c>
      <c r="B13" s="10" t="inlineStr">
        <is>
          <t>PREMIERBOO-05</t>
        </is>
      </c>
      <c r="C13" s="10" t="inlineStr">
        <is>
          <t>Premier (Booker)</t>
        </is>
      </c>
      <c r="D13" s="10" t="inlineStr">
        <is>
          <t>Premier Wombwell Convenience Store</t>
        </is>
      </c>
      <c r="E13" s="10" t="inlineStr">
        <is>
          <t>Convenience Store</t>
        </is>
      </c>
      <c r="F13" s="10" t="inlineStr">
        <is>
          <t>Convenience store (symbol group)</t>
        </is>
      </c>
      <c r="G13" s="10" t="inlineStr">
        <is>
          <t>Franchise / Symbol Group</t>
        </is>
      </c>
      <c r="H13" s="10" t="inlineStr">
        <is>
          <t>1</t>
        </is>
      </c>
      <c r="I13" s="10" t="inlineStr">
        <is>
          <t>2 Pearson Crescent</t>
        </is>
      </c>
      <c r="J13" s="10" t="inlineStr">
        <is>
          <t>Barnsley</t>
        </is>
      </c>
      <c r="K13" s="10" t="inlineStr">
        <is>
          <t>S73 8SN</t>
        </is>
      </c>
      <c r="L13" s="10" t="inlineStr"/>
      <c r="M13" s="10" t="inlineStr"/>
      <c r="N13" s="10" t="inlineStr"/>
      <c r="O13" s="10" t="inlineStr">
        <is>
          <t>https://www.premier-stores.co.uk/our-stores/wombwell-convenience-store</t>
        </is>
      </c>
      <c r="P13" s="10" t="inlineStr"/>
      <c r="Q13" s="10" t="inlineStr"/>
      <c r="R13" s="10" t="inlineStr"/>
      <c r="S13" s="10" t="inlineStr"/>
      <c r="T13" s="10" t="inlineStr"/>
      <c r="U13" s="10" t="inlineStr"/>
      <c r="V13" s="10" t="inlineStr">
        <is>
          <t>Medium</t>
        </is>
      </c>
      <c r="W13" s="10" t="inlineStr">
        <is>
          <t>Multi-site retailer; Independent retailer; Relevant category; Active website</t>
        </is>
      </c>
      <c r="X13" s="10" t="inlineStr">
        <is>
          <t>Not Found</t>
        </is>
      </c>
      <c r="Y13" s="10" t="inlineStr">
        <is>
          <t>Not Found</t>
        </is>
      </c>
      <c r="Z13" s="10" t="inlineStr">
        <is>
          <t>Low</t>
        </is>
      </c>
      <c r="AA13" s="10" t="inlineStr">
        <is>
          <t>Requires Verification</t>
        </is>
      </c>
      <c r="AB13" s="10" t="inlineStr">
        <is>
          <t>https://www.premier-stores.co.uk/our-stores/wombwell-convenience-store</t>
        </is>
      </c>
    </row>
    <row r="14">
      <c r="A14" s="5" t="inlineStr">
        <is>
          <t>UK-000210</t>
        </is>
      </c>
      <c r="B14" s="5" t="inlineStr">
        <is>
          <t>PREMIERBOO-06</t>
        </is>
      </c>
      <c r="C14" s="5" t="inlineStr">
        <is>
          <t>Premier (Booker)</t>
        </is>
      </c>
      <c r="D14" s="5" t="inlineStr">
        <is>
          <t>Sheffield Road Premier Convenience Store</t>
        </is>
      </c>
      <c r="E14" s="5" t="inlineStr">
        <is>
          <t>Convenience Store</t>
        </is>
      </c>
      <c r="F14" s="5" t="inlineStr">
        <is>
          <t>Convenience store (symbol group)</t>
        </is>
      </c>
      <c r="G14" s="5" t="inlineStr">
        <is>
          <t>Franchise / Symbol Group</t>
        </is>
      </c>
      <c r="H14" s="5" t="inlineStr">
        <is>
          <t>1</t>
        </is>
      </c>
      <c r="I14" s="5" t="inlineStr">
        <is>
          <t>110-112 Sheffield Road</t>
        </is>
      </c>
      <c r="J14" s="5" t="inlineStr">
        <is>
          <t>Barnsley</t>
        </is>
      </c>
      <c r="K14" s="5" t="inlineStr">
        <is>
          <t>S70 1JB</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https://www.barnsley.gov.uk/services/licences-and-permissions/premises-licences/pending-premises-licence-applications/sheffield-road-premier-convenience-store-application-for-a-new-premises-licence</t>
        </is>
      </c>
    </row>
    <row r="15">
      <c r="A15" s="10" t="inlineStr">
        <is>
          <t>UK-000213</t>
        </is>
      </c>
      <c r="B15" s="10" t="inlineStr">
        <is>
          <t>SPAR-01</t>
        </is>
      </c>
      <c r="C15" s="10" t="inlineStr">
        <is>
          <t>SPAR</t>
        </is>
      </c>
      <c r="D15" s="10" t="inlineStr">
        <is>
          <t>SPAR Barnsley Road</t>
        </is>
      </c>
      <c r="E15" s="10" t="inlineStr">
        <is>
          <t>Convenience Store</t>
        </is>
      </c>
      <c r="F15" s="10" t="inlineStr">
        <is>
          <t>Convenience store (symbol group)</t>
        </is>
      </c>
      <c r="G15" s="10" t="inlineStr">
        <is>
          <t>Franchise / Symbol Group</t>
        </is>
      </c>
      <c r="H15" s="10" t="inlineStr">
        <is>
          <t>1</t>
        </is>
      </c>
      <c r="I15" s="10" t="inlineStr">
        <is>
          <t>Barnsley Road</t>
        </is>
      </c>
      <c r="J15" s="10" t="inlineStr">
        <is>
          <t>Barnsley</t>
        </is>
      </c>
      <c r="K15" s="10" t="inlineStr"/>
      <c r="L15" s="10" t="inlineStr"/>
      <c r="M15" s="10" t="inlineStr"/>
      <c r="N15" s="10" t="inlineStr"/>
      <c r="O15" s="10" t="inlineStr">
        <is>
          <t>https://www.spar.co.uk/store-locator/afb31700-spar-barnsley-road</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Not Found</t>
        </is>
      </c>
      <c r="Y15" s="10" t="inlineStr">
        <is>
          <t>Not Found</t>
        </is>
      </c>
      <c r="Z15" s="10" t="inlineStr">
        <is>
          <t>Low</t>
        </is>
      </c>
      <c r="AA15" s="10" t="inlineStr">
        <is>
          <t>Requires Verification</t>
        </is>
      </c>
      <c r="AB15" s="10" t="inlineStr">
        <is>
          <t>https://www.spar.co.uk/store-locator/afb31700-spar-barnsley-road</t>
        </is>
      </c>
    </row>
    <row r="16">
      <c r="A16" s="5" t="inlineStr">
        <is>
          <t>UK-000214</t>
        </is>
      </c>
      <c r="B16" s="5" t="inlineStr">
        <is>
          <t>SPAR-01</t>
        </is>
      </c>
      <c r="C16" s="5" t="inlineStr">
        <is>
          <t>Spar</t>
        </is>
      </c>
      <c r="D16" s="5" t="inlineStr">
        <is>
          <t>Spar (Trinity Road, Cleethorpes)</t>
        </is>
      </c>
      <c r="E16" s="5" t="inlineStr">
        <is>
          <t>Convenience Store</t>
        </is>
      </c>
      <c r="F16" s="5" t="inlineStr">
        <is>
          <t>Symbol-group convenience store</t>
        </is>
      </c>
      <c r="G16" s="5" t="inlineStr">
        <is>
          <t>Franchise / Symbol Group</t>
        </is>
      </c>
      <c r="H16" s="5" t="inlineStr">
        <is>
          <t>1</t>
        </is>
      </c>
      <c r="I16" s="5" t="inlineStr">
        <is>
          <t>52 Trinity Road</t>
        </is>
      </c>
      <c r="J16" s="5" t="inlineStr">
        <is>
          <t>Cleethorpes</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https://www.192.com/atoz/business/dn35/convenience--stores/</t>
        </is>
      </c>
    </row>
    <row r="17">
      <c r="A17" s="10" t="inlineStr">
        <is>
          <t>WY-0048</t>
        </is>
      </c>
      <c r="B17" s="10" t="inlineStr">
        <is>
          <t>WY-0048-01</t>
        </is>
      </c>
      <c r="C17" s="10" t="inlineStr"/>
      <c r="D17" s="10" t="inlineStr">
        <is>
          <t>AV &amp; JI Stores</t>
        </is>
      </c>
      <c r="E17" s="10" t="inlineStr">
        <is>
          <t>Convenience Store</t>
        </is>
      </c>
      <c r="F17" s="10" t="inlineStr">
        <is>
          <t>Premier symbol group convenience store and off-licence</t>
        </is>
      </c>
      <c r="G17" s="10" t="inlineStr">
        <is>
          <t>Franchise / Symbol Group</t>
        </is>
      </c>
      <c r="H17" s="10" t="inlineStr">
        <is>
          <t>1</t>
        </is>
      </c>
      <c r="I17" s="10" t="inlineStr">
        <is>
          <t>12 Albert Road</t>
        </is>
      </c>
      <c r="J17" s="10" t="inlineStr">
        <is>
          <t>Sowerby Bridge</t>
        </is>
      </c>
      <c r="K17" s="10" t="inlineStr">
        <is>
          <t>HX6 2PA</t>
        </is>
      </c>
      <c r="L17" s="10" t="inlineStr"/>
      <c r="M17" s="10" t="inlineStr"/>
      <c r="N17" s="10" t="inlineStr"/>
      <c r="O17" s="10" t="inlineStr"/>
      <c r="P17" s="10" t="inlineStr">
        <is>
          <t>https://www.facebook.com/people/Premier-AV-JI-Stores/61567311514140/</t>
        </is>
      </c>
      <c r="Q17" s="10" t="inlineStr"/>
      <c r="R17" s="10" t="inlineStr"/>
      <c r="S17" s="10" t="inlineStr"/>
      <c r="T17" s="10" t="inlineStr"/>
      <c r="U17" s="10" t="inlineStr"/>
      <c r="V17" s="10" t="inlineStr">
        <is>
          <t>Medium</t>
        </is>
      </c>
      <c r="W17" s="10" t="inlineStr">
        <is>
          <t>Independent retailer; Relevant category; Social presence</t>
        </is>
      </c>
      <c r="X17" s="10" t="inlineStr">
        <is>
          <t>Not Found</t>
        </is>
      </c>
      <c r="Y17" s="10" t="inlineStr">
        <is>
          <t>Not Found</t>
        </is>
      </c>
      <c r="Z17" s="10" t="inlineStr">
        <is>
          <t>Medium</t>
        </is>
      </c>
      <c r="AA17" s="10" t="inlineStr">
        <is>
          <t>Requires Verification</t>
        </is>
      </c>
      <c r="AB17" s="10" t="inlineStr">
        <is>
          <t>https://www.facebook.com/people/Premier-AV-JI-Stores/61567311514140/</t>
        </is>
      </c>
    </row>
    <row r="18">
      <c r="A18" s="5" t="inlineStr">
        <is>
          <t>WY-0050</t>
        </is>
      </c>
      <c r="B18" s="5" t="inlineStr">
        <is>
          <t>WY-0050-01</t>
        </is>
      </c>
      <c r="C18" s="5" t="inlineStr"/>
      <c r="D18" s="5" t="inlineStr">
        <is>
          <t>Anwarsons Newsagency</t>
        </is>
      </c>
      <c r="E18" s="5" t="inlineStr">
        <is>
          <t>Newsagent</t>
        </is>
      </c>
      <c r="F18" s="5" t="inlineStr">
        <is>
          <t>Newsagent and tobacconist</t>
        </is>
      </c>
      <c r="G18" s="5" t="inlineStr">
        <is>
          <t>Independent</t>
        </is>
      </c>
      <c r="H18" s="5" t="inlineStr">
        <is>
          <t>1</t>
        </is>
      </c>
      <c r="I18" s="5" t="inlineStr">
        <is>
          <t>41 Bethel Street</t>
        </is>
      </c>
      <c r="J18" s="5" t="inlineStr">
        <is>
          <t>Brighouse</t>
        </is>
      </c>
      <c r="K18" s="5" t="inlineStr">
        <is>
          <t>HD6 1JR</t>
        </is>
      </c>
      <c r="L18" s="5" t="inlineStr">
        <is>
          <t>01484 717622</t>
        </is>
      </c>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Verified directory</t>
        </is>
      </c>
      <c r="Y18" s="5" t="inlineStr">
        <is>
          <t>Not Found</t>
        </is>
      </c>
      <c r="Z18" s="5" t="inlineStr">
        <is>
          <t>Medium</t>
        </is>
      </c>
      <c r="AA18" s="5" t="inlineStr">
        <is>
          <t>Requires Verification</t>
        </is>
      </c>
      <c r="AB18" s="5" t="inlineStr">
        <is>
          <t>https://thomsonlocal.com/search/Newsagents/Wyke-West-Yorkshire/Anwarsons-Newsagency/2652959/01484717622</t>
        </is>
      </c>
    </row>
    <row r="19">
      <c r="A19" s="10" t="inlineStr">
        <is>
          <t>WY-0051</t>
        </is>
      </c>
      <c r="B19" s="10" t="inlineStr">
        <is>
          <t>WY-0051-01</t>
        </is>
      </c>
      <c r="C19" s="10" t="inlineStr"/>
      <c r="D19" s="10" t="inlineStr">
        <is>
          <t>Armley Ridge Road Convenience Store &amp; Off-Licence</t>
        </is>
      </c>
      <c r="E19" s="10" t="inlineStr">
        <is>
          <t>Convenience Store</t>
        </is>
      </c>
      <c r="F19" s="10" t="inlineStr">
        <is>
          <t>Convenience store with off-licence</t>
        </is>
      </c>
      <c r="G19" s="10" t="inlineStr">
        <is>
          <t>Independent</t>
        </is>
      </c>
      <c r="H19" s="10" t="inlineStr">
        <is>
          <t>1</t>
        </is>
      </c>
      <c r="I19" s="10" t="inlineStr">
        <is>
          <t>Armley Ridge Road</t>
        </is>
      </c>
      <c r="J19" s="10" t="inlineStr">
        <is>
          <t>Leeds</t>
        </is>
      </c>
      <c r="K19" s="10" t="inlineStr"/>
      <c r="L19" s="10" t="inlineStr"/>
      <c r="M19" s="10" t="inlineStr"/>
      <c r="N19" s="10" t="inlineStr"/>
      <c r="O19" s="10" t="inlineStr"/>
      <c r="P19" s="10" t="inlineStr">
        <is>
          <t>https://www.facebook.com/NoProblemArmley/</t>
        </is>
      </c>
      <c r="Q19" s="10" t="inlineStr"/>
      <c r="R19" s="10" t="inlineStr"/>
      <c r="S19" s="10" t="inlineStr"/>
      <c r="T19" s="10" t="inlineStr"/>
      <c r="U19" s="10" t="inlineStr"/>
      <c r="V19" s="10" t="inlineStr">
        <is>
          <t>Medium</t>
        </is>
      </c>
      <c r="W19" s="10" t="inlineStr">
        <is>
          <t>Independent retailer; Relevant category; Social presence</t>
        </is>
      </c>
      <c r="X19" s="10" t="inlineStr">
        <is>
          <t>Not Found</t>
        </is>
      </c>
      <c r="Y19" s="10" t="inlineStr">
        <is>
          <t>Not Found</t>
        </is>
      </c>
      <c r="Z19" s="10" t="inlineStr">
        <is>
          <t>Low</t>
        </is>
      </c>
      <c r="AA19" s="10" t="inlineStr">
        <is>
          <t>Requires Verification</t>
        </is>
      </c>
      <c r="AB19" s="10" t="inlineStr">
        <is>
          <t>https://www.facebook.com/NoProblemArmley/</t>
        </is>
      </c>
    </row>
    <row r="20">
      <c r="A20" s="5" t="inlineStr">
        <is>
          <t>WY-0056</t>
        </is>
      </c>
      <c r="B20" s="5" t="inlineStr">
        <is>
          <t>WY-0056-01</t>
        </is>
      </c>
      <c r="C20" s="5" t="inlineStr"/>
      <c r="D20" s="5" t="inlineStr">
        <is>
          <t>Baildon Green Convenience Store</t>
        </is>
      </c>
      <c r="E20" s="5" t="inlineStr">
        <is>
          <t>Convenience Store</t>
        </is>
      </c>
      <c r="F20" s="5" t="inlineStr">
        <is>
          <t>Neighbourhood convenience store</t>
        </is>
      </c>
      <c r="G20" s="5" t="inlineStr">
        <is>
          <t>Independent</t>
        </is>
      </c>
      <c r="H20" s="5" t="inlineStr">
        <is>
          <t>1</t>
        </is>
      </c>
      <c r="I20" s="5" t="inlineStr">
        <is>
          <t>Cliffe Lane West</t>
        </is>
      </c>
      <c r="J20" s="5" t="inlineStr">
        <is>
          <t>Shipley</t>
        </is>
      </c>
      <c r="K20" s="5" t="inlineStr"/>
      <c r="L20" s="5" t="inlineStr"/>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Not Found</t>
        </is>
      </c>
      <c r="Y20" s="5" t="inlineStr">
        <is>
          <t>Not Found</t>
        </is>
      </c>
      <c r="Z20" s="5" t="inlineStr">
        <is>
          <t>Low</t>
        </is>
      </c>
      <c r="AA20" s="5" t="inlineStr">
        <is>
          <t>Requires Verification</t>
        </is>
      </c>
      <c r="AB20" s="5" t="inlineStr">
        <is>
          <t>https://www.yorkshire.com/shipley/shopping/corner-shops/baildon-green-convenience-store</t>
        </is>
      </c>
    </row>
    <row r="21">
      <c r="A21" s="10" t="inlineStr">
        <is>
          <t>WY-0070</t>
        </is>
      </c>
      <c r="B21" s="10" t="inlineStr">
        <is>
          <t>WY-0070-01</t>
        </is>
      </c>
      <c r="C21" s="10" t="inlineStr"/>
      <c r="D21" s="10" t="inlineStr">
        <is>
          <t>Brooks News</t>
        </is>
      </c>
      <c r="E21" s="10" t="inlineStr">
        <is>
          <t>Newsagent</t>
        </is>
      </c>
      <c r="F21" s="10" t="inlineStr"/>
      <c r="G21" s="10" t="inlineStr">
        <is>
          <t>Independent</t>
        </is>
      </c>
      <c r="H21" s="10" t="inlineStr">
        <is>
          <t>1</t>
        </is>
      </c>
      <c r="I21" s="10" t="inlineStr">
        <is>
          <t>19 Church Lane</t>
        </is>
      </c>
      <c r="J21" s="10" t="inlineStr">
        <is>
          <t>Pudsey</t>
        </is>
      </c>
      <c r="K21" s="10" t="inlineStr">
        <is>
          <t>LS28 7LD</t>
        </is>
      </c>
      <c r="L21" s="10" t="inlineStr">
        <is>
          <t>0113 257 3382</t>
        </is>
      </c>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Verified directory</t>
        </is>
      </c>
      <c r="Y21" s="10" t="inlineStr">
        <is>
          <t>Not Found</t>
        </is>
      </c>
      <c r="Z21" s="10" t="inlineStr">
        <is>
          <t>Medium</t>
        </is>
      </c>
      <c r="AA21" s="10" t="inlineStr">
        <is>
          <t>Requires Verification</t>
        </is>
      </c>
      <c r="AB21" s="10" t="inlineStr">
        <is>
          <t>https://www.thomsonlocal.com/search/newsagents/morley-west-yorkshire</t>
        </is>
      </c>
    </row>
    <row r="22">
      <c r="A22" s="5" t="inlineStr">
        <is>
          <t>WY-0072</t>
        </is>
      </c>
      <c r="B22" s="5" t="inlineStr">
        <is>
          <t>WY-0072-01</t>
        </is>
      </c>
      <c r="C22" s="5" t="inlineStr"/>
      <c r="D22" s="5" t="inlineStr">
        <is>
          <t>Carlton Self Service</t>
        </is>
      </c>
      <c r="E22" s="5" t="inlineStr">
        <is>
          <t>Newsagent</t>
        </is>
      </c>
      <c r="F22" s="5" t="inlineStr">
        <is>
          <t>Newsagent and self-service store</t>
        </is>
      </c>
      <c r="G22" s="5" t="inlineStr">
        <is>
          <t>Independent</t>
        </is>
      </c>
      <c r="H22" s="5" t="inlineStr">
        <is>
          <t>1</t>
        </is>
      </c>
      <c r="I22" s="5" t="inlineStr">
        <is>
          <t>6-8 Swanhill Lane</t>
        </is>
      </c>
      <c r="J22" s="5" t="inlineStr">
        <is>
          <t>Pontefract</t>
        </is>
      </c>
      <c r="K22" s="5" t="inlineStr">
        <is>
          <t>WF8 2SE</t>
        </is>
      </c>
      <c r="L22" s="5" t="inlineStr">
        <is>
          <t>01977 780317</t>
        </is>
      </c>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Verified directory</t>
        </is>
      </c>
      <c r="Y22" s="5" t="inlineStr">
        <is>
          <t>Not Found</t>
        </is>
      </c>
      <c r="Z22" s="5" t="inlineStr">
        <is>
          <t>Medium</t>
        </is>
      </c>
      <c r="AA22" s="5" t="inlineStr">
        <is>
          <t>Requires Verification</t>
        </is>
      </c>
      <c r="AB22" s="5" t="inlineStr">
        <is>
          <t>https://www.thomsonlocal.com/search/newsagents/wakefield-pontefract-castleford/carlton-self-service/1650013/01977780317</t>
        </is>
      </c>
    </row>
    <row r="23">
      <c r="A23" s="10" t="inlineStr">
        <is>
          <t>WY-0075</t>
        </is>
      </c>
      <c r="B23" s="10" t="inlineStr">
        <is>
          <t>WY-0075-01</t>
        </is>
      </c>
      <c r="C23" s="10" t="inlineStr"/>
      <c r="D23" s="10" t="inlineStr">
        <is>
          <t>Charlesworths</t>
        </is>
      </c>
      <c r="E23" s="10" t="inlineStr">
        <is>
          <t>Newsagent</t>
        </is>
      </c>
      <c r="F23" s="10" t="inlineStr">
        <is>
          <t>Newsagent, stationer, toys and confectionery</t>
        </is>
      </c>
      <c r="G23" s="10" t="inlineStr">
        <is>
          <t>Independent</t>
        </is>
      </c>
      <c r="H23" s="10" t="inlineStr">
        <is>
          <t>1</t>
        </is>
      </c>
      <c r="I23" s="10" t="inlineStr">
        <is>
          <t>27 Victoria Street</t>
        </is>
      </c>
      <c r="J23" s="10" t="inlineStr">
        <is>
          <t>Holmfirth</t>
        </is>
      </c>
      <c r="K23" s="10" t="inlineStr">
        <is>
          <t>HD9 7DF</t>
        </is>
      </c>
      <c r="L23" s="10" t="inlineStr">
        <is>
          <t>01484 681111</t>
        </is>
      </c>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Verified directory</t>
        </is>
      </c>
      <c r="Y23" s="10" t="inlineStr">
        <is>
          <t>Not Found</t>
        </is>
      </c>
      <c r="Z23" s="10" t="inlineStr">
        <is>
          <t>Medium</t>
        </is>
      </c>
      <c r="AA23" s="10" t="inlineStr">
        <is>
          <t>Requires Verification</t>
        </is>
      </c>
      <c r="AB23" s="10" t="inlineStr">
        <is>
          <t>https://myindex.co.uk/charlesworths.htm</t>
        </is>
      </c>
    </row>
    <row r="24">
      <c r="A24" s="5" t="inlineStr">
        <is>
          <t>WY-0076</t>
        </is>
      </c>
      <c r="B24" s="5" t="inlineStr">
        <is>
          <t>WY-0076-01</t>
        </is>
      </c>
      <c r="C24" s="5" t="inlineStr"/>
      <c r="D24" s="5" t="inlineStr">
        <is>
          <t>Costcutter Wibsey</t>
        </is>
      </c>
      <c r="E24" s="5" t="inlineStr">
        <is>
          <t>Convenience Store</t>
        </is>
      </c>
      <c r="F24" s="5" t="inlineStr">
        <is>
          <t>Symbol-group convenience store</t>
        </is>
      </c>
      <c r="G24" s="5" t="inlineStr">
        <is>
          <t>Franchise / Symbol Group</t>
        </is>
      </c>
      <c r="H24" s="5" t="inlineStr">
        <is>
          <t>1</t>
        </is>
      </c>
      <c r="I24" s="5" t="inlineStr">
        <is>
          <t>48 Holroyd Hill</t>
        </is>
      </c>
      <c r="J24" s="5" t="inlineStr">
        <is>
          <t>Bradford</t>
        </is>
      </c>
      <c r="K24" s="5" t="inlineStr">
        <is>
          <t>BD6 1PQ</t>
        </is>
      </c>
      <c r="L24" s="5" t="inlineStr">
        <is>
          <t>01274 723454</t>
        </is>
      </c>
      <c r="M24" s="5" t="inlineStr"/>
      <c r="N24" s="5" t="inlineStr"/>
      <c r="O24" s="5" t="inlineStr">
        <is>
          <t>https://store-locator.costcutter.co.uk/costcutter-b8ba71542351</t>
        </is>
      </c>
      <c r="P24" s="5" t="inlineStr"/>
      <c r="Q24" s="5" t="inlineStr"/>
      <c r="R24" s="5" t="inlineStr"/>
      <c r="S24" s="5" t="inlineStr"/>
      <c r="T24" s="5" t="inlineStr"/>
      <c r="U24" s="5" t="inlineStr"/>
      <c r="V24" s="5" t="inlineStr">
        <is>
          <t>Medium</t>
        </is>
      </c>
      <c r="W24" s="5" t="inlineStr">
        <is>
          <t>Independent retailer; Relevant category; Active website</t>
        </is>
      </c>
      <c r="X24" s="5" t="inlineStr">
        <is>
          <t>Verified directory</t>
        </is>
      </c>
      <c r="Y24" s="5" t="inlineStr">
        <is>
          <t>Not Found</t>
        </is>
      </c>
      <c r="Z24" s="5" t="inlineStr">
        <is>
          <t>Medium</t>
        </is>
      </c>
      <c r="AA24" s="5" t="inlineStr">
        <is>
          <t>Requires Verification</t>
        </is>
      </c>
      <c r="AB24" s="5" t="inlineStr">
        <is>
          <t>https://www.yorkshire.com/wibsey/shopping/corner-shops/costcutter-15</t>
        </is>
      </c>
    </row>
    <row r="25">
      <c r="A25" s="10" t="inlineStr">
        <is>
          <t>WY-0080</t>
        </is>
      </c>
      <c r="B25" s="10" t="inlineStr">
        <is>
          <t>WY-0080-01</t>
        </is>
      </c>
      <c r="C25" s="10" t="inlineStr"/>
      <c r="D25" s="10" t="inlineStr">
        <is>
          <t>Dhillon's Newsagents</t>
        </is>
      </c>
      <c r="E25" s="10" t="inlineStr">
        <is>
          <t>Newsagent</t>
        </is>
      </c>
      <c r="F25" s="10" t="inlineStr"/>
      <c r="G25" s="10" t="inlineStr">
        <is>
          <t>Independent</t>
        </is>
      </c>
      <c r="H25" s="10" t="inlineStr">
        <is>
          <t>1</t>
        </is>
      </c>
      <c r="I25" s="10" t="inlineStr">
        <is>
          <t>151 Broad Lane</t>
        </is>
      </c>
      <c r="J25" s="10" t="inlineStr">
        <is>
          <t>Leeds</t>
        </is>
      </c>
      <c r="K25" s="10" t="inlineStr">
        <is>
          <t>LS13 2JJ</t>
        </is>
      </c>
      <c r="L25" s="10" t="inlineStr">
        <is>
          <t>0113 257 8085</t>
        </is>
      </c>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Verified directory</t>
        </is>
      </c>
      <c r="Y25" s="10" t="inlineStr">
        <is>
          <t>Not Found</t>
        </is>
      </c>
      <c r="Z25" s="10" t="inlineStr">
        <is>
          <t>Medium</t>
        </is>
      </c>
      <c r="AA25" s="10" t="inlineStr">
        <is>
          <t>Requires Verification</t>
        </is>
      </c>
      <c r="AB25" s="10" t="inlineStr">
        <is>
          <t>https://findit.yorkshireeveningpost.co.uk/search/leeds/newsagent</t>
        </is>
      </c>
    </row>
    <row r="26">
      <c r="A26" s="5" t="inlineStr">
        <is>
          <t>UK-000246</t>
        </is>
      </c>
      <c r="B26" s="5" t="inlineStr">
        <is>
          <t>UK-000246-01</t>
        </is>
      </c>
      <c r="C26" s="5" t="inlineStr"/>
      <c r="D26" s="5" t="inlineStr">
        <is>
          <t>Flemingate News</t>
        </is>
      </c>
      <c r="E26" s="5" t="inlineStr">
        <is>
          <t>Newsagent</t>
        </is>
      </c>
      <c r="F26" s="5" t="inlineStr">
        <is>
          <t>Newsagent</t>
        </is>
      </c>
      <c r="G26" s="5" t="inlineStr">
        <is>
          <t>Independent</t>
        </is>
      </c>
      <c r="H26" s="5" t="inlineStr">
        <is>
          <t>1</t>
        </is>
      </c>
      <c r="I26" s="5" t="inlineStr">
        <is>
          <t>83 Flemingate</t>
        </is>
      </c>
      <c r="J26" s="5" t="inlineStr">
        <is>
          <t>Beverley</t>
        </is>
      </c>
      <c r="K26" s="5" t="inlineStr">
        <is>
          <t>HU17 0NZ</t>
        </is>
      </c>
      <c r="L26" s="5" t="inlineStr">
        <is>
          <t>01482 881429</t>
        </is>
      </c>
      <c r="M26" s="5" t="inlineStr"/>
      <c r="N26" s="5" t="inlineStr"/>
      <c r="O26" s="5" t="inlineStr"/>
      <c r="P26" s="5" t="inlineStr"/>
      <c r="Q26" s="5" t="inlineStr"/>
      <c r="R26" s="5" t="inlineStr"/>
      <c r="S26" s="5" t="inlineStr"/>
      <c r="T26" s="5" t="inlineStr"/>
      <c r="U26" s="5" t="inlineStr"/>
      <c r="V26" s="5" t="inlineStr">
        <is>
          <t>Low</t>
        </is>
      </c>
      <c r="W26" s="5" t="inlineStr">
        <is>
          <t>Independent retailer; Relevant category</t>
        </is>
      </c>
      <c r="X26" s="5" t="inlineStr">
        <is>
          <t>Verified directory</t>
        </is>
      </c>
      <c r="Y26" s="5" t="inlineStr">
        <is>
          <t>Not Found</t>
        </is>
      </c>
      <c r="Z26" s="5" t="inlineStr">
        <is>
          <t>Medium</t>
        </is>
      </c>
      <c r="AA26" s="5" t="inlineStr">
        <is>
          <t>Requires Verification</t>
        </is>
      </c>
      <c r="AB26" s="5" t="inlineStr">
        <is>
          <t>https://beverley.cylex-uk.co.uk/newsagents/</t>
        </is>
      </c>
    </row>
    <row r="27">
      <c r="A27" s="10" t="inlineStr">
        <is>
          <t>WY-0087</t>
        </is>
      </c>
      <c r="B27" s="10" t="inlineStr">
        <is>
          <t>WY-0087-01</t>
        </is>
      </c>
      <c r="C27" s="10" t="inlineStr"/>
      <c r="D27" s="10" t="inlineStr">
        <is>
          <t>Freshco UK</t>
        </is>
      </c>
      <c r="E27" s="10" t="inlineStr">
        <is>
          <t>Convenience Store</t>
        </is>
      </c>
      <c r="F27" s="10" t="inlineStr">
        <is>
          <t>Grocery store with halal meat</t>
        </is>
      </c>
      <c r="G27" s="10" t="inlineStr">
        <is>
          <t>Independent</t>
        </is>
      </c>
      <c r="H27" s="10" t="inlineStr">
        <is>
          <t>1</t>
        </is>
      </c>
      <c r="I27" s="10" t="inlineStr"/>
      <c r="J27" s="10" t="inlineStr">
        <is>
          <t>Bradford</t>
        </is>
      </c>
      <c r="K27" s="10" t="inlineStr"/>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Low</t>
        </is>
      </c>
      <c r="AA27" s="10" t="inlineStr">
        <is>
          <t>Requires Verification</t>
        </is>
      </c>
      <c r="AB27" s="10" t="inlineStr">
        <is>
          <t>https://freshco-uk-ltd.wheree.com/</t>
        </is>
      </c>
    </row>
    <row r="28">
      <c r="A28" s="5" t="inlineStr">
        <is>
          <t>WY-0089</t>
        </is>
      </c>
      <c r="B28" s="5" t="inlineStr">
        <is>
          <t>WY-0089-01</t>
        </is>
      </c>
      <c r="C28" s="5" t="inlineStr"/>
      <c r="D28" s="5" t="inlineStr">
        <is>
          <t>Gibraltar Mini Mart</t>
        </is>
      </c>
      <c r="E28" s="5" t="inlineStr">
        <is>
          <t>Convenience Store</t>
        </is>
      </c>
      <c r="F28" s="5" t="inlineStr">
        <is>
          <t>Convenience store with vapes and mobile accessories</t>
        </is>
      </c>
      <c r="G28" s="5" t="inlineStr">
        <is>
          <t>Independent</t>
        </is>
      </c>
      <c r="H28" s="5" t="inlineStr">
        <is>
          <t>1</t>
        </is>
      </c>
      <c r="I28" s="5" t="inlineStr">
        <is>
          <t>101 Hopwood Lane</t>
        </is>
      </c>
      <c r="J28" s="5" t="inlineStr">
        <is>
          <t>Halifax</t>
        </is>
      </c>
      <c r="K28" s="5" t="inlineStr"/>
      <c r="L28" s="5" t="inlineStr"/>
      <c r="M28" s="5" t="inlineStr"/>
      <c r="N28" s="5" t="inlineStr"/>
      <c r="O28" s="5" t="inlineStr"/>
      <c r="P28" s="5" t="inlineStr"/>
      <c r="Q28" s="5" t="inlineStr"/>
      <c r="R28" s="5" t="inlineStr"/>
      <c r="S28" s="5" t="inlineStr"/>
      <c r="T28" s="5" t="inlineStr"/>
      <c r="U28" s="5" t="inlineStr"/>
      <c r="V28" s="5" t="inlineStr">
        <is>
          <t>Low</t>
        </is>
      </c>
      <c r="W28" s="5" t="inlineStr">
        <is>
          <t>Independent retailer; Relevant category</t>
        </is>
      </c>
      <c r="X28" s="5" t="inlineStr">
        <is>
          <t>Not Found</t>
        </is>
      </c>
      <c r="Y28" s="5" t="inlineStr">
        <is>
          <t>Not Found</t>
        </is>
      </c>
      <c r="Z28" s="5" t="inlineStr">
        <is>
          <t>Low</t>
        </is>
      </c>
      <c r="AA28" s="5" t="inlineStr">
        <is>
          <t>Requires Verification</t>
        </is>
      </c>
      <c r="AB28" s="5" t="inlineStr">
        <is>
          <t>https://www.yorkshire.com/halifax/shopping/corner-shops/gibraltar-mini-mart-vapemobile-shop</t>
        </is>
      </c>
    </row>
    <row r="29">
      <c r="A29" s="10" t="inlineStr">
        <is>
          <t>WY-0090</t>
        </is>
      </c>
      <c r="B29" s="10" t="inlineStr">
        <is>
          <t>WY-0090-01</t>
        </is>
      </c>
      <c r="C29" s="10" t="inlineStr"/>
      <c r="D29" s="10" t="inlineStr">
        <is>
          <t>Global Mini Market 2</t>
        </is>
      </c>
      <c r="E29" s="10" t="inlineStr">
        <is>
          <t>Convenience Store</t>
        </is>
      </c>
      <c r="F29" s="10" t="inlineStr">
        <is>
          <t>24-hour convenience store &amp; off-licence</t>
        </is>
      </c>
      <c r="G29" s="10" t="inlineStr">
        <is>
          <t>Independent</t>
        </is>
      </c>
      <c r="H29" s="10" t="inlineStr">
        <is>
          <t>1</t>
        </is>
      </c>
      <c r="I29" s="10" t="inlineStr">
        <is>
          <t>83-85 Main Street</t>
        </is>
      </c>
      <c r="J29" s="10" t="inlineStr">
        <is>
          <t>Bingley</t>
        </is>
      </c>
      <c r="K29" s="10" t="inlineStr">
        <is>
          <t>BD16 2JA</t>
        </is>
      </c>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Medium</t>
        </is>
      </c>
      <c r="AA29" s="10" t="inlineStr">
        <is>
          <t>Requires Verification</t>
        </is>
      </c>
      <c r="AB29" s="10" t="inlineStr">
        <is>
          <t>https://www.24houralcohol.co.uk/bradford-off-licences</t>
        </is>
      </c>
    </row>
    <row r="30">
      <c r="A30" s="5" t="inlineStr">
        <is>
          <t>WY-0096</t>
        </is>
      </c>
      <c r="B30" s="5" t="inlineStr">
        <is>
          <t>WY-0096-01</t>
        </is>
      </c>
      <c r="C30" s="5" t="inlineStr"/>
      <c r="D30" s="5" t="inlineStr">
        <is>
          <t>Hopes News</t>
        </is>
      </c>
      <c r="E30" s="5" t="inlineStr">
        <is>
          <t>Newsagent</t>
        </is>
      </c>
      <c r="F30" s="5" t="inlineStr">
        <is>
          <t>Newsagent / off-licence</t>
        </is>
      </c>
      <c r="G30" s="5" t="inlineStr">
        <is>
          <t>Independent</t>
        </is>
      </c>
      <c r="H30" s="5" t="inlineStr">
        <is>
          <t>1</t>
        </is>
      </c>
      <c r="I30" s="5" t="inlineStr">
        <is>
          <t>Otley Road</t>
        </is>
      </c>
      <c r="J30" s="5" t="inlineStr">
        <is>
          <t>Shipley</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https://www.yorkshire.com/shipley/shopping/off-license/hopes-news</t>
        </is>
      </c>
    </row>
    <row r="31">
      <c r="A31" s="10" t="inlineStr">
        <is>
          <t>WY-0098</t>
        </is>
      </c>
      <c r="B31" s="10" t="inlineStr">
        <is>
          <t>WY-0098-01</t>
        </is>
      </c>
      <c r="C31" s="10" t="inlineStr"/>
      <c r="D31" s="10" t="inlineStr">
        <is>
          <t>Ilkley Convenience Store</t>
        </is>
      </c>
      <c r="E31" s="10" t="inlineStr">
        <is>
          <t>Convenience Store</t>
        </is>
      </c>
      <c r="F31" s="10" t="inlineStr">
        <is>
          <t>Neighbourhood convenience store</t>
        </is>
      </c>
      <c r="G31" s="10" t="inlineStr">
        <is>
          <t>Independent</t>
        </is>
      </c>
      <c r="H31" s="10" t="inlineStr">
        <is>
          <t>1</t>
        </is>
      </c>
      <c r="I31" s="10" t="inlineStr">
        <is>
          <t>Valley Drive</t>
        </is>
      </c>
      <c r="J31" s="10" t="inlineStr">
        <is>
          <t>Ilkley</t>
        </is>
      </c>
      <c r="K31" s="10" t="inlineStr"/>
      <c r="L31" s="10" t="inlineStr"/>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Not Found</t>
        </is>
      </c>
      <c r="Y31" s="10" t="inlineStr">
        <is>
          <t>Not Found</t>
        </is>
      </c>
      <c r="Z31" s="10" t="inlineStr">
        <is>
          <t>Low</t>
        </is>
      </c>
      <c r="AA31" s="10" t="inlineStr">
        <is>
          <t>Requires Verification</t>
        </is>
      </c>
      <c r="AB31" s="10" t="inlineStr">
        <is>
          <t>https://www.yorkshire.com/ilkley/shopping/corner-shops/ilkley-convenience-store</t>
        </is>
      </c>
    </row>
    <row r="32">
      <c r="A32" s="5" t="inlineStr">
        <is>
          <t>UK-000257</t>
        </is>
      </c>
      <c r="B32" s="5" t="inlineStr">
        <is>
          <t>UK-000257-01</t>
        </is>
      </c>
      <c r="C32" s="5" t="inlineStr"/>
      <c r="D32" s="5" t="inlineStr">
        <is>
          <t>J A &amp; S Cowie Newsagent</t>
        </is>
      </c>
      <c r="E32" s="5" t="inlineStr">
        <is>
          <t>Newsagent</t>
        </is>
      </c>
      <c r="F32" s="5" t="inlineStr">
        <is>
          <t>Newsagent &amp; convenience</t>
        </is>
      </c>
      <c r="G32" s="5" t="inlineStr">
        <is>
          <t>Independent</t>
        </is>
      </c>
      <c r="H32" s="5" t="inlineStr">
        <is>
          <t>1</t>
        </is>
      </c>
      <c r="I32" s="5" t="inlineStr">
        <is>
          <t>13 Westgate</t>
        </is>
      </c>
      <c r="J32" s="5" t="inlineStr">
        <is>
          <t>Ripon</t>
        </is>
      </c>
      <c r="K32" s="5" t="inlineStr">
        <is>
          <t>HG4 2AT</t>
        </is>
      </c>
      <c r="L32" s="5" t="inlineStr">
        <is>
          <t>01765 603153</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Low</t>
        </is>
      </c>
      <c r="AA32" s="5" t="inlineStr">
        <is>
          <t>Requires Verification</t>
        </is>
      </c>
      <c r="AB32" s="5" t="inlineStr">
        <is>
          <t>https://www.mynewsagent.co.uk/7788/</t>
        </is>
      </c>
    </row>
    <row r="33">
      <c r="A33" s="10" t="inlineStr">
        <is>
          <t>WY-0101</t>
        </is>
      </c>
      <c r="B33" s="10" t="inlineStr">
        <is>
          <t>WY-0101-01</t>
        </is>
      </c>
      <c r="C33" s="10" t="inlineStr"/>
      <c r="D33" s="10" t="inlineStr">
        <is>
          <t>KV Convenience &amp; Off Licence</t>
        </is>
      </c>
      <c r="E33" s="10" t="inlineStr">
        <is>
          <t>Convenience Store</t>
        </is>
      </c>
      <c r="F33" s="10" t="inlineStr">
        <is>
          <t>24-hour convenience store and off-licence</t>
        </is>
      </c>
      <c r="G33" s="10" t="inlineStr">
        <is>
          <t>Independent</t>
        </is>
      </c>
      <c r="H33" s="10" t="inlineStr">
        <is>
          <t>1</t>
        </is>
      </c>
      <c r="I33" s="10" t="inlineStr">
        <is>
          <t>51-53 Market Street</t>
        </is>
      </c>
      <c r="J33" s="10" t="inlineStr">
        <is>
          <t>Huddersfield</t>
        </is>
      </c>
      <c r="K33" s="10" t="inlineStr">
        <is>
          <t>HD3 4HZ</t>
        </is>
      </c>
      <c r="L33" s="10" t="inlineStr">
        <is>
          <t>01484 644192</t>
        </is>
      </c>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Verified directory</t>
        </is>
      </c>
      <c r="Y33" s="10" t="inlineStr">
        <is>
          <t>Not Found</t>
        </is>
      </c>
      <c r="Z33" s="10" t="inlineStr">
        <is>
          <t>Medium</t>
        </is>
      </c>
      <c r="AA33" s="10" t="inlineStr">
        <is>
          <t>Requires Verification</t>
        </is>
      </c>
      <c r="AB33" s="10" t="inlineStr">
        <is>
          <t>https://www.yellowtom.co.uk/1452035</t>
        </is>
      </c>
    </row>
    <row r="34">
      <c r="A34" s="5" t="inlineStr">
        <is>
          <t>WY-0102</t>
        </is>
      </c>
      <c r="B34" s="5" t="inlineStr">
        <is>
          <t>WY-0102-01</t>
        </is>
      </c>
      <c r="C34" s="5" t="inlineStr"/>
      <c r="D34" s="5" t="inlineStr">
        <is>
          <t>Kasa Beeston Convenience Store</t>
        </is>
      </c>
      <c r="E34" s="5" t="inlineStr">
        <is>
          <t>Convenience Store</t>
        </is>
      </c>
      <c r="F34" s="5" t="inlineStr">
        <is>
          <t>24-hour convenience store with off-licence and food-to-go</t>
        </is>
      </c>
      <c r="G34" s="5" t="inlineStr">
        <is>
          <t>Independent</t>
        </is>
      </c>
      <c r="H34" s="5" t="inlineStr">
        <is>
          <t>1</t>
        </is>
      </c>
      <c r="I34" s="5" t="inlineStr">
        <is>
          <t>334-336 Dewsbury Road</t>
        </is>
      </c>
      <c r="J34" s="5" t="inlineStr">
        <is>
          <t>Leeds</t>
        </is>
      </c>
      <c r="K34" s="5" t="inlineStr">
        <is>
          <t>LS11 7DJ</t>
        </is>
      </c>
      <c r="L34" s="5" t="inlineStr">
        <is>
          <t>0113 277 5757</t>
        </is>
      </c>
      <c r="M34" s="5" t="inlineStr">
        <is>
          <t>info@kasabeeston.com</t>
        </is>
      </c>
      <c r="N34" s="5" t="inlineStr"/>
      <c r="O34" s="5" t="inlineStr">
        <is>
          <t>https://kasabeeston.com/</t>
        </is>
      </c>
      <c r="P34" s="5" t="inlineStr">
        <is>
          <t>https://www.facebook.com/kasabeestonstore/</t>
        </is>
      </c>
      <c r="Q34" s="5" t="inlineStr"/>
      <c r="R34" s="5" t="inlineStr"/>
      <c r="S34" s="5" t="inlineStr"/>
      <c r="T34" s="5" t="inlineStr"/>
      <c r="U34" s="5" t="inlineStr"/>
      <c r="V34" s="5" t="inlineStr">
        <is>
          <t>Medium</t>
        </is>
      </c>
      <c r="W34" s="5" t="inlineStr">
        <is>
          <t>Independent retailer; Relevant category; Public email available; Active website; Social presence</t>
        </is>
      </c>
      <c r="X34" s="5" t="inlineStr">
        <is>
          <t>Verified directory</t>
        </is>
      </c>
      <c r="Y34" s="5" t="inlineStr">
        <is>
          <t>Website Found</t>
        </is>
      </c>
      <c r="Z34" s="5" t="inlineStr">
        <is>
          <t>Medium</t>
        </is>
      </c>
      <c r="AA34" s="5" t="inlineStr">
        <is>
          <t>Partially Verified</t>
        </is>
      </c>
      <c r="AB34" s="5" t="inlineStr">
        <is>
          <t>https://kasabeeston.com/</t>
        </is>
      </c>
    </row>
    <row r="35">
      <c r="A35" s="10" t="inlineStr">
        <is>
          <t>WY-0103</t>
        </is>
      </c>
      <c r="B35" s="10" t="inlineStr">
        <is>
          <t>WY-0103-01</t>
        </is>
      </c>
      <c r="C35" s="10" t="inlineStr"/>
      <c r="D35" s="10" t="inlineStr">
        <is>
          <t>Kash News &amp; Gifts</t>
        </is>
      </c>
      <c r="E35" s="10" t="inlineStr">
        <is>
          <t>Newsagent</t>
        </is>
      </c>
      <c r="F35" s="10" t="inlineStr">
        <is>
          <t>Newsagent and gifts</t>
        </is>
      </c>
      <c r="G35" s="10" t="inlineStr">
        <is>
          <t>Independent</t>
        </is>
      </c>
      <c r="H35" s="10" t="inlineStr">
        <is>
          <t>1</t>
        </is>
      </c>
      <c r="I35" s="10" t="inlineStr">
        <is>
          <t>51 Commercial Street</t>
        </is>
      </c>
      <c r="J35" s="10" t="inlineStr">
        <is>
          <t>Brighouse</t>
        </is>
      </c>
      <c r="K35" s="10" t="inlineStr">
        <is>
          <t>HD6 1AF</t>
        </is>
      </c>
      <c r="L35" s="10" t="inlineStr">
        <is>
          <t>01484 400405</t>
        </is>
      </c>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Verified directory</t>
        </is>
      </c>
      <c r="Y35" s="10" t="inlineStr">
        <is>
          <t>Not Found</t>
        </is>
      </c>
      <c r="Z35" s="10" t="inlineStr">
        <is>
          <t>Medium</t>
        </is>
      </c>
      <c r="AA35" s="10" t="inlineStr">
        <is>
          <t>Requires Verification</t>
        </is>
      </c>
      <c r="AB35" s="10" t="inlineStr">
        <is>
          <t>https://www.thomsonlocal.com/search/newsagents/halifax-brighouse-calderdale/kash-news-gifts/922805/01484400405</t>
        </is>
      </c>
    </row>
    <row r="36">
      <c r="A36" s="5" t="inlineStr">
        <is>
          <t>WY-0104</t>
        </is>
      </c>
      <c r="B36" s="5" t="inlineStr">
        <is>
          <t>WY-0104-01</t>
        </is>
      </c>
      <c r="C36" s="5" t="inlineStr"/>
      <c r="D36" s="5" t="inlineStr">
        <is>
          <t>Keep In Touch</t>
        </is>
      </c>
      <c r="E36" s="5" t="inlineStr">
        <is>
          <t>Newsagent</t>
        </is>
      </c>
      <c r="F36" s="5" t="inlineStr">
        <is>
          <t>Newsagent</t>
        </is>
      </c>
      <c r="G36" s="5" t="inlineStr">
        <is>
          <t>Independent</t>
        </is>
      </c>
      <c r="H36" s="5" t="inlineStr">
        <is>
          <t>1</t>
        </is>
      </c>
      <c r="I36" s="5" t="inlineStr">
        <is>
          <t>5 Albion Street</t>
        </is>
      </c>
      <c r="J36" s="5" t="inlineStr">
        <is>
          <t>Castleford</t>
        </is>
      </c>
      <c r="K36" s="5" t="inlineStr">
        <is>
          <t>WF10 1EG</t>
        </is>
      </c>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https://www.192.com/atoz/business/castleford-wf10/newsagents/keep-in-touch/645f3ab15b4cb6acdbc0eb9ef27c5a71438678bb/ml/</t>
        </is>
      </c>
    </row>
    <row r="37">
      <c r="A37" s="10" t="inlineStr">
        <is>
          <t>WY-0105</t>
        </is>
      </c>
      <c r="B37" s="10" t="inlineStr">
        <is>
          <t>WY-0105-01</t>
        </is>
      </c>
      <c r="C37" s="10" t="inlineStr"/>
      <c r="D37" s="10" t="inlineStr">
        <is>
          <t>Keighley Newsagent</t>
        </is>
      </c>
      <c r="E37" s="10" t="inlineStr">
        <is>
          <t>Newsagent</t>
        </is>
      </c>
      <c r="F37" s="10" t="inlineStr">
        <is>
          <t>Town-centre newsagent</t>
        </is>
      </c>
      <c r="G37" s="10" t="inlineStr">
        <is>
          <t>Independent</t>
        </is>
      </c>
      <c r="H37" s="10" t="inlineStr">
        <is>
          <t>1</t>
        </is>
      </c>
      <c r="I37" s="10" t="inlineStr">
        <is>
          <t>125 North Street</t>
        </is>
      </c>
      <c r="J37" s="10" t="inlineStr">
        <is>
          <t>Keighley</t>
        </is>
      </c>
      <c r="K37" s="10" t="inlineStr">
        <is>
          <t>BD21 3AD</t>
        </is>
      </c>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Not Found</t>
        </is>
      </c>
      <c r="Y37" s="10" t="inlineStr">
        <is>
          <t>Not Found</t>
        </is>
      </c>
      <c r="Z37" s="10" t="inlineStr">
        <is>
          <t>Low</t>
        </is>
      </c>
      <c r="AA37" s="10" t="inlineStr">
        <is>
          <t>Requires Verification</t>
        </is>
      </c>
      <c r="AB37" s="10" t="inlineStr">
        <is>
          <t>https://directory.bradfordpages.co.uk/company/504571861241856</t>
        </is>
      </c>
    </row>
    <row r="38">
      <c r="A38" s="5" t="inlineStr">
        <is>
          <t>WY-0107</t>
        </is>
      </c>
      <c r="B38" s="5" t="inlineStr">
        <is>
          <t>WY-0107-01</t>
        </is>
      </c>
      <c r="C38" s="5" t="inlineStr"/>
      <c r="D38" s="5" t="inlineStr">
        <is>
          <t>Kubus International Food</t>
        </is>
      </c>
      <c r="E38" s="5" t="inlineStr">
        <is>
          <t>Convenience Store</t>
        </is>
      </c>
      <c r="F38" s="5" t="inlineStr">
        <is>
          <t>International / Eastern European grocery and convenience</t>
        </is>
      </c>
      <c r="G38" s="5" t="inlineStr">
        <is>
          <t>Independent</t>
        </is>
      </c>
      <c r="H38" s="5" t="inlineStr">
        <is>
          <t>1</t>
        </is>
      </c>
      <c r="I38" s="5" t="inlineStr">
        <is>
          <t>86 Kirkgate</t>
        </is>
      </c>
      <c r="J38" s="5" t="inlineStr">
        <is>
          <t>Wakefield</t>
        </is>
      </c>
      <c r="K38" s="5" t="inlineStr"/>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https://www.yorkshire.com/wakefield/shopping/corner-shops/kubus-international-food</t>
        </is>
      </c>
    </row>
    <row r="39">
      <c r="A39" s="10" t="inlineStr">
        <is>
          <t>WY-0111</t>
        </is>
      </c>
      <c r="B39" s="10" t="inlineStr">
        <is>
          <t>WY-0111-01</t>
        </is>
      </c>
      <c r="C39" s="10" t="inlineStr"/>
      <c r="D39" s="10" t="inlineStr">
        <is>
          <t>Local Convenience Store (Elsinore Avenue)</t>
        </is>
      </c>
      <c r="E39" s="10" t="inlineStr">
        <is>
          <t>Convenience Store</t>
        </is>
      </c>
      <c r="F39" s="10" t="inlineStr"/>
      <c r="G39" s="10" t="inlineStr">
        <is>
          <t>Independent</t>
        </is>
      </c>
      <c r="H39" s="10" t="inlineStr">
        <is>
          <t>1</t>
        </is>
      </c>
      <c r="I39" s="10" t="inlineStr">
        <is>
          <t>12 Elsinore Avenue</t>
        </is>
      </c>
      <c r="J39" s="10" t="inlineStr">
        <is>
          <t>Elland</t>
        </is>
      </c>
      <c r="K39" s="10" t="inlineStr">
        <is>
          <t>HX5 0LT</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Low</t>
        </is>
      </c>
      <c r="AA39" s="10" t="inlineStr">
        <is>
          <t>Requires Verification</t>
        </is>
      </c>
      <c r="AB39" s="10" t="inlineStr">
        <is>
          <t>https://www.yorkshire.com/elland/shopping/corner-shops</t>
        </is>
      </c>
    </row>
    <row r="40">
      <c r="A40" s="5" t="inlineStr">
        <is>
          <t>WY-0113</t>
        </is>
      </c>
      <c r="B40" s="5" t="inlineStr">
        <is>
          <t>WY-0113-01</t>
        </is>
      </c>
      <c r="C40" s="5" t="inlineStr"/>
      <c r="D40" s="5" t="inlineStr">
        <is>
          <t>Londis Normanton (313 Castleford Road)</t>
        </is>
      </c>
      <c r="E40" s="5" t="inlineStr">
        <is>
          <t>Convenience Store</t>
        </is>
      </c>
      <c r="F40" s="5" t="inlineStr">
        <is>
          <t>Convenience store with off-licence</t>
        </is>
      </c>
      <c r="G40" s="5" t="inlineStr">
        <is>
          <t>Franchise / Symbol Group</t>
        </is>
      </c>
      <c r="H40" s="5" t="inlineStr">
        <is>
          <t>1</t>
        </is>
      </c>
      <c r="I40" s="5" t="inlineStr">
        <is>
          <t>313 Castleford Road</t>
        </is>
      </c>
      <c r="J40" s="5" t="inlineStr">
        <is>
          <t>Normanton</t>
        </is>
      </c>
      <c r="K40" s="5" t="inlineStr">
        <is>
          <t>WF6 2HL</t>
        </is>
      </c>
      <c r="L40" s="5" t="inlineStr">
        <is>
          <t>01924 892113</t>
        </is>
      </c>
      <c r="M40" s="5" t="inlineStr"/>
      <c r="N40" s="5" t="inlineStr"/>
      <c r="O40" s="5" t="inlineStr">
        <is>
          <t>https://www.londis.co.uk/our-stores/londis-normanton</t>
        </is>
      </c>
      <c r="P40" s="5" t="inlineStr"/>
      <c r="Q40" s="5" t="inlineStr"/>
      <c r="R40" s="5" t="inlineStr"/>
      <c r="S40" s="5" t="inlineStr"/>
      <c r="T40" s="5" t="inlineStr"/>
      <c r="U40" s="5" t="inlineStr"/>
      <c r="V40" s="5" t="inlineStr">
        <is>
          <t>Medium</t>
        </is>
      </c>
      <c r="W40" s="5" t="inlineStr">
        <is>
          <t>Independent retailer; Relevant category; Active website; Phone verified on official website</t>
        </is>
      </c>
      <c r="X40" s="5" t="inlineStr">
        <is>
          <t>Verified on official website</t>
        </is>
      </c>
      <c r="Y40" s="5" t="inlineStr">
        <is>
          <t>Not Found</t>
        </is>
      </c>
      <c r="Z40" s="5" t="inlineStr">
        <is>
          <t>Medium</t>
        </is>
      </c>
      <c r="AA40" s="5" t="inlineStr">
        <is>
          <t>Requires Verification</t>
        </is>
      </c>
      <c r="AB40" s="5" t="inlineStr">
        <is>
          <t>https://www.londis.co.uk/our-stores/londis-normanton</t>
        </is>
      </c>
    </row>
    <row r="41">
      <c r="A41" s="10" t="inlineStr">
        <is>
          <t>WY-0114</t>
        </is>
      </c>
      <c r="B41" s="10" t="inlineStr">
        <is>
          <t>WY-0114-01</t>
        </is>
      </c>
      <c r="C41" s="10" t="inlineStr"/>
      <c r="D41" s="10" t="inlineStr">
        <is>
          <t>Londis Normanton (Castleford Road, WF6 2DW)</t>
        </is>
      </c>
      <c r="E41" s="10" t="inlineStr">
        <is>
          <t>Convenience Store</t>
        </is>
      </c>
      <c r="F41" s="10" t="inlineStr">
        <is>
          <t>Convenience store with off-licence</t>
        </is>
      </c>
      <c r="G41" s="10" t="inlineStr">
        <is>
          <t>Franchise / Symbol Group</t>
        </is>
      </c>
      <c r="H41" s="10" t="inlineStr">
        <is>
          <t>1</t>
        </is>
      </c>
      <c r="I41" s="10" t="inlineStr">
        <is>
          <t>Castleford Road</t>
        </is>
      </c>
      <c r="J41" s="10" t="inlineStr">
        <is>
          <t>Normanton</t>
        </is>
      </c>
      <c r="K41" s="10" t="inlineStr">
        <is>
          <t>WF6 2DW</t>
        </is>
      </c>
      <c r="L41" s="10" t="inlineStr">
        <is>
          <t>01924 890438</t>
        </is>
      </c>
      <c r="M41" s="10" t="inlineStr"/>
      <c r="N41" s="10" t="inlineStr"/>
      <c r="O41" s="10" t="inlineStr">
        <is>
          <t>https://www.londis.co.uk/our-stores/normanton</t>
        </is>
      </c>
      <c r="P41" s="10" t="inlineStr"/>
      <c r="Q41" s="10" t="inlineStr"/>
      <c r="R41" s="10" t="inlineStr"/>
      <c r="S41" s="10" t="inlineStr"/>
      <c r="T41" s="10" t="inlineStr"/>
      <c r="U41" s="10" t="inlineStr"/>
      <c r="V41" s="10" t="inlineStr">
        <is>
          <t>Medium</t>
        </is>
      </c>
      <c r="W41" s="10" t="inlineStr">
        <is>
          <t>Independent retailer; Relevant category; Active website; Phone verified on official website</t>
        </is>
      </c>
      <c r="X41" s="10" t="inlineStr">
        <is>
          <t>Verified on official website</t>
        </is>
      </c>
      <c r="Y41" s="10" t="inlineStr">
        <is>
          <t>Not Found</t>
        </is>
      </c>
      <c r="Z41" s="10" t="inlineStr">
        <is>
          <t>Medium</t>
        </is>
      </c>
      <c r="AA41" s="10" t="inlineStr">
        <is>
          <t>Requires Verification</t>
        </is>
      </c>
      <c r="AB41" s="10" t="inlineStr">
        <is>
          <t>https://www.londis.co.uk/our-stores/normanton</t>
        </is>
      </c>
    </row>
    <row r="42">
      <c r="A42" s="5" t="inlineStr">
        <is>
          <t>WY-0115</t>
        </is>
      </c>
      <c r="B42" s="5" t="inlineStr">
        <is>
          <t>WY-0115-01</t>
        </is>
      </c>
      <c r="C42" s="5" t="inlineStr"/>
      <c r="D42" s="5" t="inlineStr">
        <is>
          <t>Londis Ravensthorpe</t>
        </is>
      </c>
      <c r="E42" s="5" t="inlineStr">
        <is>
          <t>Convenience Store</t>
        </is>
      </c>
      <c r="F42" s="5" t="inlineStr">
        <is>
          <t>Londis symbol group convenience store</t>
        </is>
      </c>
      <c r="G42" s="5" t="inlineStr">
        <is>
          <t>Franchise / Symbol Group</t>
        </is>
      </c>
      <c r="H42" s="5" t="inlineStr">
        <is>
          <t>1</t>
        </is>
      </c>
      <c r="I42" s="5" t="inlineStr"/>
      <c r="J42" s="5" t="inlineStr">
        <is>
          <t>Dewsbury</t>
        </is>
      </c>
      <c r="K42" s="5" t="inlineStr">
        <is>
          <t>WF13 3JE</t>
        </is>
      </c>
      <c r="L42" s="5" t="inlineStr">
        <is>
          <t>01924 461300</t>
        </is>
      </c>
      <c r="M42" s="5" t="inlineStr"/>
      <c r="N42" s="5" t="inlineStr"/>
      <c r="O42" s="5" t="inlineStr">
        <is>
          <t>https://www.londis.co.uk/our-stores/londis-ravensthorpe</t>
        </is>
      </c>
      <c r="P42" s="5" t="inlineStr"/>
      <c r="Q42" s="5" t="inlineStr"/>
      <c r="R42" s="5" t="inlineStr"/>
      <c r="S42" s="5" t="inlineStr"/>
      <c r="T42" s="5" t="inlineStr"/>
      <c r="U42" s="5" t="inlineStr"/>
      <c r="V42" s="5" t="inlineStr">
        <is>
          <t>Medium</t>
        </is>
      </c>
      <c r="W42" s="5" t="inlineStr">
        <is>
          <t>Independent retailer; Relevant category; Active website</t>
        </is>
      </c>
      <c r="X42" s="5" t="inlineStr">
        <is>
          <t>Verified directory</t>
        </is>
      </c>
      <c r="Y42" s="5" t="inlineStr">
        <is>
          <t>Not Found</t>
        </is>
      </c>
      <c r="Z42" s="5" t="inlineStr">
        <is>
          <t>Medium</t>
        </is>
      </c>
      <c r="AA42" s="5" t="inlineStr">
        <is>
          <t>Requires Verification</t>
        </is>
      </c>
      <c r="AB42" s="5" t="inlineStr">
        <is>
          <t>https://www.londis.co.uk/our-stores/londis-ravensthorpe</t>
        </is>
      </c>
    </row>
    <row r="43">
      <c r="A43" s="10" t="inlineStr">
        <is>
          <t>WY-0116</t>
        </is>
      </c>
      <c r="B43" s="10" t="inlineStr">
        <is>
          <t>WY-0116-01</t>
        </is>
      </c>
      <c r="C43" s="10" t="inlineStr"/>
      <c r="D43" s="10" t="inlineStr">
        <is>
          <t>Low Lane Convenience Store (Premier)</t>
        </is>
      </c>
      <c r="E43" s="10" t="inlineStr">
        <is>
          <t>Convenience Store</t>
        </is>
      </c>
      <c r="F43" s="10" t="inlineStr">
        <is>
          <t>Premier symbol group convenience store</t>
        </is>
      </c>
      <c r="G43" s="10" t="inlineStr">
        <is>
          <t>Franchise / Symbol Group</t>
        </is>
      </c>
      <c r="H43" s="10" t="inlineStr">
        <is>
          <t>1</t>
        </is>
      </c>
      <c r="I43" s="10" t="inlineStr">
        <is>
          <t>6 Low Lane</t>
        </is>
      </c>
      <c r="J43" s="10" t="inlineStr">
        <is>
          <t>Batley</t>
        </is>
      </c>
      <c r="K43" s="10" t="inlineStr">
        <is>
          <t>WF17 9EY</t>
        </is>
      </c>
      <c r="L43" s="10" t="inlineStr"/>
      <c r="M43" s="10" t="inlineStr"/>
      <c r="N43" s="10" t="inlineStr"/>
      <c r="O43" s="10" t="inlineStr">
        <is>
          <t>https://www.premier-stores.co.uk/our-stores/low-lane-convenience-store</t>
        </is>
      </c>
      <c r="P43" s="10" t="inlineStr"/>
      <c r="Q43" s="10" t="inlineStr"/>
      <c r="R43" s="10" t="inlineStr"/>
      <c r="S43" s="10" t="inlineStr"/>
      <c r="T43" s="10" t="inlineStr"/>
      <c r="U43" s="10" t="inlineStr"/>
      <c r="V43" s="10" t="inlineStr">
        <is>
          <t>Medium</t>
        </is>
      </c>
      <c r="W43" s="10" t="inlineStr">
        <is>
          <t>Independent retailer; Relevant category; Active website</t>
        </is>
      </c>
      <c r="X43" s="10" t="inlineStr">
        <is>
          <t>Not Found</t>
        </is>
      </c>
      <c r="Y43" s="10" t="inlineStr">
        <is>
          <t>Not Found</t>
        </is>
      </c>
      <c r="Z43" s="10" t="inlineStr">
        <is>
          <t>Medium</t>
        </is>
      </c>
      <c r="AA43" s="10" t="inlineStr">
        <is>
          <t>Requires Verification</t>
        </is>
      </c>
      <c r="AB43" s="10" t="inlineStr">
        <is>
          <t>https://www.premier-stores.co.uk/our-stores/low-lane-convenience-store</t>
        </is>
      </c>
    </row>
    <row r="44">
      <c r="A44" s="5" t="inlineStr">
        <is>
          <t>WY-0117</t>
        </is>
      </c>
      <c r="B44" s="5" t="inlineStr">
        <is>
          <t>WY-0117-01</t>
        </is>
      </c>
      <c r="C44" s="5" t="inlineStr"/>
      <c r="D44" s="5" t="inlineStr">
        <is>
          <t>Mace News &amp; Off Licence</t>
        </is>
      </c>
      <c r="E44" s="5" t="inlineStr">
        <is>
          <t>Newsagent</t>
        </is>
      </c>
      <c r="F44" s="5" t="inlineStr">
        <is>
          <t>Newsagent with off-licence</t>
        </is>
      </c>
      <c r="G44" s="5" t="inlineStr">
        <is>
          <t>Franchise / Symbol Group</t>
        </is>
      </c>
      <c r="H44" s="5" t="inlineStr">
        <is>
          <t>1</t>
        </is>
      </c>
      <c r="I44" s="5" t="inlineStr">
        <is>
          <t>Otley Road</t>
        </is>
      </c>
      <c r="J44" s="5" t="inlineStr">
        <is>
          <t>Shipley</t>
        </is>
      </c>
      <c r="K44" s="5" t="inlineStr"/>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https://www.yorkshire.com/shipley/shopping/off-license/mace-news-off-licence</t>
        </is>
      </c>
    </row>
    <row r="45">
      <c r="A45" s="10" t="inlineStr">
        <is>
          <t>WY-0119</t>
        </is>
      </c>
      <c r="B45" s="10" t="inlineStr">
        <is>
          <t>WY-0119-01</t>
        </is>
      </c>
      <c r="C45" s="10" t="inlineStr"/>
      <c r="D45" s="10" t="inlineStr">
        <is>
          <t>Matharu Newsagents</t>
        </is>
      </c>
      <c r="E45" s="10" t="inlineStr">
        <is>
          <t>Newsagent</t>
        </is>
      </c>
      <c r="F45" s="10" t="inlineStr"/>
      <c r="G45" s="10" t="inlineStr">
        <is>
          <t>Independent</t>
        </is>
      </c>
      <c r="H45" s="10" t="inlineStr">
        <is>
          <t>1</t>
        </is>
      </c>
      <c r="I45" s="10" t="inlineStr">
        <is>
          <t>46 Monk Bridge Road</t>
        </is>
      </c>
      <c r="J45" s="10" t="inlineStr">
        <is>
          <t>Leeds</t>
        </is>
      </c>
      <c r="K45" s="10" t="inlineStr">
        <is>
          <t>LS6 4ER</t>
        </is>
      </c>
      <c r="L45" s="10" t="inlineStr">
        <is>
          <t>0113 275 1851</t>
        </is>
      </c>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Verified directory</t>
        </is>
      </c>
      <c r="Y45" s="10" t="inlineStr">
        <is>
          <t>Not Found</t>
        </is>
      </c>
      <c r="Z45" s="10" t="inlineStr">
        <is>
          <t>Medium</t>
        </is>
      </c>
      <c r="AA45" s="10" t="inlineStr">
        <is>
          <t>Requires Verification</t>
        </is>
      </c>
      <c r="AB45" s="10" t="inlineStr">
        <is>
          <t>https://findit.yorkshireeveningpost.co.uk/search/leeds/newsagent</t>
        </is>
      </c>
    </row>
    <row r="46">
      <c r="A46" s="5" t="inlineStr">
        <is>
          <t>WY-0120</t>
        </is>
      </c>
      <c r="B46" s="5" t="inlineStr">
        <is>
          <t>WY-0120-01</t>
        </is>
      </c>
      <c r="C46" s="5" t="inlineStr"/>
      <c r="D46" s="5" t="inlineStr">
        <is>
          <t>Meltham Convenience Store</t>
        </is>
      </c>
      <c r="E46" s="5" t="inlineStr">
        <is>
          <t>Convenience Store</t>
        </is>
      </c>
      <c r="F46" s="5" t="inlineStr">
        <is>
          <t>Convenience store and off-licence</t>
        </is>
      </c>
      <c r="G46" s="5" t="inlineStr">
        <is>
          <t>Independent</t>
        </is>
      </c>
      <c r="H46" s="5" t="inlineStr">
        <is>
          <t>1</t>
        </is>
      </c>
      <c r="I46" s="5" t="inlineStr">
        <is>
          <t>30 Meltham Mills Road</t>
        </is>
      </c>
      <c r="J46" s="5" t="inlineStr">
        <is>
          <t>Meltham</t>
        </is>
      </c>
      <c r="K46" s="5" t="inlineStr">
        <is>
          <t>HD9 4EJ</t>
        </is>
      </c>
      <c r="L46" s="5" t="inlineStr">
        <is>
          <t>01484 618211</t>
        </is>
      </c>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Verified directory</t>
        </is>
      </c>
      <c r="Y46" s="5" t="inlineStr">
        <is>
          <t>Not Found</t>
        </is>
      </c>
      <c r="Z46" s="5" t="inlineStr">
        <is>
          <t>Medium</t>
        </is>
      </c>
      <c r="AA46" s="5" t="inlineStr">
        <is>
          <t>Requires Verification</t>
        </is>
      </c>
      <c r="AB46" s="5" t="inlineStr">
        <is>
          <t>https://www.yell.com/biz/meltham-convenience-store-holmfirth-9079746/</t>
        </is>
      </c>
    </row>
    <row r="47">
      <c r="A47" s="10" t="inlineStr">
        <is>
          <t>WY-0122</t>
        </is>
      </c>
      <c r="B47" s="10" t="inlineStr">
        <is>
          <t>WY-0122-01</t>
        </is>
      </c>
      <c r="C47" s="10" t="inlineStr"/>
      <c r="D47" s="10" t="inlineStr">
        <is>
          <t>Mount Pellon Newsagent</t>
        </is>
      </c>
      <c r="E47" s="10" t="inlineStr">
        <is>
          <t>Newsagent</t>
        </is>
      </c>
      <c r="F47" s="10" t="inlineStr">
        <is>
          <t>Corner shop newsagent with Royal Mail parcel services</t>
        </is>
      </c>
      <c r="G47" s="10" t="inlineStr">
        <is>
          <t>Independent</t>
        </is>
      </c>
      <c r="H47" s="10" t="inlineStr">
        <is>
          <t>1</t>
        </is>
      </c>
      <c r="I47" s="10" t="inlineStr">
        <is>
          <t>Cross Street West</t>
        </is>
      </c>
      <c r="J47" s="10" t="inlineStr">
        <is>
          <t>Halifax</t>
        </is>
      </c>
      <c r="K47" s="10" t="inlineStr">
        <is>
          <t>HX2 0HA</t>
        </is>
      </c>
      <c r="L47" s="10" t="inlineStr">
        <is>
          <t>01422 361609</t>
        </is>
      </c>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Verified directory</t>
        </is>
      </c>
      <c r="Y47" s="10" t="inlineStr">
        <is>
          <t>Not Found</t>
        </is>
      </c>
      <c r="Z47" s="10" t="inlineStr">
        <is>
          <t>Medium</t>
        </is>
      </c>
      <c r="AA47" s="10" t="inlineStr">
        <is>
          <t>Requires Verification</t>
        </is>
      </c>
      <c r="AB47" s="10" t="inlineStr">
        <is>
          <t>https://www.misterwhat.co.uk/company/573371-mount-pellon-newsagent-halifax</t>
        </is>
      </c>
    </row>
    <row r="48">
      <c r="A48" s="5" t="inlineStr">
        <is>
          <t>WY-0124</t>
        </is>
      </c>
      <c r="B48" s="5" t="inlineStr">
        <is>
          <t>WY-0124-01</t>
        </is>
      </c>
      <c r="C48" s="5" t="inlineStr"/>
      <c r="D48" s="5" t="inlineStr">
        <is>
          <t>Mytholmroyd Post Office</t>
        </is>
      </c>
      <c r="E48" s="5" t="inlineStr">
        <is>
          <t>Convenience Store</t>
        </is>
      </c>
      <c r="F48" s="5" t="inlineStr">
        <is>
          <t>Post office and newsagent counter</t>
        </is>
      </c>
      <c r="G48" s="5" t="inlineStr">
        <is>
          <t>Independent</t>
        </is>
      </c>
      <c r="H48" s="5" t="inlineStr">
        <is>
          <t>1</t>
        </is>
      </c>
      <c r="I48" s="5" t="inlineStr">
        <is>
          <t>Grange Dene, Burnley Road</t>
        </is>
      </c>
      <c r="J48" s="5" t="inlineStr">
        <is>
          <t>Mytholmroyd</t>
        </is>
      </c>
      <c r="K48" s="5" t="inlineStr">
        <is>
          <t>HX7 5LF</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Medium</t>
        </is>
      </c>
      <c r="AA48" s="5" t="inlineStr">
        <is>
          <t>Requires Verification</t>
        </is>
      </c>
      <c r="AB48" s="5" t="inlineStr">
        <is>
          <t>https://www.postoffice.co.uk/branch-finder/6314589/mytholmroyd</t>
        </is>
      </c>
    </row>
    <row r="49">
      <c r="A49" s="10" t="inlineStr">
        <is>
          <t>WY-0125</t>
        </is>
      </c>
      <c r="B49" s="10" t="inlineStr">
        <is>
          <t>WY-0125-01</t>
        </is>
      </c>
      <c r="C49" s="10" t="inlineStr"/>
      <c r="D49" s="10" t="inlineStr">
        <is>
          <t>Nisa Local Knottingley</t>
        </is>
      </c>
      <c r="E49" s="10" t="inlineStr">
        <is>
          <t>Convenience Store</t>
        </is>
      </c>
      <c r="F49" s="10" t="inlineStr">
        <is>
          <t>Symbol group convenience store</t>
        </is>
      </c>
      <c r="G49" s="10" t="inlineStr">
        <is>
          <t>Franchise / Symbol Group</t>
        </is>
      </c>
      <c r="H49" s="10" t="inlineStr">
        <is>
          <t>1</t>
        </is>
      </c>
      <c r="I49" s="10" t="inlineStr">
        <is>
          <t>12-14 Pinewood Place</t>
        </is>
      </c>
      <c r="J49" s="10" t="inlineStr">
        <is>
          <t>Knottingley</t>
        </is>
      </c>
      <c r="K49" s="10" t="inlineStr">
        <is>
          <t>WF11 0QH</t>
        </is>
      </c>
      <c r="L49" s="10" t="inlineStr">
        <is>
          <t>01977 607202</t>
        </is>
      </c>
      <c r="M49" s="10" t="inlineStr"/>
      <c r="N49" s="10" t="inlineStr"/>
      <c r="O49" s="10" t="inlineStr">
        <is>
          <t>https://www.nisalocally.co.uk/stores/west-yorkshire/knottingley</t>
        </is>
      </c>
      <c r="P49" s="10" t="inlineStr">
        <is>
          <t>https://www.facebook.com/NisaLocalPinewoodPlaceKnottingley/</t>
        </is>
      </c>
      <c r="Q49" s="10" t="inlineStr"/>
      <c r="R49" s="10" t="inlineStr"/>
      <c r="S49" s="10" t="inlineStr"/>
      <c r="T49" s="10" t="inlineStr"/>
      <c r="U49" s="10" t="inlineStr"/>
      <c r="V49" s="10" t="inlineStr">
        <is>
          <t>Medium</t>
        </is>
      </c>
      <c r="W49" s="10" t="inlineStr">
        <is>
          <t>Independent retailer; Relevant category; Active website; Social presence</t>
        </is>
      </c>
      <c r="X49" s="10" t="inlineStr">
        <is>
          <t>Verified directory</t>
        </is>
      </c>
      <c r="Y49" s="10" t="inlineStr">
        <is>
          <t>Not Found</t>
        </is>
      </c>
      <c r="Z49" s="10" t="inlineStr">
        <is>
          <t>Medium</t>
        </is>
      </c>
      <c r="AA49" s="10" t="inlineStr">
        <is>
          <t>Requires Verification</t>
        </is>
      </c>
      <c r="AB49" s="10" t="inlineStr">
        <is>
          <t>https://www.nisalocally.co.uk/stores/west-yorkshire/knottingley</t>
        </is>
      </c>
    </row>
    <row r="50">
      <c r="A50" s="5" t="inlineStr">
        <is>
          <t>WY-0126</t>
        </is>
      </c>
      <c r="B50" s="5" t="inlineStr">
        <is>
          <t>WY-0126-01</t>
        </is>
      </c>
      <c r="C50" s="5" t="inlineStr"/>
      <c r="D50" s="5" t="inlineStr">
        <is>
          <t>Northowram Post Office</t>
        </is>
      </c>
      <c r="E50" s="5" t="inlineStr">
        <is>
          <t>Convenience Store</t>
        </is>
      </c>
      <c r="F50" s="5" t="inlineStr">
        <is>
          <t>Family-run convenience store with post office</t>
        </is>
      </c>
      <c r="G50" s="5" t="inlineStr">
        <is>
          <t>Independent</t>
        </is>
      </c>
      <c r="H50" s="5" t="inlineStr">
        <is>
          <t>1</t>
        </is>
      </c>
      <c r="I50" s="5" t="inlineStr">
        <is>
          <t>62 Towngate</t>
        </is>
      </c>
      <c r="J50" s="5" t="inlineStr">
        <is>
          <t>Halifax</t>
        </is>
      </c>
      <c r="K50" s="5" t="inlineStr">
        <is>
          <t>HX3 7DX</t>
        </is>
      </c>
      <c r="L50" s="5" t="inlineStr"/>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Not Found</t>
        </is>
      </c>
      <c r="Y50" s="5" t="inlineStr">
        <is>
          <t>Not Found</t>
        </is>
      </c>
      <c r="Z50" s="5" t="inlineStr">
        <is>
          <t>Medium</t>
        </is>
      </c>
      <c r="AA50" s="5" t="inlineStr">
        <is>
          <t>Requires Verification</t>
        </is>
      </c>
      <c r="AB50" s="5" t="inlineStr">
        <is>
          <t>https://www.postoffice.co.uk/branch-finder/6204589/northowram</t>
        </is>
      </c>
    </row>
    <row r="51">
      <c r="A51" s="10" t="inlineStr">
        <is>
          <t>WY-0127</t>
        </is>
      </c>
      <c r="B51" s="10" t="inlineStr">
        <is>
          <t>WY-0127-01</t>
        </is>
      </c>
      <c r="C51" s="10" t="inlineStr"/>
      <c r="D51" s="10" t="inlineStr">
        <is>
          <t>Notay Convenience Store (Premier)</t>
        </is>
      </c>
      <c r="E51" s="10" t="inlineStr">
        <is>
          <t>Convenience Store</t>
        </is>
      </c>
      <c r="F51" s="10" t="inlineStr">
        <is>
          <t>Premier symbol group convenience store</t>
        </is>
      </c>
      <c r="G51" s="10" t="inlineStr">
        <is>
          <t>Franchise / Symbol Group</t>
        </is>
      </c>
      <c r="H51" s="10" t="inlineStr">
        <is>
          <t>1</t>
        </is>
      </c>
      <c r="I51" s="10" t="inlineStr">
        <is>
          <t>Oakhill Road</t>
        </is>
      </c>
      <c r="J51" s="10" t="inlineStr">
        <is>
          <t>Batley</t>
        </is>
      </c>
      <c r="K51" s="10" t="inlineStr">
        <is>
          <t>WF17 8JD</t>
        </is>
      </c>
      <c r="L51" s="10" t="inlineStr">
        <is>
          <t>01924 471483</t>
        </is>
      </c>
      <c r="M51" s="10" t="inlineStr"/>
      <c r="N51" s="10" t="inlineStr"/>
      <c r="O51" s="10" t="inlineStr">
        <is>
          <t>https://www.premier-stores.co.uk/our-stores/notay-convenience-store</t>
        </is>
      </c>
      <c r="P51" s="10" t="inlineStr"/>
      <c r="Q51" s="10" t="inlineStr"/>
      <c r="R51" s="10" t="inlineStr"/>
      <c r="S51" s="10" t="inlineStr"/>
      <c r="T51" s="10" t="inlineStr"/>
      <c r="U51" s="10" t="inlineStr"/>
      <c r="V51" s="10" t="inlineStr">
        <is>
          <t>Medium</t>
        </is>
      </c>
      <c r="W51" s="10" t="inlineStr">
        <is>
          <t>Independent retailer; Relevant category; Active website</t>
        </is>
      </c>
      <c r="X51" s="10" t="inlineStr">
        <is>
          <t>Verified directory</t>
        </is>
      </c>
      <c r="Y51" s="10" t="inlineStr">
        <is>
          <t>Not Found</t>
        </is>
      </c>
      <c r="Z51" s="10" t="inlineStr">
        <is>
          <t>Medium</t>
        </is>
      </c>
      <c r="AA51" s="10" t="inlineStr">
        <is>
          <t>Requires Verification</t>
        </is>
      </c>
      <c r="AB51" s="10" t="inlineStr">
        <is>
          <t>https://www.premier-stores.co.uk/our-stores/notay-convenience-store</t>
        </is>
      </c>
    </row>
    <row r="52">
      <c r="A52" s="5" t="inlineStr">
        <is>
          <t>WY-0129</t>
        </is>
      </c>
      <c r="B52" s="5" t="inlineStr">
        <is>
          <t>WY-0129-01</t>
        </is>
      </c>
      <c r="C52" s="5" t="inlineStr"/>
      <c r="D52" s="5" t="inlineStr">
        <is>
          <t>Outwood Express</t>
        </is>
      </c>
      <c r="E52" s="5" t="inlineStr">
        <is>
          <t>Convenience Store</t>
        </is>
      </c>
      <c r="F52" s="5" t="inlineStr">
        <is>
          <t>Convenience store / grocer</t>
        </is>
      </c>
      <c r="G52" s="5" t="inlineStr">
        <is>
          <t>Independent</t>
        </is>
      </c>
      <c r="H52" s="5" t="inlineStr">
        <is>
          <t>1</t>
        </is>
      </c>
      <c r="I52" s="5" t="inlineStr"/>
      <c r="J52" s="5" t="inlineStr">
        <is>
          <t>Wakefield</t>
        </is>
      </c>
      <c r="K52" s="5" t="inlineStr"/>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https://www.yell.com/biz/outwood-express-wakefield-10165328/</t>
        </is>
      </c>
    </row>
    <row r="53">
      <c r="A53" s="10" t="inlineStr">
        <is>
          <t>WY-0133</t>
        </is>
      </c>
      <c r="B53" s="10" t="inlineStr">
        <is>
          <t>WY-0133-01</t>
        </is>
      </c>
      <c r="C53" s="10" t="inlineStr"/>
      <c r="D53" s="10" t="inlineStr">
        <is>
          <t>Premier (Bingley Convenience Store)</t>
        </is>
      </c>
      <c r="E53" s="10" t="inlineStr">
        <is>
          <t>Convenience Store</t>
        </is>
      </c>
      <c r="F53" s="10" t="inlineStr">
        <is>
          <t>Symbol-group convenience store</t>
        </is>
      </c>
      <c r="G53" s="10" t="inlineStr">
        <is>
          <t>Franchise / Symbol Group</t>
        </is>
      </c>
      <c r="H53" s="10" t="inlineStr">
        <is>
          <t>1</t>
        </is>
      </c>
      <c r="I53" s="10" t="inlineStr"/>
      <c r="J53" s="10" t="inlineStr">
        <is>
          <t>Bingley</t>
        </is>
      </c>
      <c r="K53" s="10" t="inlineStr"/>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Low</t>
        </is>
      </c>
      <c r="AA53" s="10" t="inlineStr">
        <is>
          <t>Requires Verification</t>
        </is>
      </c>
      <c r="AB53" s="10" t="inlineStr">
        <is>
          <t>https://www.yorkshire.com/bingley/shopping/corner-shops/premier-bingley-convenience-store</t>
        </is>
      </c>
    </row>
    <row r="54">
      <c r="A54" s="5" t="inlineStr">
        <is>
          <t>WY-0134</t>
        </is>
      </c>
      <c r="B54" s="5" t="inlineStr">
        <is>
          <t>WY-0134-01</t>
        </is>
      </c>
      <c r="C54" s="5" t="inlineStr"/>
      <c r="D54" s="5" t="inlineStr">
        <is>
          <t>Premier Hemsworth</t>
        </is>
      </c>
      <c r="E54" s="5" t="inlineStr">
        <is>
          <t>Convenience Store</t>
        </is>
      </c>
      <c r="F54" s="5" t="inlineStr">
        <is>
          <t>Symbol group convenience store</t>
        </is>
      </c>
      <c r="G54" s="5" t="inlineStr">
        <is>
          <t>Franchise / Symbol Group</t>
        </is>
      </c>
      <c r="H54" s="5" t="inlineStr">
        <is>
          <t>1</t>
        </is>
      </c>
      <c r="I54" s="5" t="inlineStr">
        <is>
          <t>51-55 Barnsley Road</t>
        </is>
      </c>
      <c r="J54" s="5" t="inlineStr">
        <is>
          <t>Hemsworth</t>
        </is>
      </c>
      <c r="K54" s="5" t="inlineStr">
        <is>
          <t>WF9 4QZ</t>
        </is>
      </c>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Medium</t>
        </is>
      </c>
      <c r="AA54" s="5" t="inlineStr">
        <is>
          <t>Requires Verification</t>
        </is>
      </c>
      <c r="AB54" s="5" t="inlineStr">
        <is>
          <t>https://hemsworth.ukintouch.com/convenience-store/premier-hemsworth/</t>
        </is>
      </c>
    </row>
    <row r="55">
      <c r="A55" s="10" t="inlineStr">
        <is>
          <t>WY-0136</t>
        </is>
      </c>
      <c r="B55" s="10" t="inlineStr">
        <is>
          <t>WY-0136-01</t>
        </is>
      </c>
      <c r="C55" s="10" t="inlineStr"/>
      <c r="D55" s="10" t="inlineStr">
        <is>
          <t>Quix Newsagents, Off Licence &amp; Convenience Store</t>
        </is>
      </c>
      <c r="E55" s="10" t="inlineStr">
        <is>
          <t>Convenience Store</t>
        </is>
      </c>
      <c r="F55" s="10" t="inlineStr">
        <is>
          <t>Newsagent, off-licence &amp; convenience store</t>
        </is>
      </c>
      <c r="G55" s="10" t="inlineStr">
        <is>
          <t>Independent</t>
        </is>
      </c>
      <c r="H55" s="10" t="inlineStr">
        <is>
          <t>1</t>
        </is>
      </c>
      <c r="I55" s="10" t="inlineStr"/>
      <c r="J55" s="10" t="inlineStr">
        <is>
          <t>Shipley</t>
        </is>
      </c>
      <c r="K55" s="10" t="inlineStr"/>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https://www.yorkshire.com/shipley/shopping/corner-shops/quix-newsagents-off-licence-convenience-store</t>
        </is>
      </c>
    </row>
    <row r="56">
      <c r="A56" s="5" t="inlineStr">
        <is>
          <t>WY-0137</t>
        </is>
      </c>
      <c r="B56" s="5" t="inlineStr">
        <is>
          <t>WY-0137-01</t>
        </is>
      </c>
      <c r="C56" s="5" t="inlineStr"/>
      <c r="D56" s="5" t="inlineStr">
        <is>
          <t>Rahien Mini Market</t>
        </is>
      </c>
      <c r="E56" s="5" t="inlineStr">
        <is>
          <t>Convenience Store</t>
        </is>
      </c>
      <c r="F56" s="5" t="inlineStr">
        <is>
          <t>Mini market</t>
        </is>
      </c>
      <c r="G56" s="5" t="inlineStr">
        <is>
          <t>Independent</t>
        </is>
      </c>
      <c r="H56" s="5" t="inlineStr">
        <is>
          <t>1</t>
        </is>
      </c>
      <c r="I56" s="5" t="inlineStr">
        <is>
          <t>Queen's Road</t>
        </is>
      </c>
      <c r="J56" s="5" t="inlineStr">
        <is>
          <t>Leeds</t>
        </is>
      </c>
      <c r="K56" s="5" t="inlineStr"/>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https://www.yorkshire.com/headingley/shopping/markets/rahien-mini-market</t>
        </is>
      </c>
    </row>
    <row r="57">
      <c r="A57" s="10" t="inlineStr">
        <is>
          <t>UK-000272</t>
        </is>
      </c>
      <c r="B57" s="10" t="inlineStr">
        <is>
          <t>UK-000272-01</t>
        </is>
      </c>
      <c r="C57" s="10" t="inlineStr"/>
      <c r="D57" s="10" t="inlineStr">
        <is>
          <t>Ripon News</t>
        </is>
      </c>
      <c r="E57" s="10" t="inlineStr">
        <is>
          <t>Newsagent</t>
        </is>
      </c>
      <c r="F57" s="10" t="inlineStr">
        <is>
          <t>Newsagent &amp; convenience</t>
        </is>
      </c>
      <c r="G57" s="10" t="inlineStr">
        <is>
          <t>Independent</t>
        </is>
      </c>
      <c r="H57" s="10" t="inlineStr">
        <is>
          <t>1</t>
        </is>
      </c>
      <c r="I57" s="10" t="inlineStr">
        <is>
          <t>54 North Street</t>
        </is>
      </c>
      <c r="J57" s="10" t="inlineStr">
        <is>
          <t>Ripon</t>
        </is>
      </c>
      <c r="K57" s="10" t="inlineStr">
        <is>
          <t>HG4 1EN</t>
        </is>
      </c>
      <c r="L57" s="10" t="inlineStr">
        <is>
          <t>01765 604337</t>
        </is>
      </c>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Verified directory</t>
        </is>
      </c>
      <c r="Y57" s="10" t="inlineStr">
        <is>
          <t>Not Found</t>
        </is>
      </c>
      <c r="Z57" s="10" t="inlineStr">
        <is>
          <t>Low</t>
        </is>
      </c>
      <c r="AA57" s="10" t="inlineStr">
        <is>
          <t>Requires Verification</t>
        </is>
      </c>
      <c r="AB57" s="10" t="inlineStr">
        <is>
          <t>https://www.scoot.co.uk/England/North-Yorkshire/Ripon/Ripon-News-CFRK298.html</t>
        </is>
      </c>
    </row>
    <row r="58">
      <c r="A58" s="5" t="inlineStr">
        <is>
          <t>UK-000274</t>
        </is>
      </c>
      <c r="B58" s="5" t="inlineStr">
        <is>
          <t>UK-000274-01</t>
        </is>
      </c>
      <c r="C58" s="5" t="inlineStr"/>
      <c r="D58" s="5" t="inlineStr">
        <is>
          <t>S.J. Convenience Store</t>
        </is>
      </c>
      <c r="E58" s="5" t="inlineStr">
        <is>
          <t>Convenience Store</t>
        </is>
      </c>
      <c r="F58" s="5" t="inlineStr">
        <is>
          <t>Corner shop</t>
        </is>
      </c>
      <c r="G58" s="5" t="inlineStr">
        <is>
          <t>Independent</t>
        </is>
      </c>
      <c r="H58" s="5" t="inlineStr">
        <is>
          <t>1</t>
        </is>
      </c>
      <c r="I58" s="5" t="inlineStr"/>
      <c r="J58" s="5" t="inlineStr">
        <is>
          <t>Kingston upon Hull</t>
        </is>
      </c>
      <c r="K58" s="5" t="inlineStr"/>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https://www.yorkshire.com/hull/shopping/corner-shops/sj-convenience-store</t>
        </is>
      </c>
    </row>
    <row r="59">
      <c r="A59" s="10" t="inlineStr">
        <is>
          <t>WY-0141</t>
        </is>
      </c>
      <c r="B59" s="10" t="inlineStr">
        <is>
          <t>WY-0141-01</t>
        </is>
      </c>
      <c r="C59" s="10" t="inlineStr"/>
      <c r="D59" s="10" t="inlineStr">
        <is>
          <t>SPAR Huddersfield Road</t>
        </is>
      </c>
      <c r="E59" s="10" t="inlineStr">
        <is>
          <t>Convenience Store</t>
        </is>
      </c>
      <c r="F59" s="10" t="inlineStr">
        <is>
          <t>SPAR symbol group convenience store with off-licence</t>
        </is>
      </c>
      <c r="G59" s="10" t="inlineStr">
        <is>
          <t>Franchise / Symbol Group</t>
        </is>
      </c>
      <c r="H59" s="10" t="inlineStr">
        <is>
          <t>1</t>
        </is>
      </c>
      <c r="I59" s="10" t="inlineStr">
        <is>
          <t>Huddersfield Road</t>
        </is>
      </c>
      <c r="J59" s="10" t="inlineStr">
        <is>
          <t>Elland</t>
        </is>
      </c>
      <c r="K59" s="10" t="inlineStr">
        <is>
          <t>HX5 9AA</t>
        </is>
      </c>
      <c r="L59" s="10" t="inlineStr">
        <is>
          <t>01422 648232</t>
        </is>
      </c>
      <c r="M59" s="10" t="inlineStr"/>
      <c r="N59" s="10" t="inlineStr"/>
      <c r="O59" s="10" t="inlineStr">
        <is>
          <t>https://www.spar.co.uk/store-locator/hal32443-spar-huddersfield-road</t>
        </is>
      </c>
      <c r="P59" s="10" t="inlineStr"/>
      <c r="Q59" s="10" t="inlineStr"/>
      <c r="R59" s="10" t="inlineStr"/>
      <c r="S59" s="10" t="inlineStr"/>
      <c r="T59" s="10" t="inlineStr"/>
      <c r="U59" s="10" t="inlineStr"/>
      <c r="V59" s="10" t="inlineStr">
        <is>
          <t>Medium</t>
        </is>
      </c>
      <c r="W59" s="10" t="inlineStr">
        <is>
          <t>Independent retailer; Relevant category; Active website</t>
        </is>
      </c>
      <c r="X59" s="10" t="inlineStr">
        <is>
          <t>Verified directory</t>
        </is>
      </c>
      <c r="Y59" s="10" t="inlineStr">
        <is>
          <t>Not Found</t>
        </is>
      </c>
      <c r="Z59" s="10" t="inlineStr">
        <is>
          <t>Medium</t>
        </is>
      </c>
      <c r="AA59" s="10" t="inlineStr">
        <is>
          <t>Requires Verification</t>
        </is>
      </c>
      <c r="AB59" s="10" t="inlineStr">
        <is>
          <t>https://www.spar.co.uk/store-locator/hal32443-spar-huddersfield-road</t>
        </is>
      </c>
    </row>
    <row r="60">
      <c r="A60" s="5" t="inlineStr">
        <is>
          <t>WY-0142</t>
        </is>
      </c>
      <c r="B60" s="5" t="inlineStr">
        <is>
          <t>WY-0142-01</t>
        </is>
      </c>
      <c r="C60" s="5" t="inlineStr"/>
      <c r="D60" s="5" t="inlineStr">
        <is>
          <t>SPAR Outwood</t>
        </is>
      </c>
      <c r="E60" s="5" t="inlineStr">
        <is>
          <t>Convenience Store</t>
        </is>
      </c>
      <c r="F60" s="5" t="inlineStr">
        <is>
          <t>Symbol group convenience store</t>
        </is>
      </c>
      <c r="G60" s="5" t="inlineStr">
        <is>
          <t>Franchise / Symbol Group</t>
        </is>
      </c>
      <c r="H60" s="5" t="inlineStr">
        <is>
          <t>1</t>
        </is>
      </c>
      <c r="I60" s="5" t="inlineStr">
        <is>
          <t>Potovens Lane</t>
        </is>
      </c>
      <c r="J60" s="5" t="inlineStr">
        <is>
          <t>Wakefield</t>
        </is>
      </c>
      <c r="K60" s="5" t="inlineStr">
        <is>
          <t>WF1 2LE</t>
        </is>
      </c>
      <c r="L60" s="5" t="inlineStr">
        <is>
          <t>01924 822641</t>
        </is>
      </c>
      <c r="M60" s="5" t="inlineStr"/>
      <c r="N60" s="5" t="inlineStr"/>
      <c r="O60" s="5" t="inlineStr">
        <is>
          <t>https://www.spar.co.uk/store-locator/afb49926-spar-outwood</t>
        </is>
      </c>
      <c r="P60" s="5" t="inlineStr"/>
      <c r="Q60" s="5" t="inlineStr"/>
      <c r="R60" s="5" t="inlineStr"/>
      <c r="S60" s="5" t="inlineStr"/>
      <c r="T60" s="5" t="inlineStr"/>
      <c r="U60" s="5" t="inlineStr"/>
      <c r="V60" s="5" t="inlineStr">
        <is>
          <t>Medium</t>
        </is>
      </c>
      <c r="W60" s="5" t="inlineStr">
        <is>
          <t>Independent retailer; Relevant category; Active website</t>
        </is>
      </c>
      <c r="X60" s="5" t="inlineStr">
        <is>
          <t>Verified directory</t>
        </is>
      </c>
      <c r="Y60" s="5" t="inlineStr">
        <is>
          <t>Not Found</t>
        </is>
      </c>
      <c r="Z60" s="5" t="inlineStr">
        <is>
          <t>Medium</t>
        </is>
      </c>
      <c r="AA60" s="5" t="inlineStr">
        <is>
          <t>Requires Verification</t>
        </is>
      </c>
      <c r="AB60" s="5" t="inlineStr">
        <is>
          <t>https://www.spar.co.uk/store-locator/afb49926-spar-outwood</t>
        </is>
      </c>
    </row>
    <row r="61">
      <c r="A61" s="10" t="inlineStr">
        <is>
          <t>WY-0144</t>
        </is>
      </c>
      <c r="B61" s="10" t="inlineStr">
        <is>
          <t>WY-0144-01</t>
        </is>
      </c>
      <c r="C61" s="10" t="inlineStr"/>
      <c r="D61" s="10" t="inlineStr">
        <is>
          <t>Select Newsagent</t>
        </is>
      </c>
      <c r="E61" s="10" t="inlineStr">
        <is>
          <t>Newsagent</t>
        </is>
      </c>
      <c r="F61" s="10" t="inlineStr">
        <is>
          <t>Newsagent and convenience store</t>
        </is>
      </c>
      <c r="G61" s="10" t="inlineStr">
        <is>
          <t>Independent</t>
        </is>
      </c>
      <c r="H61" s="10" t="inlineStr">
        <is>
          <t>1</t>
        </is>
      </c>
      <c r="I61" s="10" t="inlineStr">
        <is>
          <t>18 Lee Green</t>
        </is>
      </c>
      <c r="J61" s="10" t="inlineStr">
        <is>
          <t>Mirfield</t>
        </is>
      </c>
      <c r="K61" s="10" t="inlineStr">
        <is>
          <t>WF14 0AB</t>
        </is>
      </c>
      <c r="L61" s="10" t="inlineStr">
        <is>
          <t>01924 695779</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https://mirfield.cylex-uk.co.uk/company/select-newsagent-28742458.html</t>
        </is>
      </c>
    </row>
    <row r="62">
      <c r="A62" s="5" t="inlineStr">
        <is>
          <t>WY-0151</t>
        </is>
      </c>
      <c r="B62" s="5" t="inlineStr">
        <is>
          <t>WY-0151-01</t>
        </is>
      </c>
      <c r="C62" s="5" t="inlineStr"/>
      <c r="D62" s="5" t="inlineStr">
        <is>
          <t>Soothill Convenience Store &amp; Off Licence</t>
        </is>
      </c>
      <c r="E62" s="5" t="inlineStr">
        <is>
          <t>Convenience Store</t>
        </is>
      </c>
      <c r="F62" s="5" t="inlineStr">
        <is>
          <t>Convenience store and off-licence</t>
        </is>
      </c>
      <c r="G62" s="5" t="inlineStr">
        <is>
          <t>Independent</t>
        </is>
      </c>
      <c r="H62" s="5" t="inlineStr">
        <is>
          <t>1</t>
        </is>
      </c>
      <c r="I62" s="5" t="inlineStr"/>
      <c r="J62" s="5" t="inlineStr">
        <is>
          <t>Batley</t>
        </is>
      </c>
      <c r="K62" s="5" t="inlineStr"/>
      <c r="L62" s="5" t="inlineStr"/>
      <c r="M62" s="5" t="inlineStr"/>
      <c r="N62" s="5" t="inlineStr"/>
      <c r="O62" s="5" t="inlineStr"/>
      <c r="P62" s="5" t="inlineStr"/>
      <c r="Q62" s="5" t="inlineStr"/>
      <c r="R62" s="5" t="inlineStr"/>
      <c r="S62" s="5" t="inlineStr"/>
      <c r="T62" s="5" t="inlineStr">
        <is>
          <t>11966163</t>
        </is>
      </c>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https://find-and-update.company-information.service.gov.uk/company/11966163/persons-with-significant-control</t>
        </is>
      </c>
    </row>
    <row r="63">
      <c r="A63" s="10" t="inlineStr">
        <is>
          <t>WY-0157</t>
        </is>
      </c>
      <c r="B63" s="10" t="inlineStr">
        <is>
          <t>WY-0157-01</t>
        </is>
      </c>
      <c r="C63" s="10" t="inlineStr"/>
      <c r="D63" s="10" t="inlineStr">
        <is>
          <t>Sup Mirfield</t>
        </is>
      </c>
      <c r="E63" s="10" t="inlineStr">
        <is>
          <t>Convenience Store</t>
        </is>
      </c>
      <c r="F63" s="10" t="inlineStr">
        <is>
          <t>Convenience store</t>
        </is>
      </c>
      <c r="G63" s="10" t="inlineStr">
        <is>
          <t>Independent</t>
        </is>
      </c>
      <c r="H63" s="10" t="inlineStr">
        <is>
          <t>1</t>
        </is>
      </c>
      <c r="I63" s="10" t="inlineStr">
        <is>
          <t>2 Nettleton Road</t>
        </is>
      </c>
      <c r="J63" s="10" t="inlineStr">
        <is>
          <t>Mirfield</t>
        </is>
      </c>
      <c r="K63" s="10" t="inlineStr"/>
      <c r="L63" s="10" t="inlineStr">
        <is>
          <t>07387 294049</t>
        </is>
      </c>
      <c r="M63" s="10" t="inlineStr"/>
      <c r="N63" s="10" t="inlineStr"/>
      <c r="O63" s="10" t="inlineStr"/>
      <c r="P63" s="10" t="inlineStr">
        <is>
          <t>https://www.facebook.com/supmirfield/</t>
        </is>
      </c>
      <c r="Q63" s="10" t="inlineStr"/>
      <c r="R63" s="10" t="inlineStr"/>
      <c r="S63" s="10" t="inlineStr"/>
      <c r="T63" s="10" t="inlineStr"/>
      <c r="U63" s="10" t="inlineStr"/>
      <c r="V63" s="10" t="inlineStr">
        <is>
          <t>Medium</t>
        </is>
      </c>
      <c r="W63" s="10" t="inlineStr">
        <is>
          <t>Independent retailer; Relevant category; Social presence</t>
        </is>
      </c>
      <c r="X63" s="10" t="inlineStr">
        <is>
          <t>Verified directory</t>
        </is>
      </c>
      <c r="Y63" s="10" t="inlineStr">
        <is>
          <t>Not Found</t>
        </is>
      </c>
      <c r="Z63" s="10" t="inlineStr">
        <is>
          <t>Low</t>
        </is>
      </c>
      <c r="AA63" s="10" t="inlineStr">
        <is>
          <t>Requires Verification</t>
        </is>
      </c>
      <c r="AB63" s="10" t="inlineStr">
        <is>
          <t>https://www.facebook.com/supmirfield/</t>
        </is>
      </c>
    </row>
    <row r="64">
      <c r="A64" s="5" t="inlineStr">
        <is>
          <t>WY-0164</t>
        </is>
      </c>
      <c r="B64" s="5" t="inlineStr">
        <is>
          <t>WY-0164-01</t>
        </is>
      </c>
      <c r="C64" s="5" t="inlineStr"/>
      <c r="D64" s="5" t="inlineStr">
        <is>
          <t>Thornhill Convenience Store</t>
        </is>
      </c>
      <c r="E64" s="5" t="inlineStr">
        <is>
          <t>Convenience Store</t>
        </is>
      </c>
      <c r="F64" s="5" t="inlineStr">
        <is>
          <t>Convenience store</t>
        </is>
      </c>
      <c r="G64" s="5" t="inlineStr">
        <is>
          <t>Independent</t>
        </is>
      </c>
      <c r="H64" s="5" t="inlineStr">
        <is>
          <t>1</t>
        </is>
      </c>
      <c r="I64" s="5" t="inlineStr">
        <is>
          <t>1b Brewery Lane</t>
        </is>
      </c>
      <c r="J64" s="5" t="inlineStr">
        <is>
          <t>Dewsbury</t>
        </is>
      </c>
      <c r="K64" s="5" t="inlineStr">
        <is>
          <t>WF12 9DZ</t>
        </is>
      </c>
      <c r="L64" s="5" t="inlineStr">
        <is>
          <t>01924 462478</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https://dewsbury.cylex-uk.co.uk/company/thornhill-convenience-store-28660320.html</t>
        </is>
      </c>
    </row>
    <row r="65">
      <c r="A65" s="10" t="inlineStr">
        <is>
          <t>WY-0165</t>
        </is>
      </c>
      <c r="B65" s="10" t="inlineStr">
        <is>
          <t>WY-0165-01</t>
        </is>
      </c>
      <c r="C65" s="10" t="inlineStr"/>
      <c r="D65" s="10" t="inlineStr">
        <is>
          <t>Todmorden Newscentre</t>
        </is>
      </c>
      <c r="E65" s="10" t="inlineStr">
        <is>
          <t>Newsagent</t>
        </is>
      </c>
      <c r="F65" s="10" t="inlineStr">
        <is>
          <t>Newsagent with Amazon Counter parcel service</t>
        </is>
      </c>
      <c r="G65" s="10" t="inlineStr">
        <is>
          <t>Independent</t>
        </is>
      </c>
      <c r="H65" s="10" t="inlineStr">
        <is>
          <t>1</t>
        </is>
      </c>
      <c r="I65" s="10" t="inlineStr">
        <is>
          <t>15 Bridge Street</t>
        </is>
      </c>
      <c r="J65" s="10" t="inlineStr">
        <is>
          <t>Todmorden</t>
        </is>
      </c>
      <c r="K65" s="10" t="inlineStr">
        <is>
          <t>OL14 5AQ</t>
        </is>
      </c>
      <c r="L65" s="10" t="inlineStr">
        <is>
          <t>01706 819889</t>
        </is>
      </c>
      <c r="M65" s="10" t="inlineStr"/>
      <c r="N65" s="10" t="inlineStr"/>
      <c r="O65" s="10" t="inlineStr"/>
      <c r="P65" s="10" t="inlineStr"/>
      <c r="Q65" s="10" t="inlineStr"/>
      <c r="R65" s="10" t="inlineStr"/>
      <c r="S65" s="10" t="inlineStr"/>
      <c r="T65" s="10" t="inlineStr">
        <is>
          <t>07292504</t>
        </is>
      </c>
      <c r="U65" s="10" t="inlineStr">
        <is>
          <t>Active</t>
        </is>
      </c>
      <c r="V65" s="10" t="inlineStr">
        <is>
          <t>Low</t>
        </is>
      </c>
      <c r="W65" s="10" t="inlineStr">
        <is>
          <t>Independent retailer; Relevant category</t>
        </is>
      </c>
      <c r="X65" s="10" t="inlineStr">
        <is>
          <t>Verified directory</t>
        </is>
      </c>
      <c r="Y65" s="10" t="inlineStr">
        <is>
          <t>Not Found</t>
        </is>
      </c>
      <c r="Z65" s="10" t="inlineStr">
        <is>
          <t>Medium</t>
        </is>
      </c>
      <c r="AA65" s="10" t="inlineStr">
        <is>
          <t>Partially Verified</t>
        </is>
      </c>
      <c r="AB65" s="10" t="inlineStr">
        <is>
          <t>https://find-and-update.company-information.service.gov.uk/company/07292504</t>
        </is>
      </c>
    </row>
    <row r="66">
      <c r="A66" s="5" t="inlineStr">
        <is>
          <t>WY-0168</t>
        </is>
      </c>
      <c r="B66" s="5" t="inlineStr">
        <is>
          <t>WY-0168-01</t>
        </is>
      </c>
      <c r="C66" s="5" t="inlineStr"/>
      <c r="D66" s="5" t="inlineStr">
        <is>
          <t>Turners Food &amp; Wine</t>
        </is>
      </c>
      <c r="E66" s="5" t="inlineStr">
        <is>
          <t>Convenience Store</t>
        </is>
      </c>
      <c r="F66" s="5" t="inlineStr">
        <is>
          <t>Convenience store with off-licence</t>
        </is>
      </c>
      <c r="G66" s="5" t="inlineStr">
        <is>
          <t>Independent</t>
        </is>
      </c>
      <c r="H66" s="5" t="inlineStr">
        <is>
          <t>1</t>
        </is>
      </c>
      <c r="I66" s="5" t="inlineStr"/>
      <c r="J66" s="5" t="inlineStr">
        <is>
          <t>Leeds</t>
        </is>
      </c>
      <c r="K66" s="5" t="inlineStr"/>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https://www.yorkshire.com/leeds/shopping/off-license</t>
        </is>
      </c>
    </row>
  </sheetData>
  <autoFilter ref="A1:AB6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1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6"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4" customWidth="1" min="12" max="12"/>
    <col width="27" customWidth="1" min="13" max="13"/>
    <col width="13" customWidth="1" min="14" max="14"/>
    <col width="45" customWidth="1" min="15" max="15"/>
    <col width="43"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WY-0025</t>
        </is>
      </c>
      <c r="B3" s="10" t="inlineStr">
        <is>
          <t>SAVILEPETR-01</t>
        </is>
      </c>
      <c r="C3" s="10" t="inlineStr">
        <is>
          <t>Savile Petroleum Limited</t>
        </is>
      </c>
      <c r="D3" s="10" t="inlineStr">
        <is>
          <t>Dewsbury Service Station (Savile Petroleum)</t>
        </is>
      </c>
      <c r="E3" s="10" t="inlineStr">
        <is>
          <t>Petrol Station / Forecourt</t>
        </is>
      </c>
      <c r="F3" s="10" t="inlineStr">
        <is>
          <t>BP-branded independent forecourt with convenience store</t>
        </is>
      </c>
      <c r="G3" s="10" t="inlineStr">
        <is>
          <t>Independent</t>
        </is>
      </c>
      <c r="H3" s="10" t="inlineStr">
        <is>
          <t>1</t>
        </is>
      </c>
      <c r="I3" s="10" t="inlineStr">
        <is>
          <t>Savile Road</t>
        </is>
      </c>
      <c r="J3" s="10" t="inlineStr">
        <is>
          <t>Dewsbury</t>
        </is>
      </c>
      <c r="K3" s="10" t="inlineStr">
        <is>
          <t>WF12 9LR</t>
        </is>
      </c>
      <c r="L3" s="10" t="inlineStr"/>
      <c r="M3" s="10" t="inlineStr"/>
      <c r="N3" s="10" t="inlineStr"/>
      <c r="O3" s="10" t="inlineStr"/>
      <c r="P3" s="10" t="inlineStr"/>
      <c r="Q3" s="10" t="inlineStr"/>
      <c r="R3" s="10" t="inlineStr"/>
      <c r="S3" s="10" t="inlineStr"/>
      <c r="T3" s="10" t="inlineStr">
        <is>
          <t>05197700</t>
        </is>
      </c>
      <c r="U3" s="10" t="inlineStr">
        <is>
          <t>Active</t>
        </is>
      </c>
      <c r="V3" s="10" t="inlineStr">
        <is>
          <t>Medium</t>
        </is>
      </c>
      <c r="W3" s="10" t="inlineStr">
        <is>
          <t>Multi-site retailer; Independent retailer; Relevant category</t>
        </is>
      </c>
      <c r="X3" s="10" t="inlineStr">
        <is>
          <t>Not Found</t>
        </is>
      </c>
      <c r="Y3" s="10" t="inlineStr">
        <is>
          <t>Not Found</t>
        </is>
      </c>
      <c r="Z3" s="10" t="inlineStr">
        <is>
          <t>Medium</t>
        </is>
      </c>
      <c r="AA3" s="10" t="inlineStr">
        <is>
          <t>Partially Verified</t>
        </is>
      </c>
      <c r="AB3" s="10" t="inlineStr">
        <is>
          <t>https://find-and-update.company-information.service.gov.uk/company/05197700</t>
        </is>
      </c>
    </row>
    <row r="4">
      <c r="A4" s="5" t="inlineStr">
        <is>
          <t>WY-0028</t>
        </is>
      </c>
      <c r="B4" s="5" t="inlineStr">
        <is>
          <t>SPEEDPETRO-01</t>
        </is>
      </c>
      <c r="C4" s="5" t="inlineStr">
        <is>
          <t>Speed Petroleum</t>
        </is>
      </c>
      <c r="D4" s="5" t="inlineStr">
        <is>
          <t>Glasshoughton Service Station</t>
        </is>
      </c>
      <c r="E4" s="5" t="inlineStr">
        <is>
          <t>Petrol Station / Forecourt</t>
        </is>
      </c>
      <c r="F4" s="5" t="inlineStr">
        <is>
          <t>BP-branded dealer forecourt with Nisa Local shop</t>
        </is>
      </c>
      <c r="G4" s="5" t="inlineStr">
        <is>
          <t>Franchise / Symbol Group</t>
        </is>
      </c>
      <c r="H4" s="5" t="inlineStr">
        <is>
          <t>1</t>
        </is>
      </c>
      <c r="I4" s="5" t="inlineStr">
        <is>
          <t>Park Road</t>
        </is>
      </c>
      <c r="J4" s="5" t="inlineStr">
        <is>
          <t>Castleford</t>
        </is>
      </c>
      <c r="K4" s="5" t="inlineStr">
        <is>
          <t>WF10 4RS</t>
        </is>
      </c>
      <c r="L4" s="5" t="inlineStr">
        <is>
          <t>01977 278353</t>
        </is>
      </c>
      <c r="M4" s="5" t="inlineStr"/>
      <c r="N4" s="5" t="inlineStr"/>
      <c r="O4" s="5" t="inlineStr">
        <is>
          <t>https://www.nisalocally.co.uk/stores/west-yorkshire/castleford/bp-glasshoughton-ser-st</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Verified directory</t>
        </is>
      </c>
      <c r="Y4" s="5" t="inlineStr">
        <is>
          <t>Not Found</t>
        </is>
      </c>
      <c r="Z4" s="5" t="inlineStr">
        <is>
          <t>Medium</t>
        </is>
      </c>
      <c r="AA4" s="5" t="inlineStr">
        <is>
          <t>Requires Verification</t>
        </is>
      </c>
      <c r="AB4" s="5" t="inlineStr">
        <is>
          <t>https://www.nisalocally.co.uk/stores/west-yorkshire/castleford/bp-glasshoughton-ser-st</t>
        </is>
      </c>
    </row>
    <row r="5">
      <c r="A5" s="10" t="inlineStr">
        <is>
          <t>UK-000217</t>
        </is>
      </c>
      <c r="B5" s="10" t="inlineStr">
        <is>
          <t>VALLIFOREC-01</t>
        </is>
      </c>
      <c r="C5" s="10" t="inlineStr">
        <is>
          <t>Valli Forecourts</t>
        </is>
      </c>
      <c r="D5" s="10" t="inlineStr">
        <is>
          <t>Valli Forecourts (Bawtry Road)</t>
        </is>
      </c>
      <c r="E5" s="10" t="inlineStr">
        <is>
          <t>Petrol Station / Forecourt</t>
        </is>
      </c>
      <c r="F5" s="10" t="inlineStr">
        <is>
          <t>Independent forecourt with convenience store</t>
        </is>
      </c>
      <c r="G5" s="10" t="inlineStr">
        <is>
          <t>Multi-Site Independent</t>
        </is>
      </c>
      <c r="H5" s="10" t="inlineStr">
        <is>
          <t>1</t>
        </is>
      </c>
      <c r="I5" s="10" t="inlineStr">
        <is>
          <t>Bawtry Road</t>
        </is>
      </c>
      <c r="J5" s="10" t="inlineStr">
        <is>
          <t>Doncaster</t>
        </is>
      </c>
      <c r="K5" s="10" t="inlineStr"/>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https://www.mylocalservices.co.uk/24+Hr+Petrol+Stations-Doncaster.html</t>
        </is>
      </c>
    </row>
    <row r="6">
      <c r="A6" s="5" t="inlineStr">
        <is>
          <t>WY-0034</t>
        </is>
      </c>
      <c r="B6" s="5" t="inlineStr">
        <is>
          <t>VALLIFOREC-01</t>
        </is>
      </c>
      <c r="C6" s="5" t="inlineStr">
        <is>
          <t>Valli Forecourts Ltd</t>
        </is>
      </c>
      <c r="D6" s="5" t="inlineStr">
        <is>
          <t>BP Gledhow Service Station (Valli Forecourts)</t>
        </is>
      </c>
      <c r="E6" s="5" t="inlineStr">
        <is>
          <t>Petrol Station / Forecourt</t>
        </is>
      </c>
      <c r="F6" s="5" t="inlineStr">
        <is>
          <t>BP-branded forecourt with convenience store</t>
        </is>
      </c>
      <c r="G6" s="5" t="inlineStr">
        <is>
          <t>Regional Chain</t>
        </is>
      </c>
      <c r="H6" s="5" t="inlineStr">
        <is>
          <t>16</t>
        </is>
      </c>
      <c r="I6" s="5" t="inlineStr"/>
      <c r="J6" s="5" t="inlineStr">
        <is>
          <t>Leeds</t>
        </is>
      </c>
      <c r="K6" s="5" t="inlineStr">
        <is>
          <t>LS8 4BU</t>
        </is>
      </c>
      <c r="L6" s="5" t="inlineStr"/>
      <c r="M6" s="5" t="inlineStr"/>
      <c r="N6" s="5" t="inlineStr"/>
      <c r="O6" s="5" t="inlineStr">
        <is>
          <t>https://valliforecourts.co.uk/</t>
        </is>
      </c>
      <c r="P6" s="5" t="inlineStr"/>
      <c r="Q6" s="5" t="inlineStr"/>
      <c r="R6" s="5" t="inlineStr"/>
      <c r="S6" s="5" t="inlineStr"/>
      <c r="T6" s="5" t="inlineStr"/>
      <c r="U6" s="5" t="inlineStr"/>
      <c r="V6" s="5" t="inlineStr">
        <is>
          <t>Medium</t>
        </is>
      </c>
      <c r="W6" s="5" t="inlineStr">
        <is>
          <t>Multi-site retailer; Relevant category; Active website</t>
        </is>
      </c>
      <c r="X6" s="5" t="inlineStr">
        <is>
          <t>Not Found</t>
        </is>
      </c>
      <c r="Y6" s="5" t="inlineStr">
        <is>
          <t>Website Found</t>
        </is>
      </c>
      <c r="Z6" s="5" t="inlineStr">
        <is>
          <t>Medium</t>
        </is>
      </c>
      <c r="AA6" s="5" t="inlineStr">
        <is>
          <t>Requires Verification</t>
        </is>
      </c>
      <c r="AB6" s="5" t="inlineStr">
        <is>
          <t>https://www.petrolprices.com/locations/huddersfield</t>
        </is>
      </c>
    </row>
    <row r="7">
      <c r="A7" s="10" t="inlineStr">
        <is>
          <t>WY-0035</t>
        </is>
      </c>
      <c r="B7" s="10" t="inlineStr">
        <is>
          <t>VALLIFOREC-02</t>
        </is>
      </c>
      <c r="C7" s="10" t="inlineStr">
        <is>
          <t>Valli Forecourts Ltd</t>
        </is>
      </c>
      <c r="D7" s="10" t="inlineStr">
        <is>
          <t>Valli Forecourts Ltd (Head Office)</t>
        </is>
      </c>
      <c r="E7" s="10" t="inlineStr">
        <is>
          <t>Petrol Station / Forecourt</t>
        </is>
      </c>
      <c r="F7" s="10" t="inlineStr">
        <is>
          <t>Independent forecourt group head office</t>
        </is>
      </c>
      <c r="G7" s="10" t="inlineStr">
        <is>
          <t>Regional Chain</t>
        </is>
      </c>
      <c r="H7" s="10" t="inlineStr">
        <is>
          <t>16</t>
        </is>
      </c>
      <c r="I7" s="10" t="inlineStr"/>
      <c r="J7" s="10" t="inlineStr">
        <is>
          <t>Leeds</t>
        </is>
      </c>
      <c r="K7" s="10" t="inlineStr"/>
      <c r="L7" s="10" t="inlineStr"/>
      <c r="M7" s="10" t="inlineStr"/>
      <c r="N7" s="10" t="inlineStr"/>
      <c r="O7" s="10" t="inlineStr">
        <is>
          <t>https://valliforecourts.co.uk/</t>
        </is>
      </c>
      <c r="P7" s="10" t="inlineStr"/>
      <c r="Q7" s="10" t="inlineStr"/>
      <c r="R7" s="10" t="inlineStr"/>
      <c r="S7" s="10" t="inlineStr"/>
      <c r="T7" s="10" t="inlineStr"/>
      <c r="U7" s="10" t="inlineStr"/>
      <c r="V7" s="10" t="inlineStr">
        <is>
          <t>Medium</t>
        </is>
      </c>
      <c r="W7" s="10" t="inlineStr">
        <is>
          <t>Multi-site retailer; Relevant category; Active website; Social presence</t>
        </is>
      </c>
      <c r="X7" s="10" t="inlineStr">
        <is>
          <t>Not Found</t>
        </is>
      </c>
      <c r="Y7" s="10" t="inlineStr">
        <is>
          <t>Website Found</t>
        </is>
      </c>
      <c r="Z7" s="10" t="inlineStr">
        <is>
          <t>Low</t>
        </is>
      </c>
      <c r="AA7" s="10" t="inlineStr">
        <is>
          <t>Requires Verification</t>
        </is>
      </c>
      <c r="AB7" s="10" t="inlineStr">
        <is>
          <t>https://www.yorkshire.com/moortown/transport/petrol-stations/valli-forecourts-ltd-head-office</t>
        </is>
      </c>
    </row>
    <row r="8">
      <c r="A8" s="5" t="inlineStr">
        <is>
          <t>WY-0077</t>
        </is>
      </c>
      <c r="B8" s="5" t="inlineStr">
        <is>
          <t>WY-0077-01</t>
        </is>
      </c>
      <c r="C8" s="5" t="inlineStr"/>
      <c r="D8" s="5" t="inlineStr">
        <is>
          <t>Cote Hill Filling Station</t>
        </is>
      </c>
      <c r="E8" s="5" t="inlineStr">
        <is>
          <t>Petrol Station / Forecourt</t>
        </is>
      </c>
      <c r="F8" s="5" t="inlineStr">
        <is>
          <t>Esso-branded independent forecourt with shop</t>
        </is>
      </c>
      <c r="G8" s="5" t="inlineStr">
        <is>
          <t>Independent</t>
        </is>
      </c>
      <c r="H8" s="5" t="inlineStr">
        <is>
          <t>1</t>
        </is>
      </c>
      <c r="I8" s="5" t="inlineStr">
        <is>
          <t>Burnley Road</t>
        </is>
      </c>
      <c r="J8" s="5" t="inlineStr">
        <is>
          <t>Halifax</t>
        </is>
      </c>
      <c r="K8" s="5" t="inlineStr">
        <is>
          <t>HX2 7NB</t>
        </is>
      </c>
      <c r="L8" s="5" t="inlineStr">
        <is>
          <t>01422 835350</t>
        </is>
      </c>
      <c r="M8" s="5" t="inlineStr">
        <is>
          <t>cotehillhalifax@gmail.com</t>
        </is>
      </c>
      <c r="N8" s="5" t="inlineStr"/>
      <c r="O8" s="5" t="inlineStr">
        <is>
          <t>https://www.cotehillhalifax.co.uk/</t>
        </is>
      </c>
      <c r="P8" s="5" t="inlineStr">
        <is>
          <t>https://www.facebook.com/cotehillhalifax/</t>
        </is>
      </c>
      <c r="Q8" s="5" t="inlineStr"/>
      <c r="R8" s="5" t="inlineStr"/>
      <c r="S8" s="5" t="inlineStr"/>
      <c r="T8" s="5" t="inlineStr"/>
      <c r="U8" s="5" t="inlineStr"/>
      <c r="V8" s="5" t="inlineStr">
        <is>
          <t>Medium</t>
        </is>
      </c>
      <c r="W8" s="5" t="inlineStr">
        <is>
          <t>Independent retailer; Relevant category; Public email available; Active website; Social presence</t>
        </is>
      </c>
      <c r="X8" s="5" t="inlineStr">
        <is>
          <t>Verified directory</t>
        </is>
      </c>
      <c r="Y8" s="5" t="inlineStr">
        <is>
          <t>Website Found</t>
        </is>
      </c>
      <c r="Z8" s="5" t="inlineStr">
        <is>
          <t>Medium</t>
        </is>
      </c>
      <c r="AA8" s="5" t="inlineStr">
        <is>
          <t>Partially Verified</t>
        </is>
      </c>
      <c r="AB8" s="5" t="inlineStr">
        <is>
          <t>https://www.cotehillhalifax.co.uk/</t>
        </is>
      </c>
    </row>
    <row r="9">
      <c r="A9" s="10" t="inlineStr">
        <is>
          <t>WY-0091</t>
        </is>
      </c>
      <c r="B9" s="10" t="inlineStr">
        <is>
          <t>WY-0091-01</t>
        </is>
      </c>
      <c r="C9" s="10" t="inlineStr"/>
      <c r="D9" s="10" t="inlineStr">
        <is>
          <t>Greengates Service Station</t>
        </is>
      </c>
      <c r="E9" s="10" t="inlineStr">
        <is>
          <t>Petrol Station / Forecourt</t>
        </is>
      </c>
      <c r="F9" s="10" t="inlineStr">
        <is>
          <t>Forecourt with shop</t>
        </is>
      </c>
      <c r="G9" s="10" t="inlineStr">
        <is>
          <t>Unknown</t>
        </is>
      </c>
      <c r="H9" s="10" t="inlineStr">
        <is>
          <t>1</t>
        </is>
      </c>
      <c r="I9" s="10" t="inlineStr"/>
      <c r="J9" s="10" t="inlineStr">
        <is>
          <t>Bradford</t>
        </is>
      </c>
      <c r="K9" s="10" t="inlineStr"/>
      <c r="L9" s="10" t="inlineStr"/>
      <c r="M9" s="10" t="inlineStr"/>
      <c r="N9" s="10" t="inlineStr"/>
      <c r="O9" s="10" t="inlineStr"/>
      <c r="P9" s="10" t="inlineStr"/>
      <c r="Q9" s="10" t="inlineStr"/>
      <c r="R9" s="10" t="inlineStr"/>
      <c r="S9" s="10" t="inlineStr"/>
      <c r="T9" s="10" t="inlineStr"/>
      <c r="U9" s="10" t="inlineStr"/>
      <c r="V9" s="10" t="inlineStr">
        <is>
          <t>Low</t>
        </is>
      </c>
      <c r="W9" s="10" t="inlineStr">
        <is>
          <t>Relevant category</t>
        </is>
      </c>
      <c r="X9" s="10" t="inlineStr">
        <is>
          <t>Not Found</t>
        </is>
      </c>
      <c r="Y9" s="10" t="inlineStr">
        <is>
          <t>Not Found</t>
        </is>
      </c>
      <c r="Z9" s="10" t="inlineStr">
        <is>
          <t>Low</t>
        </is>
      </c>
      <c r="AA9" s="10" t="inlineStr">
        <is>
          <t>Requires Verification</t>
        </is>
      </c>
      <c r="AB9" s="10" t="inlineStr">
        <is>
          <t>https://fuelmap.co.uk/forecourt/612/</t>
        </is>
      </c>
    </row>
    <row r="10">
      <c r="A10" s="5" t="inlineStr">
        <is>
          <t>UK-000251</t>
        </is>
      </c>
      <c r="B10" s="5" t="inlineStr">
        <is>
          <t>UK-000251-01</t>
        </is>
      </c>
      <c r="C10" s="5" t="inlineStr"/>
      <c r="D10" s="5" t="inlineStr">
        <is>
          <t>Greenroof Service Station</t>
        </is>
      </c>
      <c r="E10" s="5" t="inlineStr">
        <is>
          <t>Petrol Station / Forecourt</t>
        </is>
      </c>
      <c r="F10" s="5" t="inlineStr">
        <is>
          <t>Independent forecourt</t>
        </is>
      </c>
      <c r="G10" s="5" t="inlineStr">
        <is>
          <t>Independent</t>
        </is>
      </c>
      <c r="H10" s="5" t="inlineStr">
        <is>
          <t>1</t>
        </is>
      </c>
      <c r="I10" s="5" t="inlineStr">
        <is>
          <t>Low Street</t>
        </is>
      </c>
      <c r="J10" s="5" t="inlineStr">
        <is>
          <t>Goole</t>
        </is>
      </c>
      <c r="K10" s="5" t="inlineStr"/>
      <c r="L10" s="5" t="inlineStr"/>
      <c r="M10" s="5" t="inlineStr"/>
      <c r="N10" s="5" t="inlineStr"/>
      <c r="O10" s="5" t="inlineStr"/>
      <c r="P10" s="5" t="inlineStr"/>
      <c r="Q10" s="5" t="inlineStr"/>
      <c r="R10" s="5" t="inlineStr"/>
      <c r="S10" s="5" t="inlineStr"/>
      <c r="T10" s="5" t="inlineStr"/>
      <c r="U10" s="5" t="inlineStr"/>
      <c r="V10" s="5" t="inlineStr">
        <is>
          <t>Low</t>
        </is>
      </c>
      <c r="W10" s="5" t="inlineStr">
        <is>
          <t>Independent retailer; Relevant category</t>
        </is>
      </c>
      <c r="X10" s="5" t="inlineStr">
        <is>
          <t>Not Found</t>
        </is>
      </c>
      <c r="Y10" s="5" t="inlineStr">
        <is>
          <t>Not Found</t>
        </is>
      </c>
      <c r="Z10" s="5" t="inlineStr">
        <is>
          <t>Low</t>
        </is>
      </c>
      <c r="AA10" s="5" t="inlineStr">
        <is>
          <t>Requires Verification</t>
        </is>
      </c>
      <c r="AB10" s="5" t="inlineStr">
        <is>
          <t>https://directory.hinckleytimes.net/search/scunthorpe/petrol-service-stations</t>
        </is>
      </c>
    </row>
    <row r="11">
      <c r="A11" s="10" t="inlineStr">
        <is>
          <t>WY-0092</t>
        </is>
      </c>
      <c r="B11" s="10" t="inlineStr">
        <is>
          <t>WY-0092-01</t>
        </is>
      </c>
      <c r="C11" s="10" t="inlineStr"/>
      <c r="D11" s="10" t="inlineStr">
        <is>
          <t>Gulf Service Station Featherstone</t>
        </is>
      </c>
      <c r="E11" s="10" t="inlineStr">
        <is>
          <t>Petrol Station / Forecourt</t>
        </is>
      </c>
      <c r="F11" s="10" t="inlineStr">
        <is>
          <t>Gulf-branded dealer forecourt with shop</t>
        </is>
      </c>
      <c r="G11" s="10" t="inlineStr">
        <is>
          <t>Independent</t>
        </is>
      </c>
      <c r="H11" s="10" t="inlineStr">
        <is>
          <t>1</t>
        </is>
      </c>
      <c r="I11" s="10" t="inlineStr">
        <is>
          <t>Wakefield Road</t>
        </is>
      </c>
      <c r="J11" s="10" t="inlineStr">
        <is>
          <t>Featherstone</t>
        </is>
      </c>
      <c r="K11" s="10" t="inlineStr">
        <is>
          <t>WF7 5BP</t>
        </is>
      </c>
      <c r="L11" s="10" t="inlineStr"/>
      <c r="M11" s="10" t="inlineStr"/>
      <c r="N11" s="10" t="inlineStr"/>
      <c r="O11" s="10" t="inlineStr"/>
      <c r="P11" s="10" t="inlineStr"/>
      <c r="Q11" s="10" t="inlineStr"/>
      <c r="R11" s="10" t="inlineStr"/>
      <c r="S11" s="10" t="inlineStr"/>
      <c r="T11" s="10" t="inlineStr"/>
      <c r="U11" s="10" t="inlineStr"/>
      <c r="V11" s="10" t="inlineStr">
        <is>
          <t>Low</t>
        </is>
      </c>
      <c r="W11" s="10" t="inlineStr">
        <is>
          <t>Independent retailer; Relevant category</t>
        </is>
      </c>
      <c r="X11" s="10" t="inlineStr">
        <is>
          <t>Not Found</t>
        </is>
      </c>
      <c r="Y11" s="10" t="inlineStr">
        <is>
          <t>Not Found</t>
        </is>
      </c>
      <c r="Z11" s="10" t="inlineStr">
        <is>
          <t>Low</t>
        </is>
      </c>
      <c r="AA11" s="10" t="inlineStr">
        <is>
          <t>Requires Verification</t>
        </is>
      </c>
      <c r="AB11" s="10" t="inlineStr">
        <is>
          <t>https://www.yorkshire.com/featherstone/services/petrol-stations</t>
        </is>
      </c>
    </row>
    <row r="12">
      <c r="A12" s="5" t="inlineStr">
        <is>
          <t>UK-000254</t>
        </is>
      </c>
      <c r="B12" s="5" t="inlineStr">
        <is>
          <t>UK-000254-01</t>
        </is>
      </c>
      <c r="C12" s="5" t="inlineStr"/>
      <c r="D12" s="5" t="inlineStr">
        <is>
          <t>Harvest Service Station</t>
        </is>
      </c>
      <c r="E12" s="5" t="inlineStr">
        <is>
          <t>Petrol Station / Forecourt</t>
        </is>
      </c>
      <c r="F12" s="5" t="inlineStr">
        <is>
          <t>Independent forecourt with convenience store</t>
        </is>
      </c>
      <c r="G12" s="5" t="inlineStr">
        <is>
          <t>Independent</t>
        </is>
      </c>
      <c r="H12" s="5" t="inlineStr">
        <is>
          <t>1</t>
        </is>
      </c>
      <c r="I12" s="5" t="inlineStr">
        <is>
          <t>Wheatley Hall Road</t>
        </is>
      </c>
      <c r="J12" s="5" t="inlineStr">
        <is>
          <t>Doncaster</t>
        </is>
      </c>
      <c r="K12" s="5" t="inlineStr"/>
      <c r="L12" s="5" t="inlineStr"/>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Not Found</t>
        </is>
      </c>
      <c r="Y12" s="5" t="inlineStr">
        <is>
          <t>Not Found</t>
        </is>
      </c>
      <c r="Z12" s="5" t="inlineStr">
        <is>
          <t>Low</t>
        </is>
      </c>
      <c r="AA12" s="5" t="inlineStr">
        <is>
          <t>Requires Verification</t>
        </is>
      </c>
      <c r="AB12" s="5" t="inlineStr">
        <is>
          <t>https://www.mylocalservices.co.uk/24+Hr+Petrol+Stations-Doncaster.html</t>
        </is>
      </c>
    </row>
    <row r="13">
      <c r="A13" s="10" t="inlineStr">
        <is>
          <t>WY-0095</t>
        </is>
      </c>
      <c r="B13" s="10" t="inlineStr">
        <is>
          <t>WY-0095-01</t>
        </is>
      </c>
      <c r="C13" s="10" t="inlineStr"/>
      <c r="D13" s="10" t="inlineStr">
        <is>
          <t>Heckmondwike Service Station</t>
        </is>
      </c>
      <c r="E13" s="10" t="inlineStr">
        <is>
          <t>Petrol Station / Forecourt</t>
        </is>
      </c>
      <c r="F13" s="10" t="inlineStr">
        <is>
          <t>BP-branded forecourt with shop</t>
        </is>
      </c>
      <c r="G13" s="10" t="inlineStr">
        <is>
          <t>Unknown</t>
        </is>
      </c>
      <c r="H13" s="10" t="inlineStr">
        <is>
          <t>1</t>
        </is>
      </c>
      <c r="I13" s="10" t="inlineStr">
        <is>
          <t>Halifax Road</t>
        </is>
      </c>
      <c r="J13" s="10" t="inlineStr">
        <is>
          <t>Heckmondwike</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Relevant category</t>
        </is>
      </c>
      <c r="X13" s="10" t="inlineStr">
        <is>
          <t>Not Found</t>
        </is>
      </c>
      <c r="Y13" s="10" t="inlineStr">
        <is>
          <t>Not Found</t>
        </is>
      </c>
      <c r="Z13" s="10" t="inlineStr">
        <is>
          <t>Low</t>
        </is>
      </c>
      <c r="AA13" s="10" t="inlineStr">
        <is>
          <t>Requires Verification</t>
        </is>
      </c>
      <c r="AB13" s="10" t="inlineStr">
        <is>
          <t>https://map.bp.com/en-US/GB/gas-station/dewsbury/heckmondwike-service-station/137101962</t>
        </is>
      </c>
    </row>
    <row r="14">
      <c r="A14" s="5" t="inlineStr">
        <is>
          <t>WY-0132</t>
        </is>
      </c>
      <c r="B14" s="5" t="inlineStr">
        <is>
          <t>WY-0132-01</t>
        </is>
      </c>
      <c r="C14" s="5" t="inlineStr"/>
      <c r="D14" s="5" t="inlineStr">
        <is>
          <t>Phoenix Filling Station</t>
        </is>
      </c>
      <c r="E14" s="5" t="inlineStr">
        <is>
          <t>Petrol Station / Forecourt</t>
        </is>
      </c>
      <c r="F14" s="5" t="inlineStr">
        <is>
          <t>Independent BP-branded 24-hour forecourt with shop</t>
        </is>
      </c>
      <c r="G14" s="5" t="inlineStr">
        <is>
          <t>Independent</t>
        </is>
      </c>
      <c r="H14" s="5" t="inlineStr">
        <is>
          <t>1</t>
        </is>
      </c>
      <c r="I14" s="5" t="inlineStr">
        <is>
          <t>93 Listerhills Road</t>
        </is>
      </c>
      <c r="J14" s="5" t="inlineStr">
        <is>
          <t>Bradford</t>
        </is>
      </c>
      <c r="K14" s="5" t="inlineStr">
        <is>
          <t>BD7 1JT</t>
        </is>
      </c>
      <c r="L14" s="5" t="inlineStr">
        <is>
          <t>01274 721896</t>
        </is>
      </c>
      <c r="M14" s="5" t="inlineStr"/>
      <c r="N14" s="5" t="inlineStr"/>
      <c r="O14" s="5" t="inlineStr"/>
      <c r="P14" s="5" t="inlineStr">
        <is>
          <t>https://www.facebook.com/phoenixFST/</t>
        </is>
      </c>
      <c r="Q14" s="5" t="inlineStr"/>
      <c r="R14" s="5" t="inlineStr"/>
      <c r="S14" s="5" t="inlineStr"/>
      <c r="T14" s="5" t="inlineStr">
        <is>
          <t>11511613</t>
        </is>
      </c>
      <c r="U14" s="5" t="inlineStr"/>
      <c r="V14" s="5" t="inlineStr">
        <is>
          <t>Medium</t>
        </is>
      </c>
      <c r="W14" s="5" t="inlineStr">
        <is>
          <t>Independent retailer; Relevant category; Social presence</t>
        </is>
      </c>
      <c r="X14" s="5" t="inlineStr">
        <is>
          <t>Verified directory</t>
        </is>
      </c>
      <c r="Y14" s="5" t="inlineStr">
        <is>
          <t>Not Found</t>
        </is>
      </c>
      <c r="Z14" s="5" t="inlineStr">
        <is>
          <t>Medium</t>
        </is>
      </c>
      <c r="AA14" s="5" t="inlineStr">
        <is>
          <t>Partially Verified</t>
        </is>
      </c>
      <c r="AB14" s="5" t="inlineStr">
        <is>
          <t>https://find-and-update.company-information.service.gov.uk/company/11511613</t>
        </is>
      </c>
    </row>
    <row r="15">
      <c r="A15" s="10" t="inlineStr">
        <is>
          <t>WY-0152</t>
        </is>
      </c>
      <c r="B15" s="10" t="inlineStr">
        <is>
          <t>WY-0152-01</t>
        </is>
      </c>
      <c r="C15" s="10" t="inlineStr"/>
      <c r="D15" s="10" t="inlineStr">
        <is>
          <t>Springfield Garage (Keighley)</t>
        </is>
      </c>
      <c r="E15" s="10" t="inlineStr">
        <is>
          <t>Petrol Station / Forecourt</t>
        </is>
      </c>
      <c r="F15" s="10" t="inlineStr">
        <is>
          <t>Independent Gulf-branded forecourt with shop</t>
        </is>
      </c>
      <c r="G15" s="10" t="inlineStr">
        <is>
          <t>Independent</t>
        </is>
      </c>
      <c r="H15" s="10" t="inlineStr">
        <is>
          <t>1</t>
        </is>
      </c>
      <c r="I15" s="10" t="inlineStr">
        <is>
          <t>Oakworth Road</t>
        </is>
      </c>
      <c r="J15" s="10" t="inlineStr">
        <is>
          <t>Keighley</t>
        </is>
      </c>
      <c r="K15" s="10" t="inlineStr">
        <is>
          <t>BD21 1QQ</t>
        </is>
      </c>
      <c r="L15" s="10" t="inlineStr">
        <is>
          <t>01535 604629</t>
        </is>
      </c>
      <c r="M15" s="10" t="inlineStr"/>
      <c r="N15" s="10" t="inlineStr"/>
      <c r="O15" s="10" t="inlineStr"/>
      <c r="P15" s="10" t="inlineStr"/>
      <c r="Q15" s="10" t="inlineStr"/>
      <c r="R15" s="10" t="inlineStr"/>
      <c r="S15" s="10" t="inlineStr"/>
      <c r="T15" s="10" t="inlineStr">
        <is>
          <t>00871540</t>
        </is>
      </c>
      <c r="U15" s="10" t="inlineStr"/>
      <c r="V15" s="10" t="inlineStr">
        <is>
          <t>Low</t>
        </is>
      </c>
      <c r="W15" s="10" t="inlineStr">
        <is>
          <t>Independent retailer; Relevant category</t>
        </is>
      </c>
      <c r="X15" s="10" t="inlineStr">
        <is>
          <t>Verified directory</t>
        </is>
      </c>
      <c r="Y15" s="10" t="inlineStr">
        <is>
          <t>Not Found</t>
        </is>
      </c>
      <c r="Z15" s="10" t="inlineStr">
        <is>
          <t>Medium</t>
        </is>
      </c>
      <c r="AA15" s="10" t="inlineStr">
        <is>
          <t>Partially Verified</t>
        </is>
      </c>
      <c r="AB15" s="10" t="inlineStr">
        <is>
          <t>https://find-and-update.company-information.service.gov.uk/company/00871540</t>
        </is>
      </c>
    </row>
    <row r="16">
      <c r="A16" s="5" t="inlineStr">
        <is>
          <t>WY-0155</t>
        </is>
      </c>
      <c r="B16" s="5" t="inlineStr">
        <is>
          <t>WY-0155-01</t>
        </is>
      </c>
      <c r="C16" s="5" t="inlineStr"/>
      <c r="D16" s="5" t="inlineStr">
        <is>
          <t>Stringers Service Station</t>
        </is>
      </c>
      <c r="E16" s="5" t="inlineStr">
        <is>
          <t>Petrol Station / Forecourt</t>
        </is>
      </c>
      <c r="F16" s="5" t="inlineStr">
        <is>
          <t>Independent forecourt (Murco fuel) with shop</t>
        </is>
      </c>
      <c r="G16" s="5" t="inlineStr">
        <is>
          <t>Independent</t>
        </is>
      </c>
      <c r="H16" s="5" t="inlineStr">
        <is>
          <t>1</t>
        </is>
      </c>
      <c r="I16" s="5" t="inlineStr">
        <is>
          <t>102 Southgate</t>
        </is>
      </c>
      <c r="J16" s="5" t="inlineStr">
        <is>
          <t>Pontefract</t>
        </is>
      </c>
      <c r="K16" s="5" t="inlineStr">
        <is>
          <t>WF8 1PN</t>
        </is>
      </c>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Medium</t>
        </is>
      </c>
      <c r="AA16" s="5" t="inlineStr">
        <is>
          <t>Requires Verification</t>
        </is>
      </c>
      <c r="AB16" s="5" t="inlineStr">
        <is>
          <t>https://www.petrolprices.com/locations/pontefract/grove-road/6837</t>
        </is>
      </c>
    </row>
    <row r="17">
      <c r="A17" s="10" t="inlineStr">
        <is>
          <t>WY-0185</t>
        </is>
      </c>
      <c r="B17" s="10" t="inlineStr">
        <is>
          <t>WY-0185-01</t>
        </is>
      </c>
      <c r="C17" s="10" t="inlineStr"/>
      <c r="D17" s="10" t="inlineStr">
        <is>
          <t>Wakefield Road Service Station (Featherstone)</t>
        </is>
      </c>
      <c r="E17" s="10" t="inlineStr">
        <is>
          <t>Petrol Station / Forecourt</t>
        </is>
      </c>
      <c r="F17" s="10" t="inlineStr">
        <is>
          <t>Forecourt with convenience store</t>
        </is>
      </c>
      <c r="G17" s="10" t="inlineStr">
        <is>
          <t>Multi-Site Independent</t>
        </is>
      </c>
      <c r="H17" s="10" t="inlineStr">
        <is>
          <t>3</t>
        </is>
      </c>
      <c r="I17" s="10" t="inlineStr">
        <is>
          <t>Wakefield Road</t>
        </is>
      </c>
      <c r="J17" s="10" t="inlineStr">
        <is>
          <t>Featherstone</t>
        </is>
      </c>
      <c r="K17" s="10" t="inlineStr"/>
      <c r="L17" s="10" t="inlineStr"/>
      <c r="M17" s="10" t="inlineStr"/>
      <c r="N17" s="10" t="inlineStr"/>
      <c r="O17" s="10" t="inlineStr"/>
      <c r="P17" s="10" t="inlineStr"/>
      <c r="Q17" s="10" t="inlineStr"/>
      <c r="R17" s="10" t="inlineStr">
        <is>
          <t>Saqib Javaid; Zeeshan Ali</t>
        </is>
      </c>
      <c r="S17" s="10" t="inlineStr">
        <is>
          <t>Owners / Operators</t>
        </is>
      </c>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https://forecourttrader.co.uk/latest-news/forecourt-operator-duo-add-wakefield-road-service-station-to-portfolio/708047.article</t>
        </is>
      </c>
    </row>
    <row r="18">
      <c r="A18" s="5" t="inlineStr">
        <is>
          <t>WY-0190</t>
        </is>
      </c>
      <c r="B18" s="5" t="inlineStr">
        <is>
          <t>WY-0190-01</t>
        </is>
      </c>
      <c r="C18" s="5" t="inlineStr"/>
      <c r="D18" s="5" t="inlineStr">
        <is>
          <t>Yorkshire Fuels (Green Lane Service Station)</t>
        </is>
      </c>
      <c r="E18" s="5" t="inlineStr">
        <is>
          <t>Petrol Station / Forecourt</t>
        </is>
      </c>
      <c r="F18" s="5" t="inlineStr">
        <is>
          <t>24-hour forecourt with convenience store</t>
        </is>
      </c>
      <c r="G18" s="5" t="inlineStr">
        <is>
          <t>Independent</t>
        </is>
      </c>
      <c r="H18" s="5" t="inlineStr">
        <is>
          <t>1</t>
        </is>
      </c>
      <c r="I18" s="5" t="inlineStr">
        <is>
          <t>Green Lane</t>
        </is>
      </c>
      <c r="J18" s="5" t="inlineStr">
        <is>
          <t>Yeadon</t>
        </is>
      </c>
      <c r="K18" s="5" t="inlineStr">
        <is>
          <t>LS19 7BU</t>
        </is>
      </c>
      <c r="L18" s="5" t="inlineStr"/>
      <c r="M18" s="5" t="inlineStr"/>
      <c r="N18" s="5" t="inlineStr"/>
      <c r="O18" s="5" t="inlineStr"/>
      <c r="P18" s="5" t="inlineStr"/>
      <c r="Q18" s="5" t="inlineStr"/>
      <c r="R18" s="5" t="inlineStr"/>
      <c r="S18" s="5" t="inlineStr"/>
      <c r="T18" s="5" t="inlineStr">
        <is>
          <t>14479452</t>
        </is>
      </c>
      <c r="U18" s="5" t="inlineStr">
        <is>
          <t>Active</t>
        </is>
      </c>
      <c r="V18" s="5" t="inlineStr">
        <is>
          <t>Low</t>
        </is>
      </c>
      <c r="W18" s="5" t="inlineStr">
        <is>
          <t>Independent retailer; Relevant category</t>
        </is>
      </c>
      <c r="X18" s="5" t="inlineStr">
        <is>
          <t>Not Found</t>
        </is>
      </c>
      <c r="Y18" s="5" t="inlineStr">
        <is>
          <t>Not Found</t>
        </is>
      </c>
      <c r="Z18" s="5" t="inlineStr">
        <is>
          <t>Medium</t>
        </is>
      </c>
      <c r="AA18" s="5" t="inlineStr">
        <is>
          <t>Partially Verified</t>
        </is>
      </c>
      <c r="AB18" s="5" t="inlineStr">
        <is>
          <t>https://find-and-update.company-information.service.gov.uk/company/14479452</t>
        </is>
      </c>
    </row>
  </sheetData>
  <autoFilter ref="A1:AB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3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19" customWidth="1" min="5" max="5"/>
    <col width="45" customWidth="1" min="6" max="6"/>
    <col width="26" customWidth="1" min="7" max="7"/>
    <col width="21" customWidth="1" min="8" max="8"/>
    <col width="22" customWidth="1" min="9" max="9"/>
    <col width="20" customWidth="1" min="10" max="10"/>
    <col width="10" customWidth="1" min="11" max="11"/>
    <col width="15" customWidth="1" min="12" max="12"/>
    <col width="21" customWidth="1" min="13" max="13"/>
    <col width="26" customWidth="1" min="14" max="14"/>
    <col width="36"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UK-000215</t>
        </is>
      </c>
      <c r="B2" s="5" t="inlineStr">
        <is>
          <t>THEDRAMSHO-01</t>
        </is>
      </c>
      <c r="C2" s="5" t="inlineStr">
        <is>
          <t>The Dram Shop</t>
        </is>
      </c>
      <c r="D2" s="5" t="inlineStr">
        <is>
          <t>The Dram Shop</t>
        </is>
      </c>
      <c r="E2" s="5" t="inlineStr">
        <is>
          <t>Off-Licence</t>
        </is>
      </c>
      <c r="F2" s="5" t="inlineStr">
        <is>
          <t>Wine, spirits and craft beer merchant</t>
        </is>
      </c>
      <c r="G2" s="5" t="inlineStr">
        <is>
          <t>Multi-Site Independent</t>
        </is>
      </c>
      <c r="H2" s="5" t="inlineStr">
        <is>
          <t>2</t>
        </is>
      </c>
      <c r="I2" s="5" t="inlineStr">
        <is>
          <t>21 Commonside</t>
        </is>
      </c>
      <c r="J2" s="5" t="inlineStr">
        <is>
          <t>Sheffield</t>
        </is>
      </c>
      <c r="K2" s="5" t="inlineStr">
        <is>
          <t>S10 1GA</t>
        </is>
      </c>
      <c r="L2" s="5" t="inlineStr">
        <is>
          <t>0114 268 3117</t>
        </is>
      </c>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Verified directory</t>
        </is>
      </c>
      <c r="Y2" s="5" t="inlineStr">
        <is>
          <t>Not Found</t>
        </is>
      </c>
      <c r="Z2" s="5" t="inlineStr">
        <is>
          <t>Medium</t>
        </is>
      </c>
      <c r="AA2" s="5" t="inlineStr">
        <is>
          <t>Requires Verification</t>
        </is>
      </c>
      <c r="AB2" s="5" t="inlineStr">
        <is>
          <t>https://www.yelp.co.uk/biz/dram-shop-sheffield</t>
        </is>
      </c>
    </row>
    <row r="3">
      <c r="A3" s="10" t="inlineStr">
        <is>
          <t>WY-0047</t>
        </is>
      </c>
      <c r="B3" s="10" t="inlineStr">
        <is>
          <t>WY-0047-01</t>
        </is>
      </c>
      <c r="C3" s="10" t="inlineStr"/>
      <c r="D3" s="10" t="inlineStr">
        <is>
          <t>A &amp; B Stores</t>
        </is>
      </c>
      <c r="E3" s="10" t="inlineStr">
        <is>
          <t>Off-Licence</t>
        </is>
      </c>
      <c r="F3" s="10" t="inlineStr">
        <is>
          <t>Off-licence / convenience</t>
        </is>
      </c>
      <c r="G3" s="10" t="inlineStr">
        <is>
          <t>Independent</t>
        </is>
      </c>
      <c r="H3" s="10" t="inlineStr">
        <is>
          <t>1</t>
        </is>
      </c>
      <c r="I3" s="10" t="inlineStr"/>
      <c r="J3" s="10" t="inlineStr">
        <is>
          <t>Bingley</t>
        </is>
      </c>
      <c r="K3" s="10" t="inlineStr"/>
      <c r="L3" s="10" t="inlineStr"/>
      <c r="M3" s="10" t="inlineStr"/>
      <c r="N3" s="10" t="inlineStr"/>
      <c r="O3" s="10" t="inlineStr"/>
      <c r="P3" s="10" t="inlineStr"/>
      <c r="Q3" s="10" t="inlineStr"/>
      <c r="R3" s="10" t="inlineStr"/>
      <c r="S3" s="10" t="inlineStr"/>
      <c r="T3" s="10" t="inlineStr"/>
      <c r="U3" s="10" t="inlineStr"/>
      <c r="V3" s="10" t="inlineStr">
        <is>
          <t>Low</t>
        </is>
      </c>
      <c r="W3" s="10" t="inlineStr">
        <is>
          <t>Independent retailer; Relevant category</t>
        </is>
      </c>
      <c r="X3" s="10" t="inlineStr">
        <is>
          <t>Not Found</t>
        </is>
      </c>
      <c r="Y3" s="10" t="inlineStr">
        <is>
          <t>Not Found</t>
        </is>
      </c>
      <c r="Z3" s="10" t="inlineStr">
        <is>
          <t>Low</t>
        </is>
      </c>
      <c r="AA3" s="10" t="inlineStr">
        <is>
          <t>Requires Verification</t>
        </is>
      </c>
      <c r="AB3" s="10" t="inlineStr">
        <is>
          <t>https://www.yorkshire.com/bingley/shopping/off-license/a-b-stores</t>
        </is>
      </c>
    </row>
    <row r="4">
      <c r="A4" s="5" t="inlineStr">
        <is>
          <t>UK-000232</t>
        </is>
      </c>
      <c r="B4" s="5" t="inlineStr">
        <is>
          <t>UK-000232-01</t>
        </is>
      </c>
      <c r="C4" s="5" t="inlineStr"/>
      <c r="D4" s="5" t="inlineStr">
        <is>
          <t>AA Off Licence</t>
        </is>
      </c>
      <c r="E4" s="5" t="inlineStr">
        <is>
          <t>Off-Licence</t>
        </is>
      </c>
      <c r="F4" s="5" t="inlineStr">
        <is>
          <t>Off-licence / convenience</t>
        </is>
      </c>
      <c r="G4" s="5" t="inlineStr">
        <is>
          <t>Independent</t>
        </is>
      </c>
      <c r="H4" s="5" t="inlineStr">
        <is>
          <t>1</t>
        </is>
      </c>
      <c r="I4" s="5" t="inlineStr">
        <is>
          <t>Hessle Road</t>
        </is>
      </c>
      <c r="J4" s="5" t="inlineStr">
        <is>
          <t>Kingston upon Hull</t>
        </is>
      </c>
      <c r="K4" s="5" t="inlineStr"/>
      <c r="L4" s="5" t="inlineStr"/>
      <c r="M4" s="5" t="inlineStr"/>
      <c r="N4" s="5" t="inlineStr"/>
      <c r="O4" s="5" t="inlineStr"/>
      <c r="P4" s="5" t="inlineStr"/>
      <c r="Q4" s="5" t="inlineStr"/>
      <c r="R4" s="5" t="inlineStr"/>
      <c r="S4" s="5" t="inlineStr"/>
      <c r="T4" s="5" t="inlineStr"/>
      <c r="U4" s="5" t="inlineStr"/>
      <c r="V4" s="5" t="inlineStr">
        <is>
          <t>Low</t>
        </is>
      </c>
      <c r="W4" s="5" t="inlineStr">
        <is>
          <t>Independent retailer; Relevant category</t>
        </is>
      </c>
      <c r="X4" s="5" t="inlineStr">
        <is>
          <t>Not Found</t>
        </is>
      </c>
      <c r="Y4" s="5" t="inlineStr">
        <is>
          <t>Not Found</t>
        </is>
      </c>
      <c r="Z4" s="5" t="inlineStr">
        <is>
          <t>Low</t>
        </is>
      </c>
      <c r="AA4" s="5" t="inlineStr">
        <is>
          <t>Requires Verification</t>
        </is>
      </c>
      <c r="AB4" s="5" t="inlineStr">
        <is>
          <t>https://www.yorkshire.com/hull/shopping/off-license/aa-off-licence</t>
        </is>
      </c>
    </row>
    <row r="5">
      <c r="A5" s="10" t="inlineStr">
        <is>
          <t>WY-0057</t>
        </is>
      </c>
      <c r="B5" s="10" t="inlineStr">
        <is>
          <t>WY-0057-01</t>
        </is>
      </c>
      <c r="C5" s="10" t="inlineStr"/>
      <c r="D5" s="10" t="inlineStr">
        <is>
          <t>Baildon Off Licence</t>
        </is>
      </c>
      <c r="E5" s="10" t="inlineStr">
        <is>
          <t>Off-Licence</t>
        </is>
      </c>
      <c r="F5" s="10" t="inlineStr">
        <is>
          <t>Neighbourhood off-licence</t>
        </is>
      </c>
      <c r="G5" s="10" t="inlineStr">
        <is>
          <t>Independent</t>
        </is>
      </c>
      <c r="H5" s="10" t="inlineStr">
        <is>
          <t>1</t>
        </is>
      </c>
      <c r="I5" s="10" t="inlineStr">
        <is>
          <t>Coach Road</t>
        </is>
      </c>
      <c r="J5" s="10" t="inlineStr">
        <is>
          <t>Shipley</t>
        </is>
      </c>
      <c r="K5" s="10" t="inlineStr"/>
      <c r="L5" s="10" t="inlineStr"/>
      <c r="M5" s="10" t="inlineStr"/>
      <c r="N5" s="10" t="inlineStr"/>
      <c r="O5" s="10" t="inlineStr"/>
      <c r="P5" s="10" t="inlineStr"/>
      <c r="Q5" s="10" t="inlineStr"/>
      <c r="R5" s="10" t="inlineStr"/>
      <c r="S5" s="10" t="inlineStr"/>
      <c r="T5" s="10" t="inlineStr"/>
      <c r="U5" s="10" t="inlineStr"/>
      <c r="V5" s="10" t="inlineStr">
        <is>
          <t>Low</t>
        </is>
      </c>
      <c r="W5" s="10" t="inlineStr">
        <is>
          <t>Independent retailer; Relevant category</t>
        </is>
      </c>
      <c r="X5" s="10" t="inlineStr">
        <is>
          <t>Not Found</t>
        </is>
      </c>
      <c r="Y5" s="10" t="inlineStr">
        <is>
          <t>Not Found</t>
        </is>
      </c>
      <c r="Z5" s="10" t="inlineStr">
        <is>
          <t>Low</t>
        </is>
      </c>
      <c r="AA5" s="10" t="inlineStr">
        <is>
          <t>Requires Verification</t>
        </is>
      </c>
      <c r="AB5" s="10" t="inlineStr">
        <is>
          <t>https://www.yorkshire.com/saltaire/shopping/off-license/baildon-off-licence</t>
        </is>
      </c>
    </row>
    <row r="6">
      <c r="A6" s="5" t="inlineStr">
        <is>
          <t>WY-0058</t>
        </is>
      </c>
      <c r="B6" s="5" t="inlineStr">
        <is>
          <t>WY-0058-01</t>
        </is>
      </c>
      <c r="C6" s="5" t="inlineStr"/>
      <c r="D6" s="5" t="inlineStr">
        <is>
          <t>Bar Market</t>
        </is>
      </c>
      <c r="E6" s="5" t="inlineStr">
        <is>
          <t>Off-Licence</t>
        </is>
      </c>
      <c r="F6" s="5" t="inlineStr">
        <is>
          <t>24-hour off-licence</t>
        </is>
      </c>
      <c r="G6" s="5" t="inlineStr">
        <is>
          <t>Independent</t>
        </is>
      </c>
      <c r="H6" s="5" t="inlineStr">
        <is>
          <t>1</t>
        </is>
      </c>
      <c r="I6" s="5" t="inlineStr">
        <is>
          <t>Crown Street</t>
        </is>
      </c>
      <c r="J6" s="5" t="inlineStr">
        <is>
          <t>Halifax</t>
        </is>
      </c>
      <c r="K6" s="5" t="inlineStr"/>
      <c r="L6" s="5" t="inlineStr"/>
      <c r="M6" s="5" t="inlineStr"/>
      <c r="N6" s="5" t="inlineStr"/>
      <c r="O6" s="5" t="inlineStr"/>
      <c r="P6" s="5" t="inlineStr"/>
      <c r="Q6" s="5" t="inlineStr"/>
      <c r="R6" s="5" t="inlineStr"/>
      <c r="S6" s="5" t="inlineStr"/>
      <c r="T6" s="5" t="inlineStr"/>
      <c r="U6" s="5" t="inlineStr"/>
      <c r="V6" s="5" t="inlineStr">
        <is>
          <t>Low</t>
        </is>
      </c>
      <c r="W6" s="5" t="inlineStr">
        <is>
          <t>Independent retailer; Relevant category</t>
        </is>
      </c>
      <c r="X6" s="5" t="inlineStr">
        <is>
          <t>Not Found</t>
        </is>
      </c>
      <c r="Y6" s="5" t="inlineStr">
        <is>
          <t>Not Found</t>
        </is>
      </c>
      <c r="Z6" s="5" t="inlineStr">
        <is>
          <t>Low</t>
        </is>
      </c>
      <c r="AA6" s="5" t="inlineStr">
        <is>
          <t>Requires Verification</t>
        </is>
      </c>
      <c r="AB6" s="5" t="inlineStr">
        <is>
          <t>https://www.yorkshire.com/halifax/shopping/off-license/bar-market-ltd</t>
        </is>
      </c>
    </row>
    <row r="7">
      <c r="A7" s="10" t="inlineStr">
        <is>
          <t>WY-0061</t>
        </is>
      </c>
      <c r="B7" s="10" t="inlineStr">
        <is>
          <t>WY-0061-01</t>
        </is>
      </c>
      <c r="C7" s="10" t="inlineStr"/>
      <c r="D7" s="10" t="inlineStr">
        <is>
          <t>Beer Ritz</t>
        </is>
      </c>
      <c r="E7" s="10" t="inlineStr">
        <is>
          <t>Off-Licence</t>
        </is>
      </c>
      <c r="F7" s="10" t="inlineStr">
        <is>
          <t>Specialist craft beer off-licence</t>
        </is>
      </c>
      <c r="G7" s="10" t="inlineStr">
        <is>
          <t>Independent</t>
        </is>
      </c>
      <c r="H7" s="10" t="inlineStr">
        <is>
          <t>1</t>
        </is>
      </c>
      <c r="I7" s="10" t="inlineStr">
        <is>
          <t>14 Weetwood Lane</t>
        </is>
      </c>
      <c r="J7" s="10" t="inlineStr">
        <is>
          <t>Leeds</t>
        </is>
      </c>
      <c r="K7" s="10" t="inlineStr">
        <is>
          <t>LS16 5LX</t>
        </is>
      </c>
      <c r="L7" s="10" t="inlineStr">
        <is>
          <t>0113 275 3464</t>
        </is>
      </c>
      <c r="M7" s="10" t="inlineStr"/>
      <c r="N7" s="10" t="inlineStr">
        <is>
          <t>sales@beerritz.co.uk</t>
        </is>
      </c>
      <c r="O7" s="10" t="inlineStr">
        <is>
          <t>https://www.beerritz.co.uk/</t>
        </is>
      </c>
      <c r="P7" s="10" t="inlineStr">
        <is>
          <t>https://www.facebook.com/beerritz/</t>
        </is>
      </c>
      <c r="Q7" s="10" t="inlineStr">
        <is>
          <t>https://www.instagram.com/beerritzleeds/</t>
        </is>
      </c>
      <c r="R7" s="10" t="inlineStr"/>
      <c r="S7" s="10" t="inlineStr"/>
      <c r="T7" s="10" t="inlineStr"/>
      <c r="U7" s="10" t="inlineStr"/>
      <c r="V7" s="10" t="inlineStr">
        <is>
          <t>High</t>
        </is>
      </c>
      <c r="W7" s="10" t="inlineStr">
        <is>
          <t>Independent retailer; Relevant category; Public trade/sales contact; Active website; Social presence</t>
        </is>
      </c>
      <c r="X7" s="10" t="inlineStr">
        <is>
          <t>Verified directory</t>
        </is>
      </c>
      <c r="Y7" s="10" t="inlineStr">
        <is>
          <t>Website Found</t>
        </is>
      </c>
      <c r="Z7" s="10" t="inlineStr">
        <is>
          <t>Medium</t>
        </is>
      </c>
      <c r="AA7" s="10" t="inlineStr">
        <is>
          <t>Partially Verified</t>
        </is>
      </c>
      <c r="AB7" s="10" t="inlineStr">
        <is>
          <t>https://www.beerritz.co.uk/contact-us</t>
        </is>
      </c>
    </row>
    <row r="8">
      <c r="A8" s="5" t="inlineStr">
        <is>
          <t>WY-0066</t>
        </is>
      </c>
      <c r="B8" s="5" t="inlineStr">
        <is>
          <t>WY-0066-01</t>
        </is>
      </c>
      <c r="C8" s="5" t="inlineStr"/>
      <c r="D8" s="5" t="inlineStr">
        <is>
          <t>Boothtown Post Office &amp; Off-Licence</t>
        </is>
      </c>
      <c r="E8" s="5" t="inlineStr">
        <is>
          <t>Off-Licence</t>
        </is>
      </c>
      <c r="F8" s="5" t="inlineStr">
        <is>
          <t>Off-licence with post office counter</t>
        </is>
      </c>
      <c r="G8" s="5" t="inlineStr">
        <is>
          <t>Independent</t>
        </is>
      </c>
      <c r="H8" s="5" t="inlineStr">
        <is>
          <t>1</t>
        </is>
      </c>
      <c r="I8" s="5" t="inlineStr"/>
      <c r="J8" s="5" t="inlineStr">
        <is>
          <t>Halifax</t>
        </is>
      </c>
      <c r="K8" s="5" t="inlineStr"/>
      <c r="L8" s="5" t="inlineStr"/>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Not Found</t>
        </is>
      </c>
      <c r="Y8" s="5" t="inlineStr">
        <is>
          <t>Not Found</t>
        </is>
      </c>
      <c r="Z8" s="5" t="inlineStr">
        <is>
          <t>Low</t>
        </is>
      </c>
      <c r="AA8" s="5" t="inlineStr">
        <is>
          <t>Requires Verification</t>
        </is>
      </c>
      <c r="AB8" s="5" t="inlineStr">
        <is>
          <t>https://findit.halifaxcourier.co.uk/search/halifax/off-licence</t>
        </is>
      </c>
    </row>
    <row r="9">
      <c r="A9" s="10" t="inlineStr">
        <is>
          <t>WY-0067</t>
        </is>
      </c>
      <c r="B9" s="10" t="inlineStr">
        <is>
          <t>WY-0067-01</t>
        </is>
      </c>
      <c r="C9" s="10" t="inlineStr"/>
      <c r="D9" s="10" t="inlineStr">
        <is>
          <t>Booze Express</t>
        </is>
      </c>
      <c r="E9" s="10" t="inlineStr">
        <is>
          <t>Off-Licence</t>
        </is>
      </c>
      <c r="F9" s="10" t="inlineStr"/>
      <c r="G9" s="10" t="inlineStr">
        <is>
          <t>Independent</t>
        </is>
      </c>
      <c r="H9" s="10" t="inlineStr">
        <is>
          <t>1</t>
        </is>
      </c>
      <c r="I9" s="10" t="inlineStr">
        <is>
          <t>520 Gibbet Street</t>
        </is>
      </c>
      <c r="J9" s="10" t="inlineStr">
        <is>
          <t>Halifax</t>
        </is>
      </c>
      <c r="K9" s="10" t="inlineStr">
        <is>
          <t>HX2 0AH</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Independent retailer; Relevant category; Social presence</t>
        </is>
      </c>
      <c r="X9" s="10" t="inlineStr">
        <is>
          <t>Not Found</t>
        </is>
      </c>
      <c r="Y9" s="10" t="inlineStr">
        <is>
          <t>Not Found</t>
        </is>
      </c>
      <c r="Z9" s="10" t="inlineStr">
        <is>
          <t>Low</t>
        </is>
      </c>
      <c r="AA9" s="10" t="inlineStr">
        <is>
          <t>Partially Verified</t>
        </is>
      </c>
      <c r="AB9" s="10" t="inlineStr">
        <is>
          <t>https://find-and-update.company-information.service.gov.uk/company/10264056</t>
        </is>
      </c>
    </row>
    <row r="10">
      <c r="A10" s="5" t="inlineStr">
        <is>
          <t>WY-0068</t>
        </is>
      </c>
      <c r="B10" s="5" t="inlineStr">
        <is>
          <t>WY-0068-01</t>
        </is>
      </c>
      <c r="C10" s="5" t="inlineStr"/>
      <c r="D10" s="5" t="inlineStr">
        <is>
          <t>Bottle and Bean</t>
        </is>
      </c>
      <c r="E10" s="5" t="inlineStr">
        <is>
          <t>Off-Licence</t>
        </is>
      </c>
      <c r="F10" s="5" t="inlineStr">
        <is>
          <t>Wine, craft beer and coffee shop</t>
        </is>
      </c>
      <c r="G10" s="5" t="inlineStr">
        <is>
          <t>Independent</t>
        </is>
      </c>
      <c r="H10" s="5" t="inlineStr">
        <is>
          <t>1</t>
        </is>
      </c>
      <c r="I10" s="5" t="inlineStr"/>
      <c r="J10" s="5" t="inlineStr">
        <is>
          <t>Wetherby</t>
        </is>
      </c>
      <c r="K10" s="5" t="inlineStr"/>
      <c r="L10" s="5" t="inlineStr"/>
      <c r="M10" s="5" t="inlineStr"/>
      <c r="N10" s="5" t="inlineStr"/>
      <c r="O10" s="5" t="inlineStr"/>
      <c r="P10" s="5" t="inlineStr"/>
      <c r="Q10" s="5" t="inlineStr"/>
      <c r="R10" s="5" t="inlineStr"/>
      <c r="S10" s="5" t="inlineStr"/>
      <c r="T10" s="5" t="inlineStr"/>
      <c r="U10" s="5" t="inlineStr"/>
      <c r="V10" s="5" t="inlineStr">
        <is>
          <t>Low</t>
        </is>
      </c>
      <c r="W10" s="5" t="inlineStr">
        <is>
          <t>Independent retailer; Relevant category</t>
        </is>
      </c>
      <c r="X10" s="5" t="inlineStr">
        <is>
          <t>Not Found</t>
        </is>
      </c>
      <c r="Y10" s="5" t="inlineStr">
        <is>
          <t>Not Found</t>
        </is>
      </c>
      <c r="Z10" s="5" t="inlineStr">
        <is>
          <t>Low</t>
        </is>
      </c>
      <c r="AA10" s="5" t="inlineStr">
        <is>
          <t>Requires Verification</t>
        </is>
      </c>
      <c r="AB10" s="5" t="inlineStr">
        <is>
          <t>https://www.yorkshire.com/wetherby/shopping/off-license/bottle-and-bean</t>
        </is>
      </c>
    </row>
    <row r="11">
      <c r="A11" s="10" t="inlineStr">
        <is>
          <t>WY-0069</t>
        </is>
      </c>
      <c r="B11" s="10" t="inlineStr">
        <is>
          <t>WY-0069-01</t>
        </is>
      </c>
      <c r="C11" s="10" t="inlineStr"/>
      <c r="D11" s="10" t="inlineStr">
        <is>
          <t>Bridge Off Licence Convenience Store</t>
        </is>
      </c>
      <c r="E11" s="10" t="inlineStr">
        <is>
          <t>Off-Licence</t>
        </is>
      </c>
      <c r="F11" s="10" t="inlineStr">
        <is>
          <t>Off-licence and convenience store</t>
        </is>
      </c>
      <c r="G11" s="10" t="inlineStr">
        <is>
          <t>Independent</t>
        </is>
      </c>
      <c r="H11" s="10" t="inlineStr">
        <is>
          <t>1</t>
        </is>
      </c>
      <c r="I11" s="10" t="inlineStr"/>
      <c r="J11" s="10" t="inlineStr">
        <is>
          <t>Sowerby Bridge</t>
        </is>
      </c>
      <c r="K11" s="10" t="inlineStr"/>
      <c r="L11" s="10" t="inlineStr"/>
      <c r="M11" s="10" t="inlineStr"/>
      <c r="N11" s="10" t="inlineStr"/>
      <c r="O11" s="10" t="inlineStr"/>
      <c r="P11" s="10" t="inlineStr"/>
      <c r="Q11" s="10" t="inlineStr"/>
      <c r="R11" s="10" t="inlineStr"/>
      <c r="S11" s="10" t="inlineStr"/>
      <c r="T11" s="10" t="inlineStr"/>
      <c r="U11" s="10" t="inlineStr"/>
      <c r="V11" s="10" t="inlineStr">
        <is>
          <t>Low</t>
        </is>
      </c>
      <c r="W11" s="10" t="inlineStr">
        <is>
          <t>Independent retailer; Relevant category</t>
        </is>
      </c>
      <c r="X11" s="10" t="inlineStr">
        <is>
          <t>Not Found</t>
        </is>
      </c>
      <c r="Y11" s="10" t="inlineStr">
        <is>
          <t>Not Found</t>
        </is>
      </c>
      <c r="Z11" s="10" t="inlineStr">
        <is>
          <t>Low</t>
        </is>
      </c>
      <c r="AA11" s="10" t="inlineStr">
        <is>
          <t>Requires Verification</t>
        </is>
      </c>
      <c r="AB11" s="10" t="inlineStr">
        <is>
          <t>https://www.yorkshire.com/sowerby-bridge/shopping/off-license/bridge-off-licence-convenience-store</t>
        </is>
      </c>
    </row>
    <row r="12">
      <c r="A12" s="5" t="inlineStr">
        <is>
          <t>WY-0073</t>
        </is>
      </c>
      <c r="B12" s="5" t="inlineStr">
        <is>
          <t>WY-0073-01</t>
        </is>
      </c>
      <c r="C12" s="5" t="inlineStr"/>
      <c r="D12" s="5" t="inlineStr">
        <is>
          <t>Caspar's Bottle Shop</t>
        </is>
      </c>
      <c r="E12" s="5" t="inlineStr">
        <is>
          <t>Off-Licence</t>
        </is>
      </c>
      <c r="F12" s="5" t="inlineStr">
        <is>
          <t>Craft beer bottle shop</t>
        </is>
      </c>
      <c r="G12" s="5" t="inlineStr">
        <is>
          <t>Independent</t>
        </is>
      </c>
      <c r="H12" s="5" t="inlineStr">
        <is>
          <t>1</t>
        </is>
      </c>
      <c r="I12" s="5" t="inlineStr">
        <is>
          <t>65 Potternewton Lane</t>
        </is>
      </c>
      <c r="J12" s="5" t="inlineStr">
        <is>
          <t>Leeds</t>
        </is>
      </c>
      <c r="K12" s="5" t="inlineStr">
        <is>
          <t>LS7 3LW</t>
        </is>
      </c>
      <c r="L12" s="5" t="inlineStr">
        <is>
          <t>0113 237 4554</t>
        </is>
      </c>
      <c r="M12" s="5" t="inlineStr"/>
      <c r="N12" s="5" t="inlineStr"/>
      <c r="O12" s="5" t="inlineStr">
        <is>
          <t>https://www.casparsbottleshop.com/</t>
        </is>
      </c>
      <c r="P12" s="5" t="inlineStr">
        <is>
          <t>https://www.facebook.com/casparsbottleshop/</t>
        </is>
      </c>
      <c r="Q12" s="5" t="inlineStr"/>
      <c r="R12" s="5" t="inlineStr"/>
      <c r="S12" s="5" t="inlineStr"/>
      <c r="T12" s="5" t="inlineStr"/>
      <c r="U12" s="5" t="inlineStr"/>
      <c r="V12" s="5" t="inlineStr">
        <is>
          <t>Medium</t>
        </is>
      </c>
      <c r="W12" s="5" t="inlineStr">
        <is>
          <t>Independent retailer; Relevant category; Active website; Social presence</t>
        </is>
      </c>
      <c r="X12" s="5" t="inlineStr">
        <is>
          <t>Verified directory</t>
        </is>
      </c>
      <c r="Y12" s="5" t="inlineStr">
        <is>
          <t>Website Found</t>
        </is>
      </c>
      <c r="Z12" s="5" t="inlineStr">
        <is>
          <t>Medium</t>
        </is>
      </c>
      <c r="AA12" s="5" t="inlineStr">
        <is>
          <t>Requires Verification</t>
        </is>
      </c>
      <c r="AB12" s="5" t="inlineStr">
        <is>
          <t>https://www.casparsbottleshop.com/</t>
        </is>
      </c>
    </row>
    <row r="13">
      <c r="A13" s="10" t="inlineStr">
        <is>
          <t>WY-0074</t>
        </is>
      </c>
      <c r="B13" s="10" t="inlineStr">
        <is>
          <t>WY-0074-01</t>
        </is>
      </c>
      <c r="C13" s="10" t="inlineStr"/>
      <c r="D13" s="10" t="inlineStr">
        <is>
          <t>Castleford Road Off Licence</t>
        </is>
      </c>
      <c r="E13" s="10" t="inlineStr">
        <is>
          <t>Off-Licence</t>
        </is>
      </c>
      <c r="F13" s="10" t="inlineStr">
        <is>
          <t>Off-licence and convenience store</t>
        </is>
      </c>
      <c r="G13" s="10" t="inlineStr">
        <is>
          <t>Independent</t>
        </is>
      </c>
      <c r="H13" s="10" t="inlineStr">
        <is>
          <t>1</t>
        </is>
      </c>
      <c r="I13" s="10" t="inlineStr">
        <is>
          <t>154 Castleford Road</t>
        </is>
      </c>
      <c r="J13" s="10" t="inlineStr">
        <is>
          <t>Normanton</t>
        </is>
      </c>
      <c r="K13" s="10" t="inlineStr">
        <is>
          <t>WF6 2EU</t>
        </is>
      </c>
      <c r="L13" s="10" t="inlineStr">
        <is>
          <t>01924 223984</t>
        </is>
      </c>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Verified directory</t>
        </is>
      </c>
      <c r="Y13" s="10" t="inlineStr">
        <is>
          <t>Not Found</t>
        </is>
      </c>
      <c r="Z13" s="10" t="inlineStr">
        <is>
          <t>Medium</t>
        </is>
      </c>
      <c r="AA13" s="10" t="inlineStr">
        <is>
          <t>Requires Verification</t>
        </is>
      </c>
      <c r="AB13" s="10" t="inlineStr">
        <is>
          <t>https://www.192.com/atoz/business/normanton-wf6/convenience-stores/castleford-road-off-licence-limited/bb1e65f2f01c9a4208fc92bb1c8fdf5da42be2ec/comp/</t>
        </is>
      </c>
    </row>
    <row r="14">
      <c r="A14" s="5" t="inlineStr">
        <is>
          <t>WY-0079</t>
        </is>
      </c>
      <c r="B14" s="5" t="inlineStr">
        <is>
          <t>WY-0079-01</t>
        </is>
      </c>
      <c r="C14" s="5" t="inlineStr"/>
      <c r="D14" s="5" t="inlineStr">
        <is>
          <t>Crossroads Off Licence &amp; Newsagent</t>
        </is>
      </c>
      <c r="E14" s="5" t="inlineStr">
        <is>
          <t>Off-Licence</t>
        </is>
      </c>
      <c r="F14" s="5" t="inlineStr">
        <is>
          <t>Off-licence and newsagent</t>
        </is>
      </c>
      <c r="G14" s="5" t="inlineStr">
        <is>
          <t>Independent</t>
        </is>
      </c>
      <c r="H14" s="5" t="inlineStr">
        <is>
          <t>1</t>
        </is>
      </c>
      <c r="I14" s="5" t="inlineStr">
        <is>
          <t>19 Cross Road</t>
        </is>
      </c>
      <c r="J14" s="5" t="inlineStr">
        <is>
          <t>Wakefield</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https://m.yelp.com/biz/crossroads-off-licence-and-newsagent-wakefield</t>
        </is>
      </c>
    </row>
    <row r="15">
      <c r="A15" s="10" t="inlineStr">
        <is>
          <t>UK-000245</t>
        </is>
      </c>
      <c r="B15" s="10" t="inlineStr">
        <is>
          <t>UK-000245-01</t>
        </is>
      </c>
      <c r="C15" s="10" t="inlineStr"/>
      <c r="D15" s="10" t="inlineStr">
        <is>
          <t>First Choice Off Licence</t>
        </is>
      </c>
      <c r="E15" s="10" t="inlineStr">
        <is>
          <t>Off-Licence</t>
        </is>
      </c>
      <c r="F15" s="10" t="inlineStr">
        <is>
          <t>Off-licence</t>
        </is>
      </c>
      <c r="G15" s="10" t="inlineStr">
        <is>
          <t>Independent</t>
        </is>
      </c>
      <c r="H15" s="10" t="inlineStr">
        <is>
          <t>1</t>
        </is>
      </c>
      <c r="I15" s="10" t="inlineStr"/>
      <c r="J15" s="10" t="inlineStr">
        <is>
          <t>Sheffield</t>
        </is>
      </c>
      <c r="K15" s="10" t="inlineStr"/>
      <c r="L15" s="10" t="inlineStr"/>
      <c r="M15" s="10" t="inlineStr"/>
      <c r="N15" s="10" t="inlineStr"/>
      <c r="O15" s="10" t="inlineStr"/>
      <c r="P15" s="10" t="inlineStr">
        <is>
          <t>https://www.facebook.com/FirstChoiceOffLicence/</t>
        </is>
      </c>
      <c r="Q15" s="10" t="inlineStr"/>
      <c r="R15" s="10" t="inlineStr"/>
      <c r="S15" s="10" t="inlineStr"/>
      <c r="T15" s="10" t="inlineStr"/>
      <c r="U15" s="10" t="inlineStr"/>
      <c r="V15" s="10" t="inlineStr">
        <is>
          <t>Medium</t>
        </is>
      </c>
      <c r="W15" s="10" t="inlineStr">
        <is>
          <t>Independent retailer; Relevant category; Social presence</t>
        </is>
      </c>
      <c r="X15" s="10" t="inlineStr">
        <is>
          <t>Not Found</t>
        </is>
      </c>
      <c r="Y15" s="10" t="inlineStr">
        <is>
          <t>Not Found</t>
        </is>
      </c>
      <c r="Z15" s="10" t="inlineStr">
        <is>
          <t>Low</t>
        </is>
      </c>
      <c r="AA15" s="10" t="inlineStr">
        <is>
          <t>Requires Verification</t>
        </is>
      </c>
      <c r="AB15" s="10" t="inlineStr">
        <is>
          <t>https://www.facebook.com/FirstChoiceOffLicence/</t>
        </is>
      </c>
    </row>
    <row r="16">
      <c r="A16" s="5" t="inlineStr">
        <is>
          <t>UK-000256</t>
        </is>
      </c>
      <c r="B16" s="5" t="inlineStr">
        <is>
          <t>UK-000256-01</t>
        </is>
      </c>
      <c r="C16" s="5" t="inlineStr"/>
      <c r="D16" s="5" t="inlineStr">
        <is>
          <t>Holderness Convenience &amp; Spirits</t>
        </is>
      </c>
      <c r="E16" s="5" t="inlineStr">
        <is>
          <t>Off-Licence</t>
        </is>
      </c>
      <c r="F16" s="5" t="inlineStr">
        <is>
          <t>Off-licence / convenience</t>
        </is>
      </c>
      <c r="G16" s="5" t="inlineStr">
        <is>
          <t>Independent</t>
        </is>
      </c>
      <c r="H16" s="5" t="inlineStr">
        <is>
          <t>1</t>
        </is>
      </c>
      <c r="I16" s="5" t="inlineStr">
        <is>
          <t>Holderness Road</t>
        </is>
      </c>
      <c r="J16" s="5" t="inlineStr">
        <is>
          <t>Kingston upon Hull</t>
        </is>
      </c>
      <c r="K16" s="5" t="inlineStr"/>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https://www.yorkshire.com/hull/shopping/off-license/holderness-convenience-spirits</t>
        </is>
      </c>
    </row>
    <row r="17">
      <c r="A17" s="10" t="inlineStr">
        <is>
          <t>UK-000259</t>
        </is>
      </c>
      <c r="B17" s="10" t="inlineStr">
        <is>
          <t>UK-000259-01</t>
        </is>
      </c>
      <c r="C17" s="10" t="inlineStr"/>
      <c r="D17" s="10" t="inlineStr">
        <is>
          <t>Jah's Off Licence</t>
        </is>
      </c>
      <c r="E17" s="10" t="inlineStr">
        <is>
          <t>Off-Licence</t>
        </is>
      </c>
      <c r="F17" s="10" t="inlineStr">
        <is>
          <t>Off-licence / convenience</t>
        </is>
      </c>
      <c r="G17" s="10" t="inlineStr">
        <is>
          <t>Independent</t>
        </is>
      </c>
      <c r="H17" s="10" t="inlineStr">
        <is>
          <t>1</t>
        </is>
      </c>
      <c r="I17" s="10" t="inlineStr">
        <is>
          <t>141 London Road</t>
        </is>
      </c>
      <c r="J17" s="10" t="inlineStr">
        <is>
          <t>Sheffield</t>
        </is>
      </c>
      <c r="K17" s="10" t="inlineStr">
        <is>
          <t>S2 4LE</t>
        </is>
      </c>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https://www.locallife.co.uk/sheffield/off-licences.asp</t>
        </is>
      </c>
    </row>
    <row r="18">
      <c r="A18" s="5" t="inlineStr">
        <is>
          <t>WY-0108</t>
        </is>
      </c>
      <c r="B18" s="5" t="inlineStr">
        <is>
          <t>WY-0108-01</t>
        </is>
      </c>
      <c r="C18" s="5" t="inlineStr"/>
      <c r="D18" s="5" t="inlineStr">
        <is>
          <t>Latitude Wine &amp; Liquor Merchant</t>
        </is>
      </c>
      <c r="E18" s="5" t="inlineStr">
        <is>
          <t>Off-Licence</t>
        </is>
      </c>
      <c r="F18" s="5" t="inlineStr">
        <is>
          <t>Specialist wine and spirits merchant</t>
        </is>
      </c>
      <c r="G18" s="5" t="inlineStr">
        <is>
          <t>Independent</t>
        </is>
      </c>
      <c r="H18" s="5" t="inlineStr">
        <is>
          <t>1</t>
        </is>
      </c>
      <c r="I18" s="5" t="inlineStr">
        <is>
          <t>5 Cherry Tree Walk</t>
        </is>
      </c>
      <c r="J18" s="5" t="inlineStr">
        <is>
          <t>Leeds</t>
        </is>
      </c>
      <c r="K18" s="5" t="inlineStr">
        <is>
          <t>LS2 7EB</t>
        </is>
      </c>
      <c r="L18" s="5" t="inlineStr">
        <is>
          <t>0113 245 3393</t>
        </is>
      </c>
      <c r="M18" s="5" t="inlineStr"/>
      <c r="N18" s="5" t="inlineStr">
        <is>
          <t>sales@latitudewine.co.uk</t>
        </is>
      </c>
      <c r="O18" s="5" t="inlineStr">
        <is>
          <t>https://latitudewine.co.uk/</t>
        </is>
      </c>
      <c r="P18" s="5" t="inlineStr"/>
      <c r="Q18" s="5" t="inlineStr"/>
      <c r="R18" s="5" t="inlineStr"/>
      <c r="S18" s="5" t="inlineStr"/>
      <c r="T18" s="5" t="inlineStr"/>
      <c r="U18" s="5" t="inlineStr"/>
      <c r="V18" s="5" t="inlineStr">
        <is>
          <t>Medium</t>
        </is>
      </c>
      <c r="W18" s="5" t="inlineStr">
        <is>
          <t>Independent retailer; Relevant category; Public trade/sales contact; Active website</t>
        </is>
      </c>
      <c r="X18" s="5" t="inlineStr">
        <is>
          <t>Verified directory</t>
        </is>
      </c>
      <c r="Y18" s="5" t="inlineStr">
        <is>
          <t>Website Found</t>
        </is>
      </c>
      <c r="Z18" s="5" t="inlineStr">
        <is>
          <t>Medium</t>
        </is>
      </c>
      <c r="AA18" s="5" t="inlineStr">
        <is>
          <t>Partially Verified</t>
        </is>
      </c>
      <c r="AB18" s="5" t="inlineStr">
        <is>
          <t>https://latitudewine.co.uk/</t>
        </is>
      </c>
    </row>
    <row r="19">
      <c r="A19" s="10" t="inlineStr">
        <is>
          <t>WY-0112</t>
        </is>
      </c>
      <c r="B19" s="10" t="inlineStr">
        <is>
          <t>WY-0112-01</t>
        </is>
      </c>
      <c r="C19" s="10" t="inlineStr"/>
      <c r="D19" s="10" t="inlineStr">
        <is>
          <t>Local Express Off Licence</t>
        </is>
      </c>
      <c r="E19" s="10" t="inlineStr">
        <is>
          <t>Off-Licence</t>
        </is>
      </c>
      <c r="F19" s="10" t="inlineStr">
        <is>
          <t>Off-licence / beer store</t>
        </is>
      </c>
      <c r="G19" s="10" t="inlineStr">
        <is>
          <t>Independent</t>
        </is>
      </c>
      <c r="H19" s="10" t="inlineStr">
        <is>
          <t>1</t>
        </is>
      </c>
      <c r="I19" s="10" t="inlineStr">
        <is>
          <t>30 Common Road</t>
        </is>
      </c>
      <c r="J19" s="10" t="inlineStr">
        <is>
          <t>Batley</t>
        </is>
      </c>
      <c r="K19" s="10" t="inlineStr"/>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Not Found</t>
        </is>
      </c>
      <c r="Y19" s="10" t="inlineStr">
        <is>
          <t>Not Found</t>
        </is>
      </c>
      <c r="Z19" s="10" t="inlineStr">
        <is>
          <t>Low</t>
        </is>
      </c>
      <c r="AA19" s="10" t="inlineStr">
        <is>
          <t>Requires Verification</t>
        </is>
      </c>
      <c r="AB19" s="10" t="inlineStr">
        <is>
          <t>https://www.bigreddirectory.com/local-express-off-licence-batley</t>
        </is>
      </c>
    </row>
    <row r="20">
      <c r="A20" s="5" t="inlineStr">
        <is>
          <t>WY-0118</t>
        </is>
      </c>
      <c r="B20" s="5" t="inlineStr">
        <is>
          <t>WY-0118-01</t>
        </is>
      </c>
      <c r="C20" s="5" t="inlineStr"/>
      <c r="D20" s="5" t="inlineStr">
        <is>
          <t>Martinez Wines</t>
        </is>
      </c>
      <c r="E20" s="5" t="inlineStr">
        <is>
          <t>Off-Licence</t>
        </is>
      </c>
      <c r="F20" s="5" t="inlineStr">
        <is>
          <t>Independent fine wine merchant (with cellar wine bar)</t>
        </is>
      </c>
      <c r="G20" s="5" t="inlineStr">
        <is>
          <t>Independent</t>
        </is>
      </c>
      <c r="H20" s="5" t="inlineStr">
        <is>
          <t>1</t>
        </is>
      </c>
      <c r="I20" s="5" t="inlineStr">
        <is>
          <t>35 The Grove</t>
        </is>
      </c>
      <c r="J20" s="5" t="inlineStr">
        <is>
          <t>Ilkley</t>
        </is>
      </c>
      <c r="K20" s="5" t="inlineStr">
        <is>
          <t>LS29 9NJ</t>
        </is>
      </c>
      <c r="L20" s="5" t="inlineStr">
        <is>
          <t>01943 600000</t>
        </is>
      </c>
      <c r="M20" s="5" t="inlineStr">
        <is>
          <t>shop@martinez.co.uk</t>
        </is>
      </c>
      <c r="N20" s="5" t="inlineStr"/>
      <c r="O20" s="5" t="inlineStr">
        <is>
          <t>https://martinez.co.uk/</t>
        </is>
      </c>
      <c r="P20" s="5" t="inlineStr"/>
      <c r="Q20" s="5" t="inlineStr">
        <is>
          <t>https://www.instagram.com/martinezwines/</t>
        </is>
      </c>
      <c r="R20" s="5" t="inlineStr"/>
      <c r="S20" s="5" t="inlineStr"/>
      <c r="T20" s="5" t="inlineStr"/>
      <c r="U20" s="5" t="inlineStr"/>
      <c r="V20" s="5" t="inlineStr">
        <is>
          <t>High</t>
        </is>
      </c>
      <c r="W20" s="5" t="inlineStr">
        <is>
          <t>Independent retailer; Relevant category; Public email available; Active website; Social presence; Phone verified on official website</t>
        </is>
      </c>
      <c r="X20" s="5" t="inlineStr">
        <is>
          <t>Verified on official website</t>
        </is>
      </c>
      <c r="Y20" s="5" t="inlineStr">
        <is>
          <t>Publicly Listed</t>
        </is>
      </c>
      <c r="Z20" s="5" t="inlineStr">
        <is>
          <t>Medium</t>
        </is>
      </c>
      <c r="AA20" s="5" t="inlineStr">
        <is>
          <t>Requires Verification</t>
        </is>
      </c>
      <c r="AB20" s="5" t="inlineStr">
        <is>
          <t>https://martinez.co.uk/shop-services/contact/</t>
        </is>
      </c>
    </row>
    <row r="21">
      <c r="A21" s="10" t="inlineStr">
        <is>
          <t>WY-0128</t>
        </is>
      </c>
      <c r="B21" s="10" t="inlineStr">
        <is>
          <t>WY-0128-01</t>
        </is>
      </c>
      <c r="C21" s="10" t="inlineStr"/>
      <c r="D21" s="10" t="inlineStr">
        <is>
          <t>Off Licence and Convenience Store (Cutsyke)</t>
        </is>
      </c>
      <c r="E21" s="10" t="inlineStr">
        <is>
          <t>Off-Licence</t>
        </is>
      </c>
      <c r="F21" s="10" t="inlineStr">
        <is>
          <t>Off-licence and convenience store</t>
        </is>
      </c>
      <c r="G21" s="10" t="inlineStr">
        <is>
          <t>Independent</t>
        </is>
      </c>
      <c r="H21" s="10" t="inlineStr">
        <is>
          <t>1</t>
        </is>
      </c>
      <c r="I21" s="10" t="inlineStr">
        <is>
          <t>2 Leeds Road</t>
        </is>
      </c>
      <c r="J21" s="10" t="inlineStr">
        <is>
          <t>Castleford</t>
        </is>
      </c>
      <c r="K21" s="10" t="inlineStr">
        <is>
          <t>WF10 5HA</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https://ratings.food.gov.uk/business/1268724/off-licence-and-convenience-store-castleford</t>
        </is>
      </c>
    </row>
    <row r="22">
      <c r="A22" s="5" t="inlineStr">
        <is>
          <t>WY-0146</t>
        </is>
      </c>
      <c r="B22" s="5" t="inlineStr">
        <is>
          <t>WY-0146-01</t>
        </is>
      </c>
      <c r="C22" s="5" t="inlineStr"/>
      <c r="D22" s="5" t="inlineStr">
        <is>
          <t>Sheepridge Off Licence</t>
        </is>
      </c>
      <c r="E22" s="5" t="inlineStr">
        <is>
          <t>Off-Licence</t>
        </is>
      </c>
      <c r="F22" s="5" t="inlineStr">
        <is>
          <t>Off-licence and convenience store</t>
        </is>
      </c>
      <c r="G22" s="5" t="inlineStr">
        <is>
          <t>Independent</t>
        </is>
      </c>
      <c r="H22" s="5" t="inlineStr">
        <is>
          <t>1</t>
        </is>
      </c>
      <c r="I22" s="5" t="inlineStr">
        <is>
          <t>73 Lawrence Road</t>
        </is>
      </c>
      <c r="J22" s="5" t="inlineStr">
        <is>
          <t>Huddersfield</t>
        </is>
      </c>
      <c r="K22" s="5" t="inlineStr">
        <is>
          <t>HD1 4LW</t>
        </is>
      </c>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https://www.192.com/atoz/business/huddersfield-hd1/convenience-stores/sheepridge-off-licence-limited/bfc32af555a5eed742b2bfb4d8a2acd75ab80d62/comp/</t>
        </is>
      </c>
    </row>
    <row r="23">
      <c r="A23" s="10" t="inlineStr">
        <is>
          <t>WY-0153</t>
        </is>
      </c>
      <c r="B23" s="10" t="inlineStr">
        <is>
          <t>WY-0153-01</t>
        </is>
      </c>
      <c r="C23" s="10" t="inlineStr"/>
      <c r="D23" s="10" t="inlineStr">
        <is>
          <t>Stainbeck Off Licence (Best-one)</t>
        </is>
      </c>
      <c r="E23" s="10" t="inlineStr">
        <is>
          <t>Off-Licence</t>
        </is>
      </c>
      <c r="F23" s="10" t="inlineStr">
        <is>
          <t>Off-licence and convenience store under Best-one symbol</t>
        </is>
      </c>
      <c r="G23" s="10" t="inlineStr">
        <is>
          <t>Franchise / Symbol Group</t>
        </is>
      </c>
      <c r="H23" s="10" t="inlineStr">
        <is>
          <t>1</t>
        </is>
      </c>
      <c r="I23" s="10" t="inlineStr"/>
      <c r="J23" s="10" t="inlineStr">
        <is>
          <t>Leeds</t>
        </is>
      </c>
      <c r="K23" s="10" t="inlineStr"/>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https://www.yorkshire.com/chapel-allerton/shopping/off-license</t>
        </is>
      </c>
    </row>
    <row r="24">
      <c r="A24" s="5" t="inlineStr">
        <is>
          <t>WY-0154</t>
        </is>
      </c>
      <c r="B24" s="5" t="inlineStr">
        <is>
          <t>WY-0154-01</t>
        </is>
      </c>
      <c r="C24" s="5" t="inlineStr"/>
      <c r="D24" s="5" t="inlineStr">
        <is>
          <t>Star Express Off-Licence &amp; Convenience Store</t>
        </is>
      </c>
      <c r="E24" s="5" t="inlineStr">
        <is>
          <t>Off-Licence</t>
        </is>
      </c>
      <c r="F24" s="5" t="inlineStr">
        <is>
          <t>Off-licence and convenience store</t>
        </is>
      </c>
      <c r="G24" s="5" t="inlineStr">
        <is>
          <t>Independent</t>
        </is>
      </c>
      <c r="H24" s="5" t="inlineStr">
        <is>
          <t>1</t>
        </is>
      </c>
      <c r="I24" s="5" t="inlineStr">
        <is>
          <t>Norfolk Avenue</t>
        </is>
      </c>
      <c r="J24" s="5" t="inlineStr">
        <is>
          <t>Huddersfield</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https://www.yorkshire.com/huddersfield/shopping/off-license/star-express-off-licence-convenience-store</t>
        </is>
      </c>
    </row>
    <row r="25">
      <c r="A25" s="10" t="inlineStr">
        <is>
          <t>UK-000281</t>
        </is>
      </c>
      <c r="B25" s="10" t="inlineStr">
        <is>
          <t>UK-000281-01</t>
        </is>
      </c>
      <c r="C25" s="10" t="inlineStr"/>
      <c r="D25" s="10" t="inlineStr">
        <is>
          <t>Tang Hall Food &amp; Wine</t>
        </is>
      </c>
      <c r="E25" s="10" t="inlineStr">
        <is>
          <t>Off-Licence</t>
        </is>
      </c>
      <c r="F25" s="10" t="inlineStr">
        <is>
          <t>Off-licence &amp; convenience</t>
        </is>
      </c>
      <c r="G25" s="10" t="inlineStr">
        <is>
          <t>Independent</t>
        </is>
      </c>
      <c r="H25" s="10" t="inlineStr">
        <is>
          <t>1</t>
        </is>
      </c>
      <c r="I25" s="10" t="inlineStr">
        <is>
          <t>202 Melrosegate</t>
        </is>
      </c>
      <c r="J25" s="10" t="inlineStr">
        <is>
          <t>York</t>
        </is>
      </c>
      <c r="K25" s="10" t="inlineStr">
        <is>
          <t>YO10 3SW</t>
        </is>
      </c>
      <c r="L25" s="10" t="inlineStr"/>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Not Found</t>
        </is>
      </c>
      <c r="Y25" s="10" t="inlineStr">
        <is>
          <t>Not Found</t>
        </is>
      </c>
      <c r="Z25" s="10" t="inlineStr">
        <is>
          <t>Low</t>
        </is>
      </c>
      <c r="AA25" s="10" t="inlineStr">
        <is>
          <t>Requires Verification</t>
        </is>
      </c>
      <c r="AB25" s="10" t="inlineStr">
        <is>
          <t>https://www.yorkshire.com/york/shopping/off-license</t>
        </is>
      </c>
    </row>
    <row r="26">
      <c r="A26" s="5" t="inlineStr">
        <is>
          <t>WY-0159</t>
        </is>
      </c>
      <c r="B26" s="5" t="inlineStr">
        <is>
          <t>WY-0159-01</t>
        </is>
      </c>
      <c r="C26" s="5" t="inlineStr"/>
      <c r="D26" s="5" t="inlineStr">
        <is>
          <t>The Local: Elland</t>
        </is>
      </c>
      <c r="E26" s="5" t="inlineStr">
        <is>
          <t>Off-Licence</t>
        </is>
      </c>
      <c r="F26" s="5" t="inlineStr">
        <is>
          <t>Off-licence and everyday essentials</t>
        </is>
      </c>
      <c r="G26" s="5" t="inlineStr">
        <is>
          <t>Unknown</t>
        </is>
      </c>
      <c r="H26" s="5" t="inlineStr">
        <is>
          <t>1</t>
        </is>
      </c>
      <c r="I26" s="5" t="inlineStr">
        <is>
          <t>160 Westgate</t>
        </is>
      </c>
      <c r="J26" s="5" t="inlineStr">
        <is>
          <t>Elland</t>
        </is>
      </c>
      <c r="K26" s="5" t="inlineStr">
        <is>
          <t>HX5 0BB</t>
        </is>
      </c>
      <c r="L26" s="5" t="inlineStr"/>
      <c r="M26" s="5" t="inlineStr"/>
      <c r="N26" s="5" t="inlineStr"/>
      <c r="O26" s="5" t="inlineStr"/>
      <c r="P26" s="5" t="inlineStr"/>
      <c r="Q26" s="5" t="inlineStr"/>
      <c r="R26" s="5" t="inlineStr"/>
      <c r="S26" s="5" t="inlineStr"/>
      <c r="T26" s="5" t="inlineStr"/>
      <c r="U26" s="5" t="inlineStr"/>
      <c r="V26" s="5" t="inlineStr">
        <is>
          <t>Low</t>
        </is>
      </c>
      <c r="W26" s="5" t="inlineStr">
        <is>
          <t>Relevant category</t>
        </is>
      </c>
      <c r="X26" s="5" t="inlineStr">
        <is>
          <t>Not Found</t>
        </is>
      </c>
      <c r="Y26" s="5" t="inlineStr">
        <is>
          <t>Not Found</t>
        </is>
      </c>
      <c r="Z26" s="5" t="inlineStr">
        <is>
          <t>Medium</t>
        </is>
      </c>
      <c r="AA26" s="5" t="inlineStr">
        <is>
          <t>Requires Verification</t>
        </is>
      </c>
      <c r="AB26" s="5" t="inlineStr">
        <is>
          <t>https://www.yorkshire.com/elland/shopping/off-license</t>
        </is>
      </c>
    </row>
    <row r="27">
      <c r="A27" s="10" t="inlineStr">
        <is>
          <t>WY-0167</t>
        </is>
      </c>
      <c r="B27" s="10" t="inlineStr">
        <is>
          <t>WY-0167-01</t>
        </is>
      </c>
      <c r="C27" s="10" t="inlineStr"/>
      <c r="D27" s="10" t="inlineStr">
        <is>
          <t>Top Shelf Off Licence</t>
        </is>
      </c>
      <c r="E27" s="10" t="inlineStr">
        <is>
          <t>Off-Licence</t>
        </is>
      </c>
      <c r="F27" s="10" t="inlineStr">
        <is>
          <t>Off-licence</t>
        </is>
      </c>
      <c r="G27" s="10" t="inlineStr">
        <is>
          <t>Independent</t>
        </is>
      </c>
      <c r="H27" s="10" t="inlineStr">
        <is>
          <t>1</t>
        </is>
      </c>
      <c r="I27" s="10" t="inlineStr">
        <is>
          <t>557 Leeds Road</t>
        </is>
      </c>
      <c r="J27" s="10" t="inlineStr">
        <is>
          <t>Wakefield</t>
        </is>
      </c>
      <c r="K27" s="10" t="inlineStr">
        <is>
          <t>WF1 2JL</t>
        </is>
      </c>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Low</t>
        </is>
      </c>
      <c r="AA27" s="10" t="inlineStr">
        <is>
          <t>Requires Verification</t>
        </is>
      </c>
      <c r="AB27" s="10" t="inlineStr">
        <is>
          <t>https://www.foodhygienerankings.co.uk/authorities/wakefield</t>
        </is>
      </c>
    </row>
    <row r="28">
      <c r="A28" s="5" t="inlineStr">
        <is>
          <t>WY-0169</t>
        </is>
      </c>
      <c r="B28" s="5" t="inlineStr">
        <is>
          <t>WY-0169-01</t>
        </is>
      </c>
      <c r="C28" s="5" t="inlineStr"/>
      <c r="D28" s="5" t="inlineStr">
        <is>
          <t>Tylor's Booze</t>
        </is>
      </c>
      <c r="E28" s="5" t="inlineStr">
        <is>
          <t>Off-Licence</t>
        </is>
      </c>
      <c r="F28" s="5" t="inlineStr">
        <is>
          <t>Off-licence</t>
        </is>
      </c>
      <c r="G28" s="5" t="inlineStr">
        <is>
          <t>Independent</t>
        </is>
      </c>
      <c r="H28" s="5" t="inlineStr">
        <is>
          <t>1</t>
        </is>
      </c>
      <c r="I28" s="5" t="inlineStr">
        <is>
          <t>33 Albion Street</t>
        </is>
      </c>
      <c r="J28" s="5" t="inlineStr">
        <is>
          <t>Castleford</t>
        </is>
      </c>
      <c r="K28" s="5" t="inlineStr">
        <is>
          <t>WF10 1EG</t>
        </is>
      </c>
      <c r="L28" s="5" t="inlineStr"/>
      <c r="M28" s="5" t="inlineStr"/>
      <c r="N28" s="5" t="inlineStr"/>
      <c r="O28" s="5" t="inlineStr"/>
      <c r="P28" s="5" t="inlineStr"/>
      <c r="Q28" s="5" t="inlineStr"/>
      <c r="R28" s="5" t="inlineStr"/>
      <c r="S28" s="5" t="inlineStr"/>
      <c r="T28" s="5" t="inlineStr">
        <is>
          <t>12100725</t>
        </is>
      </c>
      <c r="U28" s="5" t="inlineStr">
        <is>
          <t>Active</t>
        </is>
      </c>
      <c r="V28" s="5" t="inlineStr">
        <is>
          <t>Low</t>
        </is>
      </c>
      <c r="W28" s="5" t="inlineStr">
        <is>
          <t>Independent retailer; Relevant category</t>
        </is>
      </c>
      <c r="X28" s="5" t="inlineStr">
        <is>
          <t>Not Found</t>
        </is>
      </c>
      <c r="Y28" s="5" t="inlineStr">
        <is>
          <t>Not Found</t>
        </is>
      </c>
      <c r="Z28" s="5" t="inlineStr">
        <is>
          <t>Medium</t>
        </is>
      </c>
      <c r="AA28" s="5" t="inlineStr">
        <is>
          <t>Partially Verified</t>
        </is>
      </c>
      <c r="AB28" s="5" t="inlineStr">
        <is>
          <t>https://find-and-update.company-information.service.gov.uk/company/12100725</t>
        </is>
      </c>
    </row>
    <row r="29">
      <c r="A29" s="10" t="inlineStr">
        <is>
          <t>WY-0178</t>
        </is>
      </c>
      <c r="B29" s="10" t="inlineStr">
        <is>
          <t>WY-0178-01</t>
        </is>
      </c>
      <c r="C29" s="10" t="inlineStr"/>
      <c r="D29" s="10" t="inlineStr">
        <is>
          <t>Vape and Wine Village</t>
        </is>
      </c>
      <c r="E29" s="10" t="inlineStr">
        <is>
          <t>Off-Licence</t>
        </is>
      </c>
      <c r="F29" s="10" t="inlineStr">
        <is>
          <t>Off-licence and vape shop</t>
        </is>
      </c>
      <c r="G29" s="10" t="inlineStr">
        <is>
          <t>Independent</t>
        </is>
      </c>
      <c r="H29" s="10" t="inlineStr">
        <is>
          <t>1</t>
        </is>
      </c>
      <c r="I29" s="10" t="inlineStr">
        <is>
          <t>13-15 Hyde Park Road</t>
        </is>
      </c>
      <c r="J29" s="10" t="inlineStr">
        <is>
          <t>Leeds</t>
        </is>
      </c>
      <c r="K29" s="10" t="inlineStr">
        <is>
          <t>LS6 1PY</t>
        </is>
      </c>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https://www.yorkshire.com/leeds/shopping/off-license</t>
        </is>
      </c>
    </row>
    <row r="30">
      <c r="A30" s="5" t="inlineStr">
        <is>
          <t>UK-000295</t>
        </is>
      </c>
      <c r="B30" s="5" t="inlineStr">
        <is>
          <t>UK-000295-01</t>
        </is>
      </c>
      <c r="C30" s="5" t="inlineStr"/>
      <c r="D30" s="5" t="inlineStr">
        <is>
          <t>Walkley Beer Company</t>
        </is>
      </c>
      <c r="E30" s="5" t="inlineStr">
        <is>
          <t>Off-Licence</t>
        </is>
      </c>
      <c r="F30" s="5" t="inlineStr">
        <is>
          <t>Craft beer bottle shop / micropub</t>
        </is>
      </c>
      <c r="G30" s="5" t="inlineStr">
        <is>
          <t>Independent</t>
        </is>
      </c>
      <c r="H30" s="5" t="inlineStr">
        <is>
          <t>1</t>
        </is>
      </c>
      <c r="I30" s="5" t="inlineStr"/>
      <c r="J30" s="5" t="inlineStr">
        <is>
          <t>Sheffield</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https://www.yorkshire.com/sheffield/shopping/off-license</t>
        </is>
      </c>
    </row>
    <row r="31">
      <c r="A31" s="10" t="inlineStr">
        <is>
          <t>WY-0186</t>
        </is>
      </c>
      <c r="B31" s="10" t="inlineStr">
        <is>
          <t>WY-0186-01</t>
        </is>
      </c>
      <c r="C31" s="10" t="inlineStr"/>
      <c r="D31" s="10" t="inlineStr">
        <is>
          <t>Wayward Wines</t>
        </is>
      </c>
      <c r="E31" s="10" t="inlineStr">
        <is>
          <t>Off-Licence</t>
        </is>
      </c>
      <c r="F31" s="10" t="inlineStr">
        <is>
          <t>Natural / organic wine shop</t>
        </is>
      </c>
      <c r="G31" s="10" t="inlineStr">
        <is>
          <t>Independent</t>
        </is>
      </c>
      <c r="H31" s="10" t="inlineStr">
        <is>
          <t>1</t>
        </is>
      </c>
      <c r="I31" s="10" t="inlineStr">
        <is>
          <t>1C Regent Street</t>
        </is>
      </c>
      <c r="J31" s="10" t="inlineStr">
        <is>
          <t>Leeds</t>
        </is>
      </c>
      <c r="K31" s="10" t="inlineStr">
        <is>
          <t>LS7 4PE</t>
        </is>
      </c>
      <c r="L31" s="10" t="inlineStr"/>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Not Found</t>
        </is>
      </c>
      <c r="Y31" s="10" t="inlineStr">
        <is>
          <t>Not Found</t>
        </is>
      </c>
      <c r="Z31" s="10" t="inlineStr">
        <is>
          <t>Medium</t>
        </is>
      </c>
      <c r="AA31" s="10" t="inlineStr">
        <is>
          <t>Requires Verification</t>
        </is>
      </c>
      <c r="AB31" s="10" t="inlineStr">
        <is>
          <t>https://confidentials.com/leeds/six-of-the-best-bottle-shops</t>
        </is>
      </c>
    </row>
    <row r="32">
      <c r="A32" s="5" t="inlineStr">
        <is>
          <t>WY-0187</t>
        </is>
      </c>
      <c r="B32" s="5" t="inlineStr">
        <is>
          <t>WY-0187-01</t>
        </is>
      </c>
      <c r="C32" s="5" t="inlineStr"/>
      <c r="D32" s="5" t="inlineStr">
        <is>
          <t>West End Off Licence</t>
        </is>
      </c>
      <c r="E32" s="5" t="inlineStr">
        <is>
          <t>Off-Licence</t>
        </is>
      </c>
      <c r="F32" s="5" t="inlineStr"/>
      <c r="G32" s="5" t="inlineStr">
        <is>
          <t>Independent</t>
        </is>
      </c>
      <c r="H32" s="5" t="inlineStr">
        <is>
          <t>1</t>
        </is>
      </c>
      <c r="I32" s="5" t="inlineStr">
        <is>
          <t>2 Mile Cross Terrace</t>
        </is>
      </c>
      <c r="J32" s="5" t="inlineStr">
        <is>
          <t>Halifax</t>
        </is>
      </c>
      <c r="K32" s="5" t="inlineStr">
        <is>
          <t>HX1 4HP</t>
        </is>
      </c>
      <c r="L32" s="5" t="inlineStr"/>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Not Found</t>
        </is>
      </c>
      <c r="Y32" s="5" t="inlineStr">
        <is>
          <t>Not Found</t>
        </is>
      </c>
      <c r="Z32" s="5" t="inlineStr">
        <is>
          <t>Medium</t>
        </is>
      </c>
      <c r="AA32" s="5" t="inlineStr">
        <is>
          <t>Requires Verification</t>
        </is>
      </c>
      <c r="AB32" s="5" t="inlineStr">
        <is>
          <t>https://www.yelp.co.uk/biz/westend-off-licence-rickys-halifax</t>
        </is>
      </c>
    </row>
  </sheetData>
  <autoFilter ref="A1:AB3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3" customWidth="1" min="4" max="4"/>
    <col width="21" customWidth="1" min="5" max="5"/>
    <col width="45" customWidth="1" min="6" max="6"/>
    <col width="21" customWidth="1" min="7" max="7"/>
    <col width="21" customWidth="1" min="8" max="8"/>
    <col width="41" customWidth="1" min="9" max="9"/>
    <col width="20"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WY-0011</t>
        </is>
      </c>
      <c r="B3" s="10" t="inlineStr">
        <is>
          <t>CHEAPASMOK-01</t>
        </is>
      </c>
      <c r="C3" s="10" t="inlineStr">
        <is>
          <t>Cheapasmokes</t>
        </is>
      </c>
      <c r="D3" s="10" t="inlineStr">
        <is>
          <t>Cheapasmokes</t>
        </is>
      </c>
      <c r="E3" s="10" t="inlineStr">
        <is>
          <t>Tobacco Specialist</t>
        </is>
      </c>
      <c r="F3" s="10" t="inlineStr">
        <is>
          <t>Cut-price cigarette, tobacco and cigar specialist</t>
        </is>
      </c>
      <c r="G3" s="10" t="inlineStr">
        <is>
          <t>Regional Chain</t>
        </is>
      </c>
      <c r="H3" s="10" t="inlineStr"/>
      <c r="I3" s="10" t="inlineStr">
        <is>
          <t>Unit 24, Borough Market</t>
        </is>
      </c>
      <c r="J3" s="10" t="inlineStr">
        <is>
          <t>Halifax</t>
        </is>
      </c>
      <c r="K3" s="10" t="inlineStr">
        <is>
          <t>HX1 1DZ</t>
        </is>
      </c>
      <c r="L3" s="10" t="inlineStr">
        <is>
          <t>01422 355554</t>
        </is>
      </c>
      <c r="M3" s="10" t="inlineStr"/>
      <c r="N3" s="10" t="inlineStr">
        <is>
          <t>sales@cheapasmokes.com</t>
        </is>
      </c>
      <c r="O3" s="10" t="inlineStr">
        <is>
          <t>https://www.cheapasmokes.com/pages/cheapasmokes-halifax</t>
        </is>
      </c>
      <c r="P3" s="10" t="inlineStr"/>
      <c r="Q3" s="10" t="inlineStr"/>
      <c r="R3" s="10" t="inlineStr"/>
      <c r="S3" s="10" t="inlineStr"/>
      <c r="T3" s="10" t="inlineStr"/>
      <c r="U3" s="10" t="inlineStr"/>
      <c r="V3" s="10" t="inlineStr">
        <is>
          <t>High</t>
        </is>
      </c>
      <c r="W3" s="10" t="inlineStr">
        <is>
          <t>Multi-site retailer; Core relevant category; Public trade/sales contact; Active website</t>
        </is>
      </c>
      <c r="X3" s="10" t="inlineStr">
        <is>
          <t>Verified directory</t>
        </is>
      </c>
      <c r="Y3" s="10" t="inlineStr">
        <is>
          <t>Website Found</t>
        </is>
      </c>
      <c r="Z3" s="10" t="inlineStr">
        <is>
          <t>Medium</t>
        </is>
      </c>
      <c r="AA3" s="10" t="inlineStr">
        <is>
          <t>Partially Verified</t>
        </is>
      </c>
      <c r="AB3" s="10" t="inlineStr">
        <is>
          <t>https://www.cheapasmokes.com/pages/cheapasmokes-halifax</t>
        </is>
      </c>
    </row>
    <row r="4">
      <c r="A4" s="5" t="inlineStr">
        <is>
          <t>WY-0012</t>
        </is>
      </c>
      <c r="B4" s="5" t="inlineStr">
        <is>
          <t>DOMINIQUEL-01</t>
        </is>
      </c>
      <c r="C4" s="5" t="inlineStr">
        <is>
          <t>Dominique London Group / C.Gars Ltd</t>
        </is>
      </c>
      <c r="D4" s="5" t="inlineStr">
        <is>
          <t>C.Gars Leeds (Dominique London)</t>
        </is>
      </c>
      <c r="E4" s="5" t="inlineStr">
        <is>
          <t>Tobacco Specialist</t>
        </is>
      </c>
      <c r="F4" s="5" t="inlineStr">
        <is>
          <t>Havana cigar specialist - cigars, whisky, accessories</t>
        </is>
      </c>
      <c r="G4" s="5" t="inlineStr">
        <is>
          <t>National Chain</t>
        </is>
      </c>
      <c r="H4" s="5" t="inlineStr"/>
      <c r="I4" s="5" t="inlineStr">
        <is>
          <t>22 Thornton's Arcade</t>
        </is>
      </c>
      <c r="J4" s="5" t="inlineStr">
        <is>
          <t>Leeds</t>
        </is>
      </c>
      <c r="K4" s="5" t="inlineStr">
        <is>
          <t>LS1 6LQ</t>
        </is>
      </c>
      <c r="L4" s="5" t="inlineStr">
        <is>
          <t>0113 244 5556</t>
        </is>
      </c>
      <c r="M4" s="5" t="inlineStr"/>
      <c r="N4" s="5" t="inlineStr"/>
      <c r="O4" s="5" t="inlineStr">
        <is>
          <t>https://www.cgarsltd.co.uk/</t>
        </is>
      </c>
      <c r="P4" s="5" t="inlineStr">
        <is>
          <t>https://www.facebook.com/DominiqueLDN/</t>
        </is>
      </c>
      <c r="Q4" s="5" t="inlineStr"/>
      <c r="R4" s="5" t="inlineStr"/>
      <c r="S4" s="5" t="inlineStr"/>
      <c r="T4" s="5" t="inlineStr"/>
      <c r="U4" s="5" t="inlineStr"/>
      <c r="V4" s="5" t="inlineStr">
        <is>
          <t>High</t>
        </is>
      </c>
      <c r="W4" s="5" t="inlineStr">
        <is>
          <t>Multi-site retailer; Core relevant category; Active website; Social presence</t>
        </is>
      </c>
      <c r="X4" s="5" t="inlineStr">
        <is>
          <t>Verified directory</t>
        </is>
      </c>
      <c r="Y4" s="5" t="inlineStr">
        <is>
          <t>Website Found</t>
        </is>
      </c>
      <c r="Z4" s="5" t="inlineStr">
        <is>
          <t>Medium</t>
        </is>
      </c>
      <c r="AA4" s="5" t="inlineStr">
        <is>
          <t>Requires Verification</t>
        </is>
      </c>
      <c r="AB4" s="5" t="inlineStr">
        <is>
          <t>https://www.cgarsltd.co.uk/new-cgars-ltd-store-leeds-a-521.html</t>
        </is>
      </c>
    </row>
    <row r="5">
      <c r="A5" s="10" t="inlineStr">
        <is>
          <t>UK-000233</t>
        </is>
      </c>
      <c r="B5" s="10" t="inlineStr">
        <is>
          <t>UK-000233-01</t>
        </is>
      </c>
      <c r="C5" s="10" t="inlineStr"/>
      <c r="D5" s="10" t="inlineStr">
        <is>
          <t>Agha Lounge</t>
        </is>
      </c>
      <c r="E5" s="10" t="inlineStr">
        <is>
          <t>Smoke / Shisha Shop</t>
        </is>
      </c>
      <c r="F5" s="10" t="inlineStr">
        <is>
          <t>Shisha bar and restaurant</t>
        </is>
      </c>
      <c r="G5" s="10" t="inlineStr">
        <is>
          <t>Independent</t>
        </is>
      </c>
      <c r="H5" s="10" t="inlineStr">
        <is>
          <t>1</t>
        </is>
      </c>
      <c r="I5" s="10" t="inlineStr">
        <is>
          <t>5 North Bank</t>
        </is>
      </c>
      <c r="J5" s="10" t="inlineStr">
        <is>
          <t>Sheffield</t>
        </is>
      </c>
      <c r="K5" s="10" t="inlineStr"/>
      <c r="L5" s="10" t="inlineStr"/>
      <c r="M5" s="10" t="inlineStr"/>
      <c r="N5" s="10" t="inlineStr"/>
      <c r="O5" s="10" t="inlineStr">
        <is>
          <t>https://aghalounge.com/</t>
        </is>
      </c>
      <c r="P5" s="10" t="inlineStr"/>
      <c r="Q5" s="10" t="inlineStr"/>
      <c r="R5" s="10" t="inlineStr"/>
      <c r="S5" s="10" t="inlineStr"/>
      <c r="T5" s="10" t="inlineStr"/>
      <c r="U5" s="10" t="inlineStr"/>
      <c r="V5" s="10" t="inlineStr">
        <is>
          <t>Medium</t>
        </is>
      </c>
      <c r="W5" s="10" t="inlineStr">
        <is>
          <t>Independent retailer; Core relevant category; Active website</t>
        </is>
      </c>
      <c r="X5" s="10" t="inlineStr">
        <is>
          <t>Not Found</t>
        </is>
      </c>
      <c r="Y5" s="10" t="inlineStr">
        <is>
          <t>Website Found</t>
        </is>
      </c>
      <c r="Z5" s="10" t="inlineStr">
        <is>
          <t>Low</t>
        </is>
      </c>
      <c r="AA5" s="10" t="inlineStr">
        <is>
          <t>Requires Verification</t>
        </is>
      </c>
      <c r="AB5" s="10" t="inlineStr">
        <is>
          <t>https://aghalounge.com/about-us/</t>
        </is>
      </c>
    </row>
    <row r="6">
      <c r="A6" s="5" t="inlineStr">
        <is>
          <t>WY-0062</t>
        </is>
      </c>
      <c r="B6" s="5" t="inlineStr">
        <is>
          <t>WY-0062-01</t>
        </is>
      </c>
      <c r="C6" s="5" t="inlineStr"/>
      <c r="D6" s="5" t="inlineStr">
        <is>
          <t>Bespoke Shisha</t>
        </is>
      </c>
      <c r="E6" s="5" t="inlineStr">
        <is>
          <t>Smoke / Shisha Shop</t>
        </is>
      </c>
      <c r="F6" s="5" t="inlineStr">
        <is>
          <t>Shisha supplies</t>
        </is>
      </c>
      <c r="G6" s="5" t="inlineStr">
        <is>
          <t>Independent</t>
        </is>
      </c>
      <c r="H6" s="5" t="inlineStr">
        <is>
          <t>1</t>
        </is>
      </c>
      <c r="I6" s="5" t="inlineStr">
        <is>
          <t>40 Low Road</t>
        </is>
      </c>
      <c r="J6" s="5" t="inlineStr">
        <is>
          <t>Dewsbury</t>
        </is>
      </c>
      <c r="K6" s="5" t="inlineStr">
        <is>
          <t>WF13 3PP</t>
        </is>
      </c>
      <c r="L6" s="5" t="inlineStr"/>
      <c r="M6" s="5" t="inlineStr"/>
      <c r="N6" s="5" t="inlineStr"/>
      <c r="O6" s="5" t="inlineStr"/>
      <c r="P6" s="5" t="inlineStr"/>
      <c r="Q6" s="5" t="inlineStr"/>
      <c r="R6" s="5" t="inlineStr"/>
      <c r="S6" s="5" t="inlineStr"/>
      <c r="T6" s="5" t="inlineStr"/>
      <c r="U6" s="5" t="inlineStr"/>
      <c r="V6" s="5" t="inlineStr">
        <is>
          <t>Medium</t>
        </is>
      </c>
      <c r="W6" s="5" t="inlineStr">
        <is>
          <t>Independent retailer; Core relevant category</t>
        </is>
      </c>
      <c r="X6" s="5" t="inlineStr">
        <is>
          <t>Not Found</t>
        </is>
      </c>
      <c r="Y6" s="5" t="inlineStr">
        <is>
          <t>Not Found</t>
        </is>
      </c>
      <c r="Z6" s="5" t="inlineStr">
        <is>
          <t>Low</t>
        </is>
      </c>
      <c r="AA6" s="5" t="inlineStr">
        <is>
          <t>Requires Verification</t>
        </is>
      </c>
      <c r="AB6" s="5" t="inlineStr">
        <is>
          <t>https://suitableforvegetarian.com/business/detail/bespoke-shisha</t>
        </is>
      </c>
    </row>
    <row r="7">
      <c r="A7" s="10" t="inlineStr">
        <is>
          <t>WY-0071</t>
        </is>
      </c>
      <c r="B7" s="10" t="inlineStr">
        <is>
          <t>WY-0071-01</t>
        </is>
      </c>
      <c r="C7" s="10" t="inlineStr"/>
      <c r="D7" s="10" t="inlineStr">
        <is>
          <t>C Booth and Son</t>
        </is>
      </c>
      <c r="E7" s="10" t="inlineStr">
        <is>
          <t>Tobacco Specialist</t>
        </is>
      </c>
      <c r="F7" s="10" t="inlineStr">
        <is>
          <t>Hardware store and specialist tobacconist</t>
        </is>
      </c>
      <c r="G7" s="10" t="inlineStr">
        <is>
          <t>Independent</t>
        </is>
      </c>
      <c r="H7" s="10" t="inlineStr">
        <is>
          <t>1</t>
        </is>
      </c>
      <c r="I7" s="10" t="inlineStr">
        <is>
          <t>Cross Church Street</t>
        </is>
      </c>
      <c r="J7" s="10" t="inlineStr">
        <is>
          <t>Huddersfield</t>
        </is>
      </c>
      <c r="K7" s="10" t="inlineStr"/>
      <c r="L7" s="10" t="inlineStr"/>
      <c r="M7" s="10" t="inlineStr"/>
      <c r="N7" s="10" t="inlineStr"/>
      <c r="O7" s="10" t="inlineStr"/>
      <c r="P7" s="10" t="inlineStr"/>
      <c r="Q7" s="10" t="inlineStr"/>
      <c r="R7" s="10" t="inlineStr"/>
      <c r="S7" s="10" t="inlineStr"/>
      <c r="T7" s="10" t="inlineStr"/>
      <c r="U7" s="10" t="inlineStr"/>
      <c r="V7" s="10" t="inlineStr">
        <is>
          <t>Medium</t>
        </is>
      </c>
      <c r="W7" s="10" t="inlineStr">
        <is>
          <t>Independent retailer; Core relevant category</t>
        </is>
      </c>
      <c r="X7" s="10" t="inlineStr">
        <is>
          <t>Not Found</t>
        </is>
      </c>
      <c r="Y7" s="10" t="inlineStr">
        <is>
          <t>Not Found</t>
        </is>
      </c>
      <c r="Z7" s="10" t="inlineStr">
        <is>
          <t>Low</t>
        </is>
      </c>
      <c r="AA7" s="10" t="inlineStr">
        <is>
          <t>Requires Verification</t>
        </is>
      </c>
      <c r="AB7" s="10" t="inlineStr">
        <is>
          <t>https://www.examinerlive.co.uk/news/west-yorkshire-news/the-shop-sells-everything-c-9967957</t>
        </is>
      </c>
    </row>
    <row r="8">
      <c r="A8" s="5" t="inlineStr">
        <is>
          <t>UK-000258</t>
        </is>
      </c>
      <c r="B8" s="5" t="inlineStr">
        <is>
          <t>UK-000258-01</t>
        </is>
      </c>
      <c r="C8" s="5" t="inlineStr"/>
      <c r="D8" s="5" t="inlineStr">
        <is>
          <t>Jaan Lounge</t>
        </is>
      </c>
      <c r="E8" s="5" t="inlineStr">
        <is>
          <t>Smoke / Shisha Shop</t>
        </is>
      </c>
      <c r="F8" s="5" t="inlineStr">
        <is>
          <t>Cafe and shisha lounge</t>
        </is>
      </c>
      <c r="G8" s="5" t="inlineStr">
        <is>
          <t>Independent</t>
        </is>
      </c>
      <c r="H8" s="5" t="inlineStr">
        <is>
          <t>1</t>
        </is>
      </c>
      <c r="I8" s="5" t="inlineStr"/>
      <c r="J8" s="5" t="inlineStr">
        <is>
          <t>Sheffield</t>
        </is>
      </c>
      <c r="K8" s="5" t="inlineStr"/>
      <c r="L8" s="5" t="inlineStr"/>
      <c r="M8" s="5" t="inlineStr"/>
      <c r="N8" s="5" t="inlineStr"/>
      <c r="O8" s="5" t="inlineStr">
        <is>
          <t>https://www.jaanlounge.com/</t>
        </is>
      </c>
      <c r="P8" s="5" t="inlineStr"/>
      <c r="Q8" s="5" t="inlineStr"/>
      <c r="R8" s="5" t="inlineStr"/>
      <c r="S8" s="5" t="inlineStr"/>
      <c r="T8" s="5" t="inlineStr"/>
      <c r="U8" s="5" t="inlineStr"/>
      <c r="V8" s="5" t="inlineStr">
        <is>
          <t>Medium</t>
        </is>
      </c>
      <c r="W8" s="5" t="inlineStr">
        <is>
          <t>Independent retailer; Core relevant category; Active website</t>
        </is>
      </c>
      <c r="X8" s="5" t="inlineStr">
        <is>
          <t>Not Found</t>
        </is>
      </c>
      <c r="Y8" s="5" t="inlineStr">
        <is>
          <t>Website Found</t>
        </is>
      </c>
      <c r="Z8" s="5" t="inlineStr">
        <is>
          <t>Low</t>
        </is>
      </c>
      <c r="AA8" s="5" t="inlineStr">
        <is>
          <t>Requires Verification</t>
        </is>
      </c>
      <c r="AB8" s="5" t="inlineStr">
        <is>
          <t>https://www.jaanlounge.com/</t>
        </is>
      </c>
    </row>
    <row r="9">
      <c r="A9" s="10" t="inlineStr">
        <is>
          <t>UK-000264</t>
        </is>
      </c>
      <c r="B9" s="10" t="inlineStr">
        <is>
          <t>UK-000264-01</t>
        </is>
      </c>
      <c r="C9" s="10" t="inlineStr"/>
      <c r="D9" s="10" t="inlineStr">
        <is>
          <t>La Vana Restaurant &amp; Shisha</t>
        </is>
      </c>
      <c r="E9" s="10" t="inlineStr">
        <is>
          <t>Smoke / Shisha Shop</t>
        </is>
      </c>
      <c r="F9" s="10" t="inlineStr">
        <is>
          <t>Restaurant and shisha lounge</t>
        </is>
      </c>
      <c r="G9" s="10" t="inlineStr">
        <is>
          <t>Independent</t>
        </is>
      </c>
      <c r="H9" s="10" t="inlineStr">
        <is>
          <t>1</t>
        </is>
      </c>
      <c r="I9" s="10" t="inlineStr"/>
      <c r="J9" s="10" t="inlineStr">
        <is>
          <t>Kingston upon Hull</t>
        </is>
      </c>
      <c r="K9" s="10" t="inlineStr"/>
      <c r="L9" s="10" t="inlineStr"/>
      <c r="M9" s="10" t="inlineStr"/>
      <c r="N9" s="10" t="inlineStr"/>
      <c r="O9" s="10" t="inlineStr"/>
      <c r="P9" s="10" t="inlineStr">
        <is>
          <t>https://www.facebook.com/LaVanaShisha/</t>
        </is>
      </c>
      <c r="Q9" s="10" t="inlineStr"/>
      <c r="R9" s="10" t="inlineStr"/>
      <c r="S9" s="10" t="inlineStr"/>
      <c r="T9" s="10" t="inlineStr"/>
      <c r="U9" s="10" t="inlineStr"/>
      <c r="V9" s="10" t="inlineStr">
        <is>
          <t>Medium</t>
        </is>
      </c>
      <c r="W9" s="10" t="inlineStr">
        <is>
          <t>Independent retailer; Core relevant category; Social presence</t>
        </is>
      </c>
      <c r="X9" s="10" t="inlineStr">
        <is>
          <t>Not Found</t>
        </is>
      </c>
      <c r="Y9" s="10" t="inlineStr">
        <is>
          <t>Not Found</t>
        </is>
      </c>
      <c r="Z9" s="10" t="inlineStr">
        <is>
          <t>Low</t>
        </is>
      </c>
      <c r="AA9" s="10" t="inlineStr">
        <is>
          <t>Requires Verification</t>
        </is>
      </c>
      <c r="AB9" s="10" t="inlineStr">
        <is>
          <t>https://www.facebook.com/LaVanaShisha/</t>
        </is>
      </c>
    </row>
    <row r="10">
      <c r="A10" s="5" t="inlineStr">
        <is>
          <t>WY-0109</t>
        </is>
      </c>
      <c r="B10" s="5" t="inlineStr">
        <is>
          <t>WY-0109-01</t>
        </is>
      </c>
      <c r="C10" s="5" t="inlineStr"/>
      <c r="D10" s="5" t="inlineStr">
        <is>
          <t>Leeds Shisha Wholesale</t>
        </is>
      </c>
      <c r="E10" s="5" t="inlineStr">
        <is>
          <t>Smoke / Shisha Shop</t>
        </is>
      </c>
      <c r="F10" s="5" t="inlineStr">
        <is>
          <t>Shisha wholesale and retail supplier</t>
        </is>
      </c>
      <c r="G10" s="5" t="inlineStr">
        <is>
          <t>Independent</t>
        </is>
      </c>
      <c r="H10" s="5" t="inlineStr">
        <is>
          <t>1</t>
        </is>
      </c>
      <c r="I10" s="5" t="inlineStr"/>
      <c r="J10" s="5" t="inlineStr">
        <is>
          <t>Leeds</t>
        </is>
      </c>
      <c r="K10" s="5" t="inlineStr"/>
      <c r="L10" s="5" t="inlineStr"/>
      <c r="M10" s="5" t="inlineStr"/>
      <c r="N10" s="5" t="inlineStr"/>
      <c r="O10" s="5" t="inlineStr"/>
      <c r="P10" s="5" t="inlineStr">
        <is>
          <t>https://www.facebook.com/p/Leeds-Shisha-Wholesale-100066917521496/</t>
        </is>
      </c>
      <c r="Q10" s="5" t="inlineStr"/>
      <c r="R10" s="5" t="inlineStr"/>
      <c r="S10" s="5" t="inlineStr"/>
      <c r="T10" s="5" t="inlineStr"/>
      <c r="U10" s="5" t="inlineStr"/>
      <c r="V10" s="5" t="inlineStr">
        <is>
          <t>Medium</t>
        </is>
      </c>
      <c r="W10" s="5" t="inlineStr">
        <is>
          <t>Independent retailer; Core relevant category; Social presence</t>
        </is>
      </c>
      <c r="X10" s="5" t="inlineStr">
        <is>
          <t>Not Found</t>
        </is>
      </c>
      <c r="Y10" s="5" t="inlineStr">
        <is>
          <t>Not Found</t>
        </is>
      </c>
      <c r="Z10" s="5" t="inlineStr">
        <is>
          <t>Low</t>
        </is>
      </c>
      <c r="AA10" s="5" t="inlineStr">
        <is>
          <t>Requires Verification</t>
        </is>
      </c>
      <c r="AB10" s="5" t="inlineStr">
        <is>
          <t>https://www.facebook.com/p/Leeds-Shisha-Wholesale-100066917521496/</t>
        </is>
      </c>
    </row>
    <row r="11">
      <c r="A11" s="10" t="inlineStr">
        <is>
          <t>UK-000265</t>
        </is>
      </c>
      <c r="B11" s="10" t="inlineStr">
        <is>
          <t>UK-000265-01</t>
        </is>
      </c>
      <c r="C11" s="10" t="inlineStr"/>
      <c r="D11" s="10" t="inlineStr">
        <is>
          <t>Lounge 418</t>
        </is>
      </c>
      <c r="E11" s="10" t="inlineStr">
        <is>
          <t>Smoke / Shisha Shop</t>
        </is>
      </c>
      <c r="F11" s="10" t="inlineStr">
        <is>
          <t>Middle Eastern restaurant and shisha bar</t>
        </is>
      </c>
      <c r="G11" s="10" t="inlineStr">
        <is>
          <t>Independent</t>
        </is>
      </c>
      <c r="H11" s="10" t="inlineStr">
        <is>
          <t>1</t>
        </is>
      </c>
      <c r="I11" s="10" t="inlineStr"/>
      <c r="J11" s="10" t="inlineStr">
        <is>
          <t>Sheffield</t>
        </is>
      </c>
      <c r="K11" s="10" t="inlineStr"/>
      <c r="L11" s="10" t="inlineStr"/>
      <c r="M11" s="10" t="inlineStr"/>
      <c r="N11" s="10" t="inlineStr"/>
      <c r="O11" s="10" t="inlineStr">
        <is>
          <t>https://www.lounge418.co.uk/</t>
        </is>
      </c>
      <c r="P11" s="10" t="inlineStr"/>
      <c r="Q11" s="10" t="inlineStr"/>
      <c r="R11" s="10" t="inlineStr"/>
      <c r="S11" s="10" t="inlineStr"/>
      <c r="T11" s="10" t="inlineStr"/>
      <c r="U11" s="10" t="inlineStr"/>
      <c r="V11" s="10" t="inlineStr">
        <is>
          <t>Medium</t>
        </is>
      </c>
      <c r="W11" s="10" t="inlineStr">
        <is>
          <t>Independent retailer; Core relevant category; Active website</t>
        </is>
      </c>
      <c r="X11" s="10" t="inlineStr">
        <is>
          <t>Not Found</t>
        </is>
      </c>
      <c r="Y11" s="10" t="inlineStr">
        <is>
          <t>Website Found</t>
        </is>
      </c>
      <c r="Z11" s="10" t="inlineStr">
        <is>
          <t>Low</t>
        </is>
      </c>
      <c r="AA11" s="10" t="inlineStr">
        <is>
          <t>Requires Verification</t>
        </is>
      </c>
      <c r="AB11" s="10" t="inlineStr">
        <is>
          <t>https://www.lounge418.co.uk/</t>
        </is>
      </c>
    </row>
    <row r="12">
      <c r="A12" s="5" t="inlineStr">
        <is>
          <t>UK-000268</t>
        </is>
      </c>
      <c r="B12" s="5" t="inlineStr">
        <is>
          <t>UK-000268-01</t>
        </is>
      </c>
      <c r="C12" s="5" t="inlineStr"/>
      <c r="D12" s="5" t="inlineStr">
        <is>
          <t>Rawal Lounge Sheffield</t>
        </is>
      </c>
      <c r="E12" s="5" t="inlineStr">
        <is>
          <t>Smoke / Shisha Shop</t>
        </is>
      </c>
      <c r="F12" s="5" t="inlineStr">
        <is>
          <t>Rooftop shisha lounge</t>
        </is>
      </c>
      <c r="G12" s="5" t="inlineStr">
        <is>
          <t>Independent</t>
        </is>
      </c>
      <c r="H12" s="5" t="inlineStr">
        <is>
          <t>1</t>
        </is>
      </c>
      <c r="I12" s="5" t="inlineStr">
        <is>
          <t>110 John Street</t>
        </is>
      </c>
      <c r="J12" s="5" t="inlineStr">
        <is>
          <t>Sheffield</t>
        </is>
      </c>
      <c r="K12" s="5" t="inlineStr">
        <is>
          <t>S2 4QU</t>
        </is>
      </c>
      <c r="L12" s="5" t="inlineStr"/>
      <c r="M12" s="5" t="inlineStr">
        <is>
          <t>rawalloungesheffield@hotmail.com</t>
        </is>
      </c>
      <c r="N12" s="5" t="inlineStr"/>
      <c r="O12" s="5" t="inlineStr"/>
      <c r="P12" s="5" t="inlineStr"/>
      <c r="Q12" s="5" t="inlineStr">
        <is>
          <t>https://www.instagram.com/rawallounge_sheffield/</t>
        </is>
      </c>
      <c r="R12" s="5" t="inlineStr"/>
      <c r="S12" s="5" t="inlineStr"/>
      <c r="T12" s="5" t="inlineStr"/>
      <c r="U12" s="5" t="inlineStr"/>
      <c r="V12" s="5" t="inlineStr">
        <is>
          <t>Medium</t>
        </is>
      </c>
      <c r="W12" s="5" t="inlineStr">
        <is>
          <t>Independent retailer; Core relevant category; Public email available; Social presence</t>
        </is>
      </c>
      <c r="X12" s="5" t="inlineStr">
        <is>
          <t>Not Found</t>
        </is>
      </c>
      <c r="Y12" s="5" t="inlineStr">
        <is>
          <t>Publicly Listed</t>
        </is>
      </c>
      <c r="Z12" s="5" t="inlineStr">
        <is>
          <t>Low</t>
        </is>
      </c>
      <c r="AA12" s="5" t="inlineStr">
        <is>
          <t>Requires Verification</t>
        </is>
      </c>
      <c r="AB12" s="5" t="inlineStr">
        <is>
          <t>https://www.instagram.com/rawallounge_sheffield/</t>
        </is>
      </c>
    </row>
    <row r="13">
      <c r="A13" s="10" t="inlineStr">
        <is>
          <t>UK-000269</t>
        </is>
      </c>
      <c r="B13" s="10" t="inlineStr">
        <is>
          <t>UK-000269-01</t>
        </is>
      </c>
      <c r="C13" s="10" t="inlineStr"/>
      <c r="D13" s="10" t="inlineStr">
        <is>
          <t>Retreat Sheesha Lounge</t>
        </is>
      </c>
      <c r="E13" s="10" t="inlineStr">
        <is>
          <t>Smoke / Shisha Shop</t>
        </is>
      </c>
      <c r="F13" s="10" t="inlineStr">
        <is>
          <t>Shisha cafe / lounge</t>
        </is>
      </c>
      <c r="G13" s="10" t="inlineStr">
        <is>
          <t>Independent</t>
        </is>
      </c>
      <c r="H13" s="10" t="inlineStr">
        <is>
          <t>1</t>
        </is>
      </c>
      <c r="I13" s="10" t="inlineStr"/>
      <c r="J13" s="10" t="inlineStr">
        <is>
          <t>Kingston upon Hull</t>
        </is>
      </c>
      <c r="K13" s="10" t="inlineStr"/>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Independent retailer; Core relevant category</t>
        </is>
      </c>
      <c r="X13" s="10" t="inlineStr">
        <is>
          <t>Not Found</t>
        </is>
      </c>
      <c r="Y13" s="10" t="inlineStr">
        <is>
          <t>Not Found</t>
        </is>
      </c>
      <c r="Z13" s="10" t="inlineStr">
        <is>
          <t>Low</t>
        </is>
      </c>
      <c r="AA13" s="10" t="inlineStr">
        <is>
          <t>Requires Verification</t>
        </is>
      </c>
      <c r="AB13" s="10" t="inlineStr">
        <is>
          <t>https://www.tripadvisor.co.uk/Restaurant_Review-g186317-d4522051-Reviews-Retreat_Sheesha_Lounge-Kingston_upon_Hull_East_Riding_of_Yorkshire_England.html</t>
        </is>
      </c>
    </row>
    <row r="14">
      <c r="A14" s="5" t="inlineStr">
        <is>
          <t>WY-0139</t>
        </is>
      </c>
      <c r="B14" s="5" t="inlineStr">
        <is>
          <t>WY-0139-01</t>
        </is>
      </c>
      <c r="C14" s="5" t="inlineStr"/>
      <c r="D14" s="5" t="inlineStr">
        <is>
          <t>Ryans The Tobacconist</t>
        </is>
      </c>
      <c r="E14" s="5" t="inlineStr">
        <is>
          <t>Tobacco Specialist</t>
        </is>
      </c>
      <c r="F14" s="5" t="inlineStr">
        <is>
          <t>Traditional tobacconist - cigars, pipes, tobacco</t>
        </is>
      </c>
      <c r="G14" s="5" t="inlineStr">
        <is>
          <t>Independent</t>
        </is>
      </c>
      <c r="H14" s="5" t="inlineStr">
        <is>
          <t>1</t>
        </is>
      </c>
      <c r="I14" s="5" t="inlineStr">
        <is>
          <t>5 The Headrow</t>
        </is>
      </c>
      <c r="J14" s="5" t="inlineStr">
        <is>
          <t>Leeds</t>
        </is>
      </c>
      <c r="K14" s="5" t="inlineStr">
        <is>
          <t>LS1 6PU</t>
        </is>
      </c>
      <c r="L14" s="5" t="inlineStr">
        <is>
          <t>0113 242 2585</t>
        </is>
      </c>
      <c r="M14" s="5" t="inlineStr">
        <is>
          <t>Ryans.2000@outlook.com</t>
        </is>
      </c>
      <c r="N14" s="5" t="inlineStr"/>
      <c r="O14" s="5" t="inlineStr">
        <is>
          <t>https://www.ryanstobacconist.co.uk/</t>
        </is>
      </c>
      <c r="P14" s="5" t="inlineStr">
        <is>
          <t>https://www.facebook.com/ryans.tobacconist/</t>
        </is>
      </c>
      <c r="Q14" s="5" t="inlineStr">
        <is>
          <t>https://www.instagram.com/ryansthetobacconist/</t>
        </is>
      </c>
      <c r="R14" s="5" t="inlineStr"/>
      <c r="S14" s="5" t="inlineStr"/>
      <c r="T14" s="5" t="inlineStr"/>
      <c r="U14" s="5" t="inlineStr"/>
      <c r="V14" s="5" t="inlineStr">
        <is>
          <t>High</t>
        </is>
      </c>
      <c r="W14" s="5" t="inlineStr">
        <is>
          <t>Independent retailer; Core relevant category; Public email available; Active website; Social presence</t>
        </is>
      </c>
      <c r="X14" s="5" t="inlineStr">
        <is>
          <t>Verified directory</t>
        </is>
      </c>
      <c r="Y14" s="5" t="inlineStr">
        <is>
          <t>Publicly Listed</t>
        </is>
      </c>
      <c r="Z14" s="5" t="inlineStr">
        <is>
          <t>Medium</t>
        </is>
      </c>
      <c r="AA14" s="5" t="inlineStr">
        <is>
          <t>Requires Verification</t>
        </is>
      </c>
      <c r="AB14" s="5" t="inlineStr">
        <is>
          <t>https://www.ryanstobacconist.co.uk/contact-us</t>
        </is>
      </c>
    </row>
    <row r="15">
      <c r="A15" s="10" t="inlineStr">
        <is>
          <t>WY-0147</t>
        </is>
      </c>
      <c r="B15" s="10" t="inlineStr">
        <is>
          <t>WY-0147-01</t>
        </is>
      </c>
      <c r="C15" s="10" t="inlineStr"/>
      <c r="D15" s="10" t="inlineStr">
        <is>
          <t>Shoesmiths Tobacconist</t>
        </is>
      </c>
      <c r="E15" s="10" t="inlineStr">
        <is>
          <t>Tobacco Specialist</t>
        </is>
      </c>
      <c r="F15" s="10" t="inlineStr">
        <is>
          <t>Traditional tobacconist and cigar shop</t>
        </is>
      </c>
      <c r="G15" s="10" t="inlineStr">
        <is>
          <t>Independent</t>
        </is>
      </c>
      <c r="H15" s="10" t="inlineStr">
        <is>
          <t>1</t>
        </is>
      </c>
      <c r="I15" s="10" t="inlineStr">
        <is>
          <t>65 Commercial Street</t>
        </is>
      </c>
      <c r="J15" s="10" t="inlineStr">
        <is>
          <t>Halifax</t>
        </is>
      </c>
      <c r="K15" s="10" t="inlineStr">
        <is>
          <t>HX1 1BE</t>
        </is>
      </c>
      <c r="L15" s="10" t="inlineStr"/>
      <c r="M15" s="10" t="inlineStr"/>
      <c r="N15" s="10" t="inlineStr"/>
      <c r="O15" s="10" t="inlineStr"/>
      <c r="P15" s="10" t="inlineStr">
        <is>
          <t>https://www.facebook.com/shoesmiths/</t>
        </is>
      </c>
      <c r="Q15" s="10" t="inlineStr"/>
      <c r="R15" s="10" t="inlineStr"/>
      <c r="S15" s="10" t="inlineStr"/>
      <c r="T15" s="10" t="inlineStr"/>
      <c r="U15" s="10" t="inlineStr"/>
      <c r="V15" s="10" t="inlineStr">
        <is>
          <t>Medium</t>
        </is>
      </c>
      <c r="W15" s="10" t="inlineStr">
        <is>
          <t>Independent retailer; Core relevant category; Social presence</t>
        </is>
      </c>
      <c r="X15" s="10" t="inlineStr">
        <is>
          <t>Not Found</t>
        </is>
      </c>
      <c r="Y15" s="10" t="inlineStr">
        <is>
          <t>Not Found</t>
        </is>
      </c>
      <c r="Z15" s="10" t="inlineStr">
        <is>
          <t>Medium</t>
        </is>
      </c>
      <c r="AA15" s="10" t="inlineStr">
        <is>
          <t>Requires Verification</t>
        </is>
      </c>
      <c r="AB15" s="10" t="inlineStr">
        <is>
          <t>https://www.facebook.com/shoesmiths/</t>
        </is>
      </c>
    </row>
    <row r="16">
      <c r="A16" s="5" t="inlineStr">
        <is>
          <t>UK-000277</t>
        </is>
      </c>
      <c r="B16" s="5" t="inlineStr">
        <is>
          <t>UK-000277-01</t>
        </is>
      </c>
      <c r="C16" s="5" t="inlineStr"/>
      <c r="D16" s="5" t="inlineStr">
        <is>
          <t>Smoke &amp; Vape Barnsley</t>
        </is>
      </c>
      <c r="E16" s="5" t="inlineStr">
        <is>
          <t>Smoke / Shisha Shop</t>
        </is>
      </c>
      <c r="F16" s="5" t="inlineStr">
        <is>
          <t>Smoke and vape shop</t>
        </is>
      </c>
      <c r="G16" s="5" t="inlineStr">
        <is>
          <t>Independent</t>
        </is>
      </c>
      <c r="H16" s="5" t="inlineStr">
        <is>
          <t>1</t>
        </is>
      </c>
      <c r="I16" s="5" t="inlineStr">
        <is>
          <t>6 Market Street</t>
        </is>
      </c>
      <c r="J16" s="5" t="inlineStr">
        <is>
          <t>Barnsley</t>
        </is>
      </c>
      <c r="K16" s="5" t="inlineStr"/>
      <c r="L16" s="5" t="inlineStr">
        <is>
          <t>01226 953777</t>
        </is>
      </c>
      <c r="M16" s="5" t="inlineStr"/>
      <c r="N16" s="5" t="inlineStr"/>
      <c r="O16" s="5" t="inlineStr"/>
      <c r="P16" s="5" t="inlineStr">
        <is>
          <t>https://www.facebook.com/p/SMOKE-VAPE-Barnsley-61555973916748/</t>
        </is>
      </c>
      <c r="Q16" s="5" t="inlineStr"/>
      <c r="R16" s="5" t="inlineStr"/>
      <c r="S16" s="5" t="inlineStr"/>
      <c r="T16" s="5" t="inlineStr"/>
      <c r="U16" s="5" t="inlineStr"/>
      <c r="V16" s="5" t="inlineStr">
        <is>
          <t>Medium</t>
        </is>
      </c>
      <c r="W16" s="5" t="inlineStr">
        <is>
          <t>Independent retailer; Core relevant category; Social presence</t>
        </is>
      </c>
      <c r="X16" s="5" t="inlineStr">
        <is>
          <t>Verified directory</t>
        </is>
      </c>
      <c r="Y16" s="5" t="inlineStr">
        <is>
          <t>Not Found</t>
        </is>
      </c>
      <c r="Z16" s="5" t="inlineStr">
        <is>
          <t>Low</t>
        </is>
      </c>
      <c r="AA16" s="5" t="inlineStr">
        <is>
          <t>Requires Verification</t>
        </is>
      </c>
      <c r="AB16" s="5" t="inlineStr">
        <is>
          <t>https://www.facebook.com/p/SMOKE-VAPE-Barnsley-61555973916748/</t>
        </is>
      </c>
    </row>
    <row r="17">
      <c r="A17" s="10" t="inlineStr">
        <is>
          <t>WY-0148</t>
        </is>
      </c>
      <c r="B17" s="10" t="inlineStr">
        <is>
          <t>WY-0148-01</t>
        </is>
      </c>
      <c r="C17" s="10" t="inlineStr"/>
      <c r="D17" s="10" t="inlineStr">
        <is>
          <t>Smoke-King Tobacconist</t>
        </is>
      </c>
      <c r="E17" s="10" t="inlineStr">
        <is>
          <t>Tobacco Specialist</t>
        </is>
      </c>
      <c r="F17" s="10" t="inlineStr">
        <is>
          <t>Tobacconist - cigars, pipes, tobacco, online store</t>
        </is>
      </c>
      <c r="G17" s="10" t="inlineStr">
        <is>
          <t>Independent</t>
        </is>
      </c>
      <c r="H17" s="10" t="inlineStr">
        <is>
          <t>1</t>
        </is>
      </c>
      <c r="I17" s="10" t="inlineStr">
        <is>
          <t>Unit E2, Otley Mills</t>
        </is>
      </c>
      <c r="J17" s="10" t="inlineStr">
        <is>
          <t>Otley</t>
        </is>
      </c>
      <c r="K17" s="10" t="inlineStr">
        <is>
          <t>LS21 3EE</t>
        </is>
      </c>
      <c r="L17" s="10" t="inlineStr">
        <is>
          <t>0113 217 7723</t>
        </is>
      </c>
      <c r="M17" s="10" t="inlineStr">
        <is>
          <t>enquiries@smoke-king.co.uk</t>
        </is>
      </c>
      <c r="N17" s="10" t="inlineStr"/>
      <c r="O17" s="10" t="inlineStr">
        <is>
          <t>https://www.smoke-king.co.uk/</t>
        </is>
      </c>
      <c r="P17" s="10" t="inlineStr">
        <is>
          <t>https://www.facebook.com/smokekinguk/</t>
        </is>
      </c>
      <c r="Q17" s="10" t="inlineStr"/>
      <c r="R17" s="10" t="inlineStr"/>
      <c r="S17" s="10" t="inlineStr"/>
      <c r="T17" s="10" t="inlineStr"/>
      <c r="U17" s="10" t="inlineStr"/>
      <c r="V17" s="10" t="inlineStr">
        <is>
          <t>High</t>
        </is>
      </c>
      <c r="W17" s="10" t="inlineStr">
        <is>
          <t>Independent retailer; Core relevant category; Public email available; Active website; Social presence</t>
        </is>
      </c>
      <c r="X17" s="10" t="inlineStr">
        <is>
          <t>Verified directory</t>
        </is>
      </c>
      <c r="Y17" s="10" t="inlineStr">
        <is>
          <t>Website Found</t>
        </is>
      </c>
      <c r="Z17" s="10" t="inlineStr">
        <is>
          <t>Medium</t>
        </is>
      </c>
      <c r="AA17" s="10" t="inlineStr">
        <is>
          <t>Partially Verified</t>
        </is>
      </c>
      <c r="AB17" s="10" t="inlineStr">
        <is>
          <t>https://www.smoke-king.co.uk/pages/tobacconist-in-otley</t>
        </is>
      </c>
    </row>
    <row r="18">
      <c r="A18" s="5" t="inlineStr">
        <is>
          <t>WY-0150</t>
        </is>
      </c>
      <c r="B18" s="5" t="inlineStr">
        <is>
          <t>WY-0150-01</t>
        </is>
      </c>
      <c r="C18" s="5" t="inlineStr"/>
      <c r="D18" s="5" t="inlineStr">
        <is>
          <t>Somers of Keighley</t>
        </is>
      </c>
      <c r="E18" s="5" t="inlineStr">
        <is>
          <t>Tobacco Specialist</t>
        </is>
      </c>
      <c r="F18" s="5" t="inlineStr">
        <is>
          <t>Traditional tobacconist</t>
        </is>
      </c>
      <c r="G18" s="5" t="inlineStr">
        <is>
          <t>Independent</t>
        </is>
      </c>
      <c r="H18" s="5" t="inlineStr">
        <is>
          <t>1</t>
        </is>
      </c>
      <c r="I18" s="5" t="inlineStr">
        <is>
          <t>1 Bow Street</t>
        </is>
      </c>
      <c r="J18" s="5" t="inlineStr">
        <is>
          <t>Keighley</t>
        </is>
      </c>
      <c r="K18" s="5" t="inlineStr">
        <is>
          <t>BD21 3PB</t>
        </is>
      </c>
      <c r="L18" s="5" t="inlineStr">
        <is>
          <t>01535 604678</t>
        </is>
      </c>
      <c r="M18" s="5" t="inlineStr"/>
      <c r="N18" s="5" t="inlineStr"/>
      <c r="O18" s="5" t="inlineStr"/>
      <c r="P18" s="5" t="inlineStr"/>
      <c r="Q18" s="5" t="inlineStr"/>
      <c r="R18" s="5" t="inlineStr"/>
      <c r="S18" s="5" t="inlineStr"/>
      <c r="T18" s="5" t="inlineStr"/>
      <c r="U18" s="5" t="inlineStr"/>
      <c r="V18" s="5" t="inlineStr">
        <is>
          <t>Medium</t>
        </is>
      </c>
      <c r="W18" s="5" t="inlineStr">
        <is>
          <t>Independent retailer; Core relevant category</t>
        </is>
      </c>
      <c r="X18" s="5" t="inlineStr">
        <is>
          <t>Verified directory</t>
        </is>
      </c>
      <c r="Y18" s="5" t="inlineStr">
        <is>
          <t>Not Found</t>
        </is>
      </c>
      <c r="Z18" s="5" t="inlineStr">
        <is>
          <t>Medium</t>
        </is>
      </c>
      <c r="AA18" s="5" t="inlineStr">
        <is>
          <t>Requires Verification</t>
        </is>
      </c>
      <c r="AB18" s="5" t="inlineStr">
        <is>
          <t>https://www.yelp.com/biz/somers-of-keighley-keighley</t>
        </is>
      </c>
    </row>
    <row r="19">
      <c r="A19" s="10" t="inlineStr">
        <is>
          <t>WY-0160</t>
        </is>
      </c>
      <c r="B19" s="10" t="inlineStr">
        <is>
          <t>WY-0160-01</t>
        </is>
      </c>
      <c r="C19" s="10" t="inlineStr"/>
      <c r="D19" s="10" t="inlineStr">
        <is>
          <t>The Shisha Shop Bradford</t>
        </is>
      </c>
      <c r="E19" s="10" t="inlineStr">
        <is>
          <t>Smoke / Shisha Shop</t>
        </is>
      </c>
      <c r="F19" s="10" t="inlineStr">
        <is>
          <t>Shisha retail &amp; wholesale (pipes, flavour, charcoal)</t>
        </is>
      </c>
      <c r="G19" s="10" t="inlineStr">
        <is>
          <t>Independent</t>
        </is>
      </c>
      <c r="H19" s="10" t="inlineStr">
        <is>
          <t>1</t>
        </is>
      </c>
      <c r="I19" s="10" t="inlineStr">
        <is>
          <t>61 Leeds Road</t>
        </is>
      </c>
      <c r="J19" s="10" t="inlineStr">
        <is>
          <t>Bradford</t>
        </is>
      </c>
      <c r="K19" s="10" t="inlineStr">
        <is>
          <t>BD1 5DY</t>
        </is>
      </c>
      <c r="L19" s="10" t="inlineStr">
        <is>
          <t>07466 392838</t>
        </is>
      </c>
      <c r="M19" s="10" t="inlineStr"/>
      <c r="N19" s="10" t="inlineStr"/>
      <c r="O19" s="10" t="inlineStr"/>
      <c r="P19" s="10" t="inlineStr"/>
      <c r="Q19" s="10" t="inlineStr">
        <is>
          <t>https://www.instagram.com/theshishashopbradford/</t>
        </is>
      </c>
      <c r="R19" s="10" t="inlineStr"/>
      <c r="S19" s="10" t="inlineStr"/>
      <c r="T19" s="10" t="inlineStr"/>
      <c r="U19" s="10" t="inlineStr"/>
      <c r="V19" s="10" t="inlineStr">
        <is>
          <t>Medium</t>
        </is>
      </c>
      <c r="W19" s="10" t="inlineStr">
        <is>
          <t>Independent retailer; Core relevant category; Social presence</t>
        </is>
      </c>
      <c r="X19" s="10" t="inlineStr">
        <is>
          <t>Unverified</t>
        </is>
      </c>
      <c r="Y19" s="10" t="inlineStr">
        <is>
          <t>Not Found</t>
        </is>
      </c>
      <c r="Z19" s="10" t="inlineStr">
        <is>
          <t>Medium</t>
        </is>
      </c>
      <c r="AA19" s="10" t="inlineStr">
        <is>
          <t>Requires Verification</t>
        </is>
      </c>
      <c r="AB19" s="10" t="inlineStr">
        <is>
          <t>https://www.instagram.com/theshishashopbradford/</t>
        </is>
      </c>
    </row>
  </sheetData>
  <autoFilter ref="A1:AB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5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UK-000199</t>
        </is>
      </c>
      <c r="B8" s="5" t="inlineStr">
        <is>
          <t>FOODPLUS-01</t>
        </is>
      </c>
      <c r="C8" s="5" t="inlineStr">
        <is>
          <t>Food Plus</t>
        </is>
      </c>
      <c r="D8" s="5" t="inlineStr">
        <is>
          <t>Food Plus Hexthorpe (Polski Sklep)</t>
        </is>
      </c>
      <c r="E8" s="5" t="inlineStr">
        <is>
          <t>Independent Supermarket</t>
        </is>
      </c>
      <c r="F8" s="5" t="inlineStr">
        <is>
          <t>Polish / European grocery store</t>
        </is>
      </c>
      <c r="G8" s="5" t="inlineStr">
        <is>
          <t>Franchise / Symbol Group</t>
        </is>
      </c>
      <c r="H8" s="5" t="inlineStr">
        <is>
          <t>1</t>
        </is>
      </c>
      <c r="I8" s="5" t="inlineStr"/>
      <c r="J8" s="5" t="inlineStr">
        <is>
          <t>Doncaster</t>
        </is>
      </c>
      <c r="K8" s="5" t="inlineStr">
        <is>
          <t>DN4 0BD</t>
        </is>
      </c>
      <c r="L8" s="5" t="inlineStr"/>
      <c r="M8" s="5" t="inlineStr"/>
      <c r="N8" s="5" t="inlineStr"/>
      <c r="O8" s="5" t="inlineStr">
        <is>
          <t>https://www.foodplus.eu/</t>
        </is>
      </c>
      <c r="P8" s="5" t="inlineStr"/>
      <c r="Q8" s="5" t="inlineStr"/>
      <c r="R8" s="5" t="inlineStr"/>
      <c r="S8" s="5" t="inlineStr"/>
      <c r="T8" s="5" t="inlineStr"/>
      <c r="U8" s="5" t="inlineStr"/>
      <c r="V8" s="5" t="inlineStr">
        <is>
          <t>Medium</t>
        </is>
      </c>
      <c r="W8" s="5" t="inlineStr">
        <is>
          <t>Multi-site retailer; Independent retailer; Relevant category; Active website</t>
        </is>
      </c>
      <c r="X8" s="5" t="inlineStr">
        <is>
          <t>Not Found</t>
        </is>
      </c>
      <c r="Y8" s="5" t="inlineStr">
        <is>
          <t>Website Found</t>
        </is>
      </c>
      <c r="Z8" s="5" t="inlineStr">
        <is>
          <t>Low</t>
        </is>
      </c>
      <c r="AA8" s="5" t="inlineStr">
        <is>
          <t>Requires Verification</t>
        </is>
      </c>
      <c r="AB8" s="5" t="inlineStr">
        <is>
          <t>https://www.foodplus.eu/en/map/food-plus-polski-sklep-hexthorpe-dn4-0bd-doncaster</t>
        </is>
      </c>
    </row>
    <row r="9">
      <c r="A9" s="10" t="inlineStr">
        <is>
          <t>UK-000200</t>
        </is>
      </c>
      <c r="B9" s="10" t="inlineStr">
        <is>
          <t>FOODPLUS-02</t>
        </is>
      </c>
      <c r="C9" s="10" t="inlineStr">
        <is>
          <t>Food Plus</t>
        </is>
      </c>
      <c r="D9" s="10" t="inlineStr">
        <is>
          <t>Food Plus Rotherham (Polski Sklep)</t>
        </is>
      </c>
      <c r="E9" s="10" t="inlineStr">
        <is>
          <t>Independent Supermarket</t>
        </is>
      </c>
      <c r="F9" s="10" t="inlineStr">
        <is>
          <t>Polish / European grocery store</t>
        </is>
      </c>
      <c r="G9" s="10" t="inlineStr">
        <is>
          <t>Franchise / Symbol Group</t>
        </is>
      </c>
      <c r="H9" s="10" t="inlineStr">
        <is>
          <t>1</t>
        </is>
      </c>
      <c r="I9" s="10" t="inlineStr"/>
      <c r="J9" s="10" t="inlineStr">
        <is>
          <t>Rotherham</t>
        </is>
      </c>
      <c r="K9" s="10" t="inlineStr"/>
      <c r="L9" s="10" t="inlineStr"/>
      <c r="M9" s="10" t="inlineStr"/>
      <c r="N9" s="10" t="inlineStr"/>
      <c r="O9" s="10" t="inlineStr">
        <is>
          <t>https://www.foodplus.eu/</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Website Found</t>
        </is>
      </c>
      <c r="Z9" s="10" t="inlineStr">
        <is>
          <t>Low</t>
        </is>
      </c>
      <c r="AA9" s="10" t="inlineStr">
        <is>
          <t>Requires Verification</t>
        </is>
      </c>
      <c r="AB9" s="10" t="inlineStr">
        <is>
          <t>https://www.yorkshire.com/rotherham/shopping/grocers</t>
        </is>
      </c>
    </row>
    <row r="10">
      <c r="A10" s="5" t="inlineStr">
        <is>
          <t>WY-0017</t>
        </is>
      </c>
      <c r="B10" s="5" t="inlineStr">
        <is>
          <t>MANCHESTER-01</t>
        </is>
      </c>
      <c r="C10" s="5" t="inlineStr">
        <is>
          <t>Manchester Super Stores</t>
        </is>
      </c>
      <c r="D10" s="5" t="inlineStr">
        <is>
          <t>Manchester Superstore (Wakefield)</t>
        </is>
      </c>
      <c r="E10" s="5" t="inlineStr">
        <is>
          <t>Independent Supermarket</t>
        </is>
      </c>
      <c r="F10" s="5" t="inlineStr">
        <is>
          <t>Ethnic / Asian supermarket with halal meat</t>
        </is>
      </c>
      <c r="G10" s="5" t="inlineStr">
        <is>
          <t>Regional Chain</t>
        </is>
      </c>
      <c r="H10" s="5" t="inlineStr"/>
      <c r="I10" s="5" t="inlineStr">
        <is>
          <t>38 Park Lodge Lane</t>
        </is>
      </c>
      <c r="J10" s="5" t="inlineStr">
        <is>
          <t>Wakefield</t>
        </is>
      </c>
      <c r="K10" s="5" t="inlineStr">
        <is>
          <t>WF1 4NL</t>
        </is>
      </c>
      <c r="L10" s="5" t="inlineStr">
        <is>
          <t>01924 369105</t>
        </is>
      </c>
      <c r="M10" s="5" t="inlineStr"/>
      <c r="N10" s="5" t="inlineStr"/>
      <c r="O10" s="5" t="inlineStr">
        <is>
          <t>https://manchestersuperstores.co.uk/store-locations/manchester-super-stores-in-wakefield/</t>
        </is>
      </c>
      <c r="P10" s="5" t="inlineStr">
        <is>
          <t>https://www.facebook.com/p/Manchester-superstore-100067793681757/</t>
        </is>
      </c>
      <c r="Q10" s="5" t="inlineStr"/>
      <c r="R10" s="5" t="inlineStr"/>
      <c r="S10" s="5" t="inlineStr"/>
      <c r="T10" s="5" t="inlineStr">
        <is>
          <t>08447369</t>
        </is>
      </c>
      <c r="U10" s="5" t="inlineStr"/>
      <c r="V10" s="5" t="inlineStr">
        <is>
          <t>Medium</t>
        </is>
      </c>
      <c r="W10" s="5" t="inlineStr">
        <is>
          <t>Multi-site retailer; Relevant category; Active website; Social presence</t>
        </is>
      </c>
      <c r="X10" s="5" t="inlineStr">
        <is>
          <t>Verified directory</t>
        </is>
      </c>
      <c r="Y10" s="5" t="inlineStr">
        <is>
          <t>Website Found</t>
        </is>
      </c>
      <c r="Z10" s="5" t="inlineStr">
        <is>
          <t>Medium</t>
        </is>
      </c>
      <c r="AA10" s="5" t="inlineStr">
        <is>
          <t>Requires Verification</t>
        </is>
      </c>
      <c r="AB10" s="5" t="inlineStr">
        <is>
          <t>https://manchestersuperstores.co.uk/store-locations/manchester-super-stores-in-wakefield/</t>
        </is>
      </c>
    </row>
    <row r="11">
      <c r="A11" s="10" t="inlineStr">
        <is>
          <t>WY-0018</t>
        </is>
      </c>
      <c r="B11" s="10" t="inlineStr">
        <is>
          <t>MANCHESTER-02</t>
        </is>
      </c>
      <c r="C11" s="10" t="inlineStr">
        <is>
          <t>Manchester Super Stores</t>
        </is>
      </c>
      <c r="D11" s="10" t="inlineStr">
        <is>
          <t>Manchester Superstore Bradford</t>
        </is>
      </c>
      <c r="E11" s="10" t="inlineStr">
        <is>
          <t>Independent Supermarket</t>
        </is>
      </c>
      <c r="F11" s="10" t="inlineStr">
        <is>
          <t>Asian / halal superstore</t>
        </is>
      </c>
      <c r="G11" s="10" t="inlineStr">
        <is>
          <t>Multi-Site Independent</t>
        </is>
      </c>
      <c r="H11" s="10" t="inlineStr"/>
      <c r="I11" s="10" t="inlineStr">
        <is>
          <t>Florence Street</t>
        </is>
      </c>
      <c r="J11" s="10" t="inlineStr">
        <is>
          <t>Bradford</t>
        </is>
      </c>
      <c r="K11" s="10" t="inlineStr">
        <is>
          <t>BD3 8EX</t>
        </is>
      </c>
      <c r="L11" s="10" t="inlineStr">
        <is>
          <t>01274 668800</t>
        </is>
      </c>
      <c r="M11" s="10" t="inlineStr">
        <is>
          <t>mssbradford01@gmail.com</t>
        </is>
      </c>
      <c r="N11" s="10" t="inlineStr"/>
      <c r="O11" s="10" t="inlineStr">
        <is>
          <t>https://manchestersuperstores.co.uk/store-locations/manchester-super-stores-in-bradford/</t>
        </is>
      </c>
      <c r="P11" s="10" t="inlineStr">
        <is>
          <t>https://www.facebook.com/p/Manchester-SuperStore-Bradford-100066139307711/</t>
        </is>
      </c>
      <c r="Q11" s="10" t="inlineStr"/>
      <c r="R11" s="10" t="inlineStr"/>
      <c r="S11" s="10" t="inlineStr"/>
      <c r="T11" s="10" t="inlineStr"/>
      <c r="U11" s="10" t="inlineStr"/>
      <c r="V11" s="10" t="inlineStr">
        <is>
          <t>High</t>
        </is>
      </c>
      <c r="W11" s="10" t="inlineStr">
        <is>
          <t>Multi-site retailer; Independent retailer; Relevant category; Public email available; Active website; Social presence</t>
        </is>
      </c>
      <c r="X11" s="10" t="inlineStr">
        <is>
          <t>Verified directory</t>
        </is>
      </c>
      <c r="Y11" s="10" t="inlineStr">
        <is>
          <t>Website Found</t>
        </is>
      </c>
      <c r="Z11" s="10" t="inlineStr">
        <is>
          <t>Medium</t>
        </is>
      </c>
      <c r="AA11" s="10" t="inlineStr">
        <is>
          <t>Partially Verified</t>
        </is>
      </c>
      <c r="AB11" s="10" t="inlineStr">
        <is>
          <t>https://manchestersuperstores.co.uk/store-locations/manchester-super-stores-in-bradford/</t>
        </is>
      </c>
    </row>
    <row r="12">
      <c r="A12" s="5" t="inlineStr">
        <is>
          <t>WY-0019</t>
        </is>
      </c>
      <c r="B12" s="5" t="inlineStr">
        <is>
          <t>MULLACO-01</t>
        </is>
      </c>
      <c r="C12" s="5" t="inlineStr">
        <is>
          <t>Mullaco</t>
        </is>
      </c>
      <c r="D12" s="5" t="inlineStr">
        <is>
          <t>Mullaco (Batley)</t>
        </is>
      </c>
      <c r="E12" s="5" t="inlineStr">
        <is>
          <t>Independent Supermarket</t>
        </is>
      </c>
      <c r="F12" s="5" t="inlineStr">
        <is>
          <t>Asian and continental world foods store</t>
        </is>
      </c>
      <c r="G12" s="5" t="inlineStr">
        <is>
          <t>Regional Chain</t>
        </is>
      </c>
      <c r="H12" s="5" t="inlineStr">
        <is>
          <t>3</t>
        </is>
      </c>
      <c r="I12" s="5" t="inlineStr">
        <is>
          <t>35 Oxford Street</t>
        </is>
      </c>
      <c r="J12" s="5" t="inlineStr">
        <is>
          <t>Batley</t>
        </is>
      </c>
      <c r="K12" s="5" t="inlineStr">
        <is>
          <t>WF17 7PJ</t>
        </is>
      </c>
      <c r="L12" s="5" t="inlineStr">
        <is>
          <t>01924 939128</t>
        </is>
      </c>
      <c r="M12" s="5" t="inlineStr"/>
      <c r="N12" s="5" t="inlineStr"/>
      <c r="O12" s="5" t="inlineStr">
        <is>
          <t>https://mullaco.co.uk/</t>
        </is>
      </c>
      <c r="P12" s="5" t="inlineStr">
        <is>
          <t>https://www.facebook.com/mullaco.supermarket/</t>
        </is>
      </c>
      <c r="Q12" s="5" t="inlineStr">
        <is>
          <t>https://www.instagram.com/mullacosupermarket/</t>
        </is>
      </c>
      <c r="R12" s="5" t="inlineStr"/>
      <c r="S12" s="5" t="inlineStr"/>
      <c r="T12" s="5" t="inlineStr"/>
      <c r="U12" s="5" t="inlineStr"/>
      <c r="V12" s="5" t="inlineStr">
        <is>
          <t>Medium</t>
        </is>
      </c>
      <c r="W12" s="5" t="inlineStr">
        <is>
          <t>Multi-site retailer; Relevant category; Active website; Social presence</t>
        </is>
      </c>
      <c r="X12" s="5" t="inlineStr">
        <is>
          <t>Verified directory</t>
        </is>
      </c>
      <c r="Y12" s="5" t="inlineStr">
        <is>
          <t>Website Found</t>
        </is>
      </c>
      <c r="Z12" s="5" t="inlineStr">
        <is>
          <t>Medium</t>
        </is>
      </c>
      <c r="AA12" s="5" t="inlineStr">
        <is>
          <t>Requires Verification</t>
        </is>
      </c>
      <c r="AB12" s="5" t="inlineStr">
        <is>
          <t>https://mullaco.co.uk/contact-us/</t>
        </is>
      </c>
    </row>
    <row r="13">
      <c r="A13" s="10" t="inlineStr">
        <is>
          <t>WY-0021</t>
        </is>
      </c>
      <c r="B13" s="10" t="inlineStr">
        <is>
          <t>MULLACO-03</t>
        </is>
      </c>
      <c r="C13" s="10" t="inlineStr">
        <is>
          <t>Mullaco</t>
        </is>
      </c>
      <c r="D13" s="10" t="inlineStr">
        <is>
          <t>Mullaco Supermarket (Dewsbury)</t>
        </is>
      </c>
      <c r="E13" s="10" t="inlineStr">
        <is>
          <t>Independent Supermarket</t>
        </is>
      </c>
      <c r="F13" s="10" t="inlineStr">
        <is>
          <t>Asian and continental world foods supermarket</t>
        </is>
      </c>
      <c r="G13" s="10" t="inlineStr">
        <is>
          <t>Regional Chain</t>
        </is>
      </c>
      <c r="H13" s="10" t="inlineStr">
        <is>
          <t>3</t>
        </is>
      </c>
      <c r="I13" s="10" t="inlineStr">
        <is>
          <t>Mullaco Retail Park, Slaithwaite Road</t>
        </is>
      </c>
      <c r="J13" s="10" t="inlineStr">
        <is>
          <t>Dewsbury</t>
        </is>
      </c>
      <c r="K13" s="10" t="inlineStr">
        <is>
          <t>WF12 0AA</t>
        </is>
      </c>
      <c r="L13" s="10" t="inlineStr">
        <is>
          <t>01924 465909</t>
        </is>
      </c>
      <c r="M13" s="10" t="inlineStr"/>
      <c r="N13" s="10" t="inlineStr"/>
      <c r="O13" s="10" t="inlineStr">
        <is>
          <t>https://mullaco.co.uk/</t>
        </is>
      </c>
      <c r="P13" s="10" t="inlineStr">
        <is>
          <t>https://www.facebook.com/mullaco.supermarket/</t>
        </is>
      </c>
      <c r="Q13" s="10" t="inlineStr">
        <is>
          <t>https://www.instagram.com/mullacosupermarket/</t>
        </is>
      </c>
      <c r="R13" s="10" t="inlineStr"/>
      <c r="S13" s="10" t="inlineStr"/>
      <c r="T13" s="10" t="inlineStr">
        <is>
          <t>06629345</t>
        </is>
      </c>
      <c r="U13" s="10" t="inlineStr"/>
      <c r="V13" s="10" t="inlineStr">
        <is>
          <t>Medium</t>
        </is>
      </c>
      <c r="W13" s="10" t="inlineStr">
        <is>
          <t>Multi-site retailer; Relevant category; Active website; Social presence</t>
        </is>
      </c>
      <c r="X13" s="10" t="inlineStr">
        <is>
          <t>Verified directory</t>
        </is>
      </c>
      <c r="Y13" s="10" t="inlineStr">
        <is>
          <t>Website Found</t>
        </is>
      </c>
      <c r="Z13" s="10" t="inlineStr">
        <is>
          <t>Medium</t>
        </is>
      </c>
      <c r="AA13" s="10" t="inlineStr">
        <is>
          <t>Requires Verification</t>
        </is>
      </c>
      <c r="AB13" s="10" t="inlineStr">
        <is>
          <t>https://mullaco.co.uk/contact-us/</t>
        </is>
      </c>
    </row>
    <row r="14">
      <c r="A14" s="5" t="inlineStr">
        <is>
          <t>WY-0026</t>
        </is>
      </c>
      <c r="B14" s="5" t="inlineStr">
        <is>
          <t>SINGKEEFOO-01</t>
        </is>
      </c>
      <c r="C14" s="5" t="inlineStr">
        <is>
          <t>Sing Kee Foods (Sing-Ying Group)</t>
        </is>
      </c>
      <c r="D14" s="5" t="inlineStr">
        <is>
          <t>Sing Kee Foods (Sheepscar)</t>
        </is>
      </c>
      <c r="E14" s="5" t="inlineStr">
        <is>
          <t>Independent Supermarket</t>
        </is>
      </c>
      <c r="F14" s="5" t="inlineStr">
        <is>
          <t>Chinese / Oriental supermarket and catering supplier</t>
        </is>
      </c>
      <c r="G14" s="5" t="inlineStr">
        <is>
          <t>Multi-Site Independent</t>
        </is>
      </c>
      <c r="H14" s="5" t="inlineStr">
        <is>
          <t>2</t>
        </is>
      </c>
      <c r="I14" s="5" t="inlineStr">
        <is>
          <t>Sing Yang Building, 30-36 Cross Stamford Street</t>
        </is>
      </c>
      <c r="J14" s="5" t="inlineStr">
        <is>
          <t>Leeds</t>
        </is>
      </c>
      <c r="K14" s="5" t="inlineStr">
        <is>
          <t>LS7 1BA</t>
        </is>
      </c>
      <c r="L14" s="5" t="inlineStr">
        <is>
          <t>0113 898 0168</t>
        </is>
      </c>
      <c r="M14" s="5" t="inlineStr"/>
      <c r="N14" s="5" t="inlineStr">
        <is>
          <t>wholesale@singkeefoods.co.uk</t>
        </is>
      </c>
      <c r="O14" s="5" t="inlineStr">
        <is>
          <t>https://singkeefoods.co.uk/gb/</t>
        </is>
      </c>
      <c r="P14" s="5" t="inlineStr">
        <is>
          <t>https://www.facebook.com/singkee.chinesesupermarket/</t>
        </is>
      </c>
      <c r="Q14" s="5" t="inlineStr"/>
      <c r="R14" s="5" t="inlineStr"/>
      <c r="S14" s="5" t="inlineStr"/>
      <c r="T14" s="5" t="inlineStr">
        <is>
          <t>04025779</t>
        </is>
      </c>
      <c r="U14" s="5" t="inlineStr"/>
      <c r="V14" s="5" t="inlineStr">
        <is>
          <t>High</t>
        </is>
      </c>
      <c r="W14" s="5" t="inlineStr">
        <is>
          <t>Multi-site retailer; Independent retailer; Relevant category; Public trade/sales contact; Active website; Social presence</t>
        </is>
      </c>
      <c r="X14" s="5" t="inlineStr">
        <is>
          <t>Verified directory</t>
        </is>
      </c>
      <c r="Y14" s="5" t="inlineStr">
        <is>
          <t>Website Found</t>
        </is>
      </c>
      <c r="Z14" s="5" t="inlineStr">
        <is>
          <t>Medium</t>
        </is>
      </c>
      <c r="AA14" s="5" t="inlineStr">
        <is>
          <t>Partially Verified</t>
        </is>
      </c>
      <c r="AB14" s="5" t="inlineStr">
        <is>
          <t>https://singkeefoods.com/gb/contact-us</t>
        </is>
      </c>
    </row>
    <row r="15">
      <c r="A15" s="10" t="inlineStr">
        <is>
          <t>WY-0027</t>
        </is>
      </c>
      <c r="B15" s="10" t="inlineStr">
        <is>
          <t>SINGKEEFOO-02</t>
        </is>
      </c>
      <c r="C15" s="10" t="inlineStr">
        <is>
          <t>Sing Kee Foods (Sing-Ying Group)</t>
        </is>
      </c>
      <c r="D15" s="10" t="inlineStr">
        <is>
          <t>Sing Kee Oriental Supermarket (Merrion Centre)</t>
        </is>
      </c>
      <c r="E15" s="10" t="inlineStr">
        <is>
          <t>Independent Supermarket</t>
        </is>
      </c>
      <c r="F15" s="10" t="inlineStr">
        <is>
          <t>Chinese / Oriental supermarket</t>
        </is>
      </c>
      <c r="G15" s="10" t="inlineStr">
        <is>
          <t>Multi-Site Independent</t>
        </is>
      </c>
      <c r="H15" s="10" t="inlineStr">
        <is>
          <t>2</t>
        </is>
      </c>
      <c r="I15" s="10" t="inlineStr">
        <is>
          <t>26-28 Woodhouse Lane, Merrion Centre</t>
        </is>
      </c>
      <c r="J15" s="10" t="inlineStr">
        <is>
          <t>Leeds</t>
        </is>
      </c>
      <c r="K15" s="10" t="inlineStr">
        <is>
          <t>LS2 8LX</t>
        </is>
      </c>
      <c r="L15" s="10" t="inlineStr"/>
      <c r="M15" s="10" t="inlineStr"/>
      <c r="N15" s="10" t="inlineStr"/>
      <c r="O15" s="10" t="inlineStr">
        <is>
          <t>https://singkeefoods.co.uk/gb/</t>
        </is>
      </c>
      <c r="P15" s="10" t="inlineStr">
        <is>
          <t>https://www.facebook.com/SingKeeLeedsCentre/</t>
        </is>
      </c>
      <c r="Q15" s="10" t="inlineStr"/>
      <c r="R15" s="10" t="inlineStr"/>
      <c r="S15" s="10" t="inlineStr"/>
      <c r="T15" s="10" t="inlineStr"/>
      <c r="U15" s="10" t="inlineStr"/>
      <c r="V15" s="10" t="inlineStr">
        <is>
          <t>High</t>
        </is>
      </c>
      <c r="W15" s="10" t="inlineStr">
        <is>
          <t>Multi-site retailer; Independent retailer; Relevant category; Active website; Social presence</t>
        </is>
      </c>
      <c r="X15" s="10" t="inlineStr">
        <is>
          <t>Not Found</t>
        </is>
      </c>
      <c r="Y15" s="10" t="inlineStr">
        <is>
          <t>Website Found</t>
        </is>
      </c>
      <c r="Z15" s="10" t="inlineStr">
        <is>
          <t>Medium</t>
        </is>
      </c>
      <c r="AA15" s="10" t="inlineStr">
        <is>
          <t>Requires Verification</t>
        </is>
      </c>
      <c r="AB15" s="10" t="inlineStr">
        <is>
          <t>https://singkeefoods.co.uk/gb/stores</t>
        </is>
      </c>
    </row>
    <row r="16">
      <c r="A16" s="5" t="inlineStr">
        <is>
          <t>WY-0029</t>
        </is>
      </c>
      <c r="B16" s="5" t="inlineStr">
        <is>
          <t>TBCASHCARR-01</t>
        </is>
      </c>
      <c r="C16" s="5" t="inlineStr">
        <is>
          <t>TB Cash &amp; Carry</t>
        </is>
      </c>
      <c r="D16" s="5" t="inlineStr">
        <is>
          <t>TB Cash &amp; Carry (Bradford)</t>
        </is>
      </c>
      <c r="E16" s="5" t="inlineStr">
        <is>
          <t>Cash &amp; Carry</t>
        </is>
      </c>
      <c r="F16" s="5" t="inlineStr">
        <is>
          <t>Confectionery, soft drinks, crisps &amp; snacks wholesaler</t>
        </is>
      </c>
      <c r="G16" s="5" t="inlineStr">
        <is>
          <t>Multi-Site Independent</t>
        </is>
      </c>
      <c r="H16" s="5" t="inlineStr">
        <is>
          <t>2</t>
        </is>
      </c>
      <c r="I16" s="5" t="inlineStr">
        <is>
          <t>91 Legrams Lane</t>
        </is>
      </c>
      <c r="J16" s="5" t="inlineStr">
        <is>
          <t>Bradford</t>
        </is>
      </c>
      <c r="K16" s="5" t="inlineStr">
        <is>
          <t>BD7 1NH</t>
        </is>
      </c>
      <c r="L16" s="5" t="inlineStr">
        <is>
          <t>01274 740555</t>
        </is>
      </c>
      <c r="M16" s="5" t="inlineStr">
        <is>
          <t>info@tbcashandcarry.co.uk</t>
        </is>
      </c>
      <c r="N16" s="5" t="inlineStr"/>
      <c r="O16" s="5" t="inlineStr">
        <is>
          <t>https://tbcashandcarry.co.uk/</t>
        </is>
      </c>
      <c r="P16" s="5" t="inlineStr">
        <is>
          <t>https://www.facebook.com/p/TB-Cash-Carry-100077147298501/</t>
        </is>
      </c>
      <c r="Q16" s="5" t="inlineStr"/>
      <c r="R16" s="5" t="inlineStr"/>
      <c r="S16" s="5" t="inlineStr"/>
      <c r="T16" s="5" t="inlineStr"/>
      <c r="U16" s="5" t="inlineStr"/>
      <c r="V16" s="5" t="inlineStr">
        <is>
          <t>High</t>
        </is>
      </c>
      <c r="W16" s="5" t="inlineStr">
        <is>
          <t>Multi-site retailer; Independent retailer; Core relevant category; Public email available; Active website; Social presence</t>
        </is>
      </c>
      <c r="X16" s="5" t="inlineStr">
        <is>
          <t>Verified directory</t>
        </is>
      </c>
      <c r="Y16" s="5" t="inlineStr">
        <is>
          <t>Unverified</t>
        </is>
      </c>
      <c r="Z16" s="5" t="inlineStr">
        <is>
          <t>Medium</t>
        </is>
      </c>
      <c r="AA16" s="5" t="inlineStr">
        <is>
          <t>Verified (website + Companies House)</t>
        </is>
      </c>
      <c r="AB16" s="5" t="inlineStr">
        <is>
          <t>https://tbcashandcarry.co.uk/</t>
        </is>
      </c>
    </row>
    <row r="17">
      <c r="A17" s="10" t="inlineStr">
        <is>
          <t>WY-0030</t>
        </is>
      </c>
      <c r="B17" s="10" t="inlineStr">
        <is>
          <t>TBCASHCARR-02</t>
        </is>
      </c>
      <c r="C17" s="10" t="inlineStr">
        <is>
          <t>TB Cash &amp; Carry</t>
        </is>
      </c>
      <c r="D17" s="10" t="inlineStr">
        <is>
          <t>TB Cash &amp; Carry (Leeds)</t>
        </is>
      </c>
      <c r="E17" s="10" t="inlineStr">
        <is>
          <t>Cash &amp; Carry</t>
        </is>
      </c>
      <c r="F17" s="10" t="inlineStr">
        <is>
          <t>Confectionery, soft drinks, crisps &amp; snacks wholesaler</t>
        </is>
      </c>
      <c r="G17" s="10" t="inlineStr">
        <is>
          <t>Multi-Site Independent</t>
        </is>
      </c>
      <c r="H17" s="10" t="inlineStr">
        <is>
          <t>2</t>
        </is>
      </c>
      <c r="I17" s="10" t="inlineStr">
        <is>
          <t>90 Gelderd Road</t>
        </is>
      </c>
      <c r="J17" s="10" t="inlineStr">
        <is>
          <t>Leeds</t>
        </is>
      </c>
      <c r="K17" s="10" t="inlineStr">
        <is>
          <t>LS12 6HD</t>
        </is>
      </c>
      <c r="L17" s="10" t="inlineStr">
        <is>
          <t>0113 245 1454</t>
        </is>
      </c>
      <c r="M17" s="10" t="inlineStr">
        <is>
          <t>info@tbcashandcarry.co.uk</t>
        </is>
      </c>
      <c r="N17" s="10" t="inlineStr"/>
      <c r="O17" s="10" t="inlineStr">
        <is>
          <t>https://tbcashandcarry.co.uk/</t>
        </is>
      </c>
      <c r="P17" s="10" t="inlineStr">
        <is>
          <t>https://www.facebook.com/p/TB-Cash-Carry-100064390671766/</t>
        </is>
      </c>
      <c r="Q17" s="10" t="inlineStr"/>
      <c r="R17" s="10" t="inlineStr"/>
      <c r="S17" s="10" t="inlineStr"/>
      <c r="T17" s="10" t="inlineStr"/>
      <c r="U17" s="10" t="inlineStr"/>
      <c r="V17" s="10" t="inlineStr">
        <is>
          <t>High</t>
        </is>
      </c>
      <c r="W17" s="10" t="inlineStr">
        <is>
          <t>Multi-site retailer; Independent retailer; Core relevant category; Public email available; Active website; Social presence</t>
        </is>
      </c>
      <c r="X17" s="10" t="inlineStr">
        <is>
          <t>Verified directory</t>
        </is>
      </c>
      <c r="Y17" s="10" t="inlineStr">
        <is>
          <t>Unverified</t>
        </is>
      </c>
      <c r="Z17" s="10" t="inlineStr">
        <is>
          <t>Medium</t>
        </is>
      </c>
      <c r="AA17" s="10" t="inlineStr">
        <is>
          <t>Verified (website + Companies House)</t>
        </is>
      </c>
      <c r="AB17" s="10" t="inlineStr">
        <is>
          <t>https://tbcashandcarry.co.uk/</t>
        </is>
      </c>
    </row>
    <row r="18">
      <c r="A18" s="5" t="inlineStr">
        <is>
          <t>WY-0044</t>
        </is>
      </c>
      <c r="B18" s="5" t="inlineStr">
        <is>
          <t>WORLDWIDEF-01</t>
        </is>
      </c>
      <c r="C18" s="5" t="inlineStr">
        <is>
          <t>Worldwide Foods Group</t>
        </is>
      </c>
      <c r="D18" s="5" t="inlineStr">
        <is>
          <t>Worldwide Foods Bradford (Great Horton Road)</t>
        </is>
      </c>
      <c r="E18" s="5" t="inlineStr">
        <is>
          <t>Independent Supermarket</t>
        </is>
      </c>
      <c r="F18" s="5" t="inlineStr">
        <is>
          <t>Halal / world food supermarket</t>
        </is>
      </c>
      <c r="G18" s="5" t="inlineStr">
        <is>
          <t>Regional Chain</t>
        </is>
      </c>
      <c r="H18" s="5" t="inlineStr"/>
      <c r="I18" s="5" t="inlineStr">
        <is>
          <t>607 Great Horton Road</t>
        </is>
      </c>
      <c r="J18" s="5" t="inlineStr">
        <is>
          <t>Bradford</t>
        </is>
      </c>
      <c r="K18" s="5" t="inlineStr">
        <is>
          <t>BD7 4ED</t>
        </is>
      </c>
      <c r="L18" s="5" t="inlineStr">
        <is>
          <t>01274 572661</t>
        </is>
      </c>
      <c r="M18" s="5" t="inlineStr">
        <is>
          <t>info@worldwidefoods.co.uk</t>
        </is>
      </c>
      <c r="N18" s="5" t="inlineStr"/>
      <c r="O18" s="5" t="inlineStr">
        <is>
          <t>https://worldwidefoods.co.uk/</t>
        </is>
      </c>
      <c r="P18" s="5" t="inlineStr">
        <is>
          <t>https://www.facebook.com/worldwidefoods/</t>
        </is>
      </c>
      <c r="Q18" s="5" t="inlineStr"/>
      <c r="R18" s="5" t="inlineStr"/>
      <c r="S18" s="5" t="inlineStr"/>
      <c r="T18" s="5" t="inlineStr">
        <is>
          <t>04179487</t>
        </is>
      </c>
      <c r="U18" s="5" t="inlineStr"/>
      <c r="V18" s="5" t="inlineStr">
        <is>
          <t>High</t>
        </is>
      </c>
      <c r="W18" s="5" t="inlineStr">
        <is>
          <t>Multi-site retailer; Relevant category; Public email available; Active website; Social presence</t>
        </is>
      </c>
      <c r="X18" s="5" t="inlineStr">
        <is>
          <t>Verified directory</t>
        </is>
      </c>
      <c r="Y18" s="5" t="inlineStr">
        <is>
          <t>Website Found</t>
        </is>
      </c>
      <c r="Z18" s="5" t="inlineStr">
        <is>
          <t>Medium</t>
        </is>
      </c>
      <c r="AA18" s="5" t="inlineStr">
        <is>
          <t>Partially Verified</t>
        </is>
      </c>
      <c r="AB18" s="5" t="inlineStr">
        <is>
          <t>https://worldwidefoods.co.uk/worldwide-bradford-great-horton-road/</t>
        </is>
      </c>
    </row>
    <row r="19">
      <c r="A19" s="10" t="inlineStr">
        <is>
          <t>WY-0045</t>
        </is>
      </c>
      <c r="B19" s="10" t="inlineStr">
        <is>
          <t>WORLDWIDEF-02</t>
        </is>
      </c>
      <c r="C19" s="10" t="inlineStr">
        <is>
          <t>Worldwide Foods Group</t>
        </is>
      </c>
      <c r="D19" s="10" t="inlineStr">
        <is>
          <t>Worldwide Foods Bradford (Leeds Road)</t>
        </is>
      </c>
      <c r="E19" s="10" t="inlineStr">
        <is>
          <t>Independent Supermarket</t>
        </is>
      </c>
      <c r="F19" s="10" t="inlineStr">
        <is>
          <t>Halal / world food supermarket (24 hours)</t>
        </is>
      </c>
      <c r="G19" s="10" t="inlineStr">
        <is>
          <t>Regional Chain</t>
        </is>
      </c>
      <c r="H19" s="10" t="inlineStr"/>
      <c r="I19" s="10" t="inlineStr">
        <is>
          <t>1001 Leeds Road</t>
        </is>
      </c>
      <c r="J19" s="10" t="inlineStr">
        <is>
          <t>Bradford</t>
        </is>
      </c>
      <c r="K19" s="10" t="inlineStr">
        <is>
          <t>BD3 7NH</t>
        </is>
      </c>
      <c r="L19" s="10" t="inlineStr">
        <is>
          <t>01274 656638</t>
        </is>
      </c>
      <c r="M19" s="10" t="inlineStr"/>
      <c r="N19" s="10" t="inlineStr"/>
      <c r="O19" s="10" t="inlineStr">
        <is>
          <t>https://worldwidefoods.co.uk/</t>
        </is>
      </c>
      <c r="P19" s="10" t="inlineStr">
        <is>
          <t>https://www.facebook.com/worldwidefoods/</t>
        </is>
      </c>
      <c r="Q19" s="10" t="inlineStr"/>
      <c r="R19" s="10" t="inlineStr"/>
      <c r="S19" s="10" t="inlineStr"/>
      <c r="T19" s="10" t="inlineStr">
        <is>
          <t>04179487</t>
        </is>
      </c>
      <c r="U19" s="10" t="inlineStr"/>
      <c r="V19" s="10" t="inlineStr">
        <is>
          <t>Medium</t>
        </is>
      </c>
      <c r="W19" s="10" t="inlineStr">
        <is>
          <t>Multi-site retailer; Relevant category; Active website; Social presence</t>
        </is>
      </c>
      <c r="X19" s="10" t="inlineStr">
        <is>
          <t>Verified directory</t>
        </is>
      </c>
      <c r="Y19" s="10" t="inlineStr">
        <is>
          <t>Website Found</t>
        </is>
      </c>
      <c r="Z19" s="10" t="inlineStr">
        <is>
          <t>Medium</t>
        </is>
      </c>
      <c r="AA19" s="10" t="inlineStr">
        <is>
          <t>Partially Verified</t>
        </is>
      </c>
      <c r="AB19" s="10" t="inlineStr">
        <is>
          <t>https://worldwidefoods.co.uk/worldwide-bradford-leeds-road/</t>
        </is>
      </c>
    </row>
    <row r="20">
      <c r="A20" s="5" t="inlineStr">
        <is>
          <t>WY-0046</t>
        </is>
      </c>
      <c r="B20" s="5" t="inlineStr">
        <is>
          <t>WORLDWIDEF-03</t>
        </is>
      </c>
      <c r="C20" s="5" t="inlineStr">
        <is>
          <t>Worldwide Foods Group</t>
        </is>
      </c>
      <c r="D20" s="5" t="inlineStr">
        <is>
          <t>Worldwide Foods Bradford (Woodhead Road)</t>
        </is>
      </c>
      <c r="E20" s="5" t="inlineStr">
        <is>
          <t>Independent Supermarket</t>
        </is>
      </c>
      <c r="F20" s="5" t="inlineStr">
        <is>
          <t>Halal / world food supermarket</t>
        </is>
      </c>
      <c r="G20" s="5" t="inlineStr">
        <is>
          <t>Regional Chain</t>
        </is>
      </c>
      <c r="H20" s="5" t="inlineStr"/>
      <c r="I20" s="5" t="inlineStr">
        <is>
          <t>Woodhead Road</t>
        </is>
      </c>
      <c r="J20" s="5" t="inlineStr">
        <is>
          <t>Bradford</t>
        </is>
      </c>
      <c r="K20" s="5" t="inlineStr"/>
      <c r="L20" s="5" t="inlineStr"/>
      <c r="M20" s="5" t="inlineStr"/>
      <c r="N20" s="5" t="inlineStr"/>
      <c r="O20" s="5" t="inlineStr">
        <is>
          <t>https://worldwidefoods.co.uk/</t>
        </is>
      </c>
      <c r="P20" s="5" t="inlineStr">
        <is>
          <t>https://www.facebook.com/worldwidefoods/</t>
        </is>
      </c>
      <c r="Q20" s="5" t="inlineStr"/>
      <c r="R20" s="5" t="inlineStr"/>
      <c r="S20" s="5" t="inlineStr"/>
      <c r="T20" s="5" t="inlineStr">
        <is>
          <t>04179487</t>
        </is>
      </c>
      <c r="U20" s="5" t="inlineStr"/>
      <c r="V20" s="5" t="inlineStr">
        <is>
          <t>Medium</t>
        </is>
      </c>
      <c r="W20" s="5" t="inlineStr">
        <is>
          <t>Multi-site retailer; Relevant category; Active website; Social presence</t>
        </is>
      </c>
      <c r="X20" s="5" t="inlineStr">
        <is>
          <t>Not Found</t>
        </is>
      </c>
      <c r="Y20" s="5" t="inlineStr">
        <is>
          <t>Website Found</t>
        </is>
      </c>
      <c r="Z20" s="5" t="inlineStr">
        <is>
          <t>Low</t>
        </is>
      </c>
      <c r="AA20" s="5" t="inlineStr">
        <is>
          <t>Partially Verified</t>
        </is>
      </c>
      <c r="AB20" s="5" t="inlineStr">
        <is>
          <t>https://worldwidefoods.co.uk/locations/</t>
        </is>
      </c>
    </row>
    <row r="21">
      <c r="A21" s="10" t="inlineStr">
        <is>
          <t>UK-000226</t>
        </is>
      </c>
      <c r="B21" s="10" t="inlineStr">
        <is>
          <t>YORKSHIREA-01</t>
        </is>
      </c>
      <c r="C21" s="10" t="inlineStr">
        <is>
          <t>Yorkshire Agricultural Society</t>
        </is>
      </c>
      <c r="D21" s="10" t="inlineStr">
        <is>
          <t>Fodder</t>
        </is>
      </c>
      <c r="E21" s="10" t="inlineStr">
        <is>
          <t>Independent Supermarket</t>
        </is>
      </c>
      <c r="F21" s="10" t="inlineStr">
        <is>
          <t>Farm shop, food hall &amp; cafe</t>
        </is>
      </c>
      <c r="G21" s="10" t="inlineStr">
        <is>
          <t>Independent</t>
        </is>
      </c>
      <c r="H21" s="10" t="inlineStr">
        <is>
          <t>1</t>
        </is>
      </c>
      <c r="I21" s="10" t="inlineStr">
        <is>
          <t>Great Yorkshire Showground</t>
        </is>
      </c>
      <c r="J21" s="10" t="inlineStr">
        <is>
          <t>Harrogate</t>
        </is>
      </c>
      <c r="K21" s="10" t="inlineStr">
        <is>
          <t>HG2 8NZ</t>
        </is>
      </c>
      <c r="L21" s="10" t="inlineStr">
        <is>
          <t>01423 546111</t>
        </is>
      </c>
      <c r="M21" s="10" t="inlineStr">
        <is>
          <t>enquiries@fodder.co.uk</t>
        </is>
      </c>
      <c r="N21" s="10" t="inlineStr"/>
      <c r="O21" s="10" t="inlineStr">
        <is>
          <t>https://fodder.co.uk/</t>
        </is>
      </c>
      <c r="P21" s="10" t="inlineStr"/>
      <c r="Q21" s="10" t="inlineStr"/>
      <c r="R21" s="10" t="inlineStr"/>
      <c r="S21" s="10" t="inlineStr"/>
      <c r="T21" s="10" t="inlineStr"/>
      <c r="U21" s="10" t="inlineStr"/>
      <c r="V21" s="10" t="inlineStr">
        <is>
          <t>High</t>
        </is>
      </c>
      <c r="W21" s="10" t="inlineStr">
        <is>
          <t>Multi-site retailer; Independent retailer; Relevant category; Public email available; Active website; Phone verified on official website</t>
        </is>
      </c>
      <c r="X21" s="10" t="inlineStr">
        <is>
          <t>Verified on official website</t>
        </is>
      </c>
      <c r="Y21" s="10" t="inlineStr">
        <is>
          <t>Publicly Listed</t>
        </is>
      </c>
      <c r="Z21" s="10" t="inlineStr">
        <is>
          <t>Medium</t>
        </is>
      </c>
      <c r="AA21" s="10" t="inlineStr">
        <is>
          <t>Requires Verification</t>
        </is>
      </c>
      <c r="AB21" s="10" t="inlineStr">
        <is>
          <t>https://fodder.co.uk/</t>
        </is>
      </c>
    </row>
    <row r="22">
      <c r="A22" s="5" t="inlineStr">
        <is>
          <t>UK-000234</t>
        </is>
      </c>
      <c r="B22" s="5" t="inlineStr">
        <is>
          <t>UK-000234-01</t>
        </is>
      </c>
      <c r="C22" s="5" t="inlineStr"/>
      <c r="D22" s="5" t="inlineStr">
        <is>
          <t>Ainsty Farm Shop</t>
        </is>
      </c>
      <c r="E22" s="5" t="inlineStr">
        <is>
          <t>Independent Supermarket</t>
        </is>
      </c>
      <c r="F22" s="5" t="inlineStr">
        <is>
          <t>Farm shop, butchery, bakery &amp; deli</t>
        </is>
      </c>
      <c r="G22" s="5" t="inlineStr">
        <is>
          <t>Independent</t>
        </is>
      </c>
      <c r="H22" s="5" t="inlineStr">
        <is>
          <t>1</t>
        </is>
      </c>
      <c r="I22" s="5" t="inlineStr">
        <is>
          <t>York Road</t>
        </is>
      </c>
      <c r="J22" s="5" t="inlineStr">
        <is>
          <t>York</t>
        </is>
      </c>
      <c r="K22" s="5" t="inlineStr">
        <is>
          <t>YO26 8EQ</t>
        </is>
      </c>
      <c r="L22" s="5" t="inlineStr">
        <is>
          <t>01423 331897</t>
        </is>
      </c>
      <c r="M22" s="5" t="inlineStr"/>
      <c r="N22" s="5" t="inlineStr"/>
      <c r="O22" s="5" t="inlineStr">
        <is>
          <t>https://www.ainstyfarmshop.co.uk/home.html</t>
        </is>
      </c>
      <c r="P22" s="5" t="inlineStr"/>
      <c r="Q22" s="5" t="inlineStr"/>
      <c r="R22" s="5" t="inlineStr">
        <is>
          <t>Stuart and Lily Beaton</t>
        </is>
      </c>
      <c r="S22" s="5" t="inlineStr">
        <is>
          <t>Owners</t>
        </is>
      </c>
      <c r="T22" s="5" t="inlineStr"/>
      <c r="U22" s="5" t="inlineStr"/>
      <c r="V22" s="5" t="inlineStr">
        <is>
          <t>Medium</t>
        </is>
      </c>
      <c r="W22" s="5" t="inlineStr">
        <is>
          <t>Independent retailer; Relevant category; Active website; Phone verified on official website</t>
        </is>
      </c>
      <c r="X22" s="5" t="inlineStr">
        <is>
          <t>Verified on official website</t>
        </is>
      </c>
      <c r="Y22" s="5" t="inlineStr">
        <is>
          <t>Website Found</t>
        </is>
      </c>
      <c r="Z22" s="5" t="inlineStr">
        <is>
          <t>Medium</t>
        </is>
      </c>
      <c r="AA22" s="5" t="inlineStr">
        <is>
          <t>Requires Verification</t>
        </is>
      </c>
      <c r="AB22" s="5" t="inlineStr">
        <is>
          <t>https://www.ainstyfarmshop.co.uk/home.html</t>
        </is>
      </c>
    </row>
    <row r="23">
      <c r="A23" s="10" t="inlineStr">
        <is>
          <t>WY-0049</t>
        </is>
      </c>
      <c r="B23" s="10" t="inlineStr">
        <is>
          <t>WY-0049-01</t>
        </is>
      </c>
      <c r="C23" s="10" t="inlineStr"/>
      <c r="D23" s="10" t="inlineStr">
        <is>
          <t>Al-Falah Supermarket</t>
        </is>
      </c>
      <c r="E23" s="10" t="inlineStr">
        <is>
          <t>Independent Supermarket</t>
        </is>
      </c>
      <c r="F23" s="10" t="inlineStr">
        <is>
          <t>Halal / international supermarket</t>
        </is>
      </c>
      <c r="G23" s="10" t="inlineStr">
        <is>
          <t>Independent</t>
        </is>
      </c>
      <c r="H23" s="10" t="inlineStr">
        <is>
          <t>1</t>
        </is>
      </c>
      <c r="I23" s="10" t="inlineStr">
        <is>
          <t>150 Manningham Lane</t>
        </is>
      </c>
      <c r="J23" s="10" t="inlineStr">
        <is>
          <t>Bradford</t>
        </is>
      </c>
      <c r="K23" s="10" t="inlineStr"/>
      <c r="L23" s="10" t="inlineStr"/>
      <c r="M23" s="10" t="inlineStr"/>
      <c r="N23" s="10" t="inlineStr"/>
      <c r="O23" s="10" t="inlineStr"/>
      <c r="P23" s="10" t="inlineStr">
        <is>
          <t>https://www.facebook.com/alfalahbradford/</t>
        </is>
      </c>
      <c r="Q23" s="10" t="inlineStr"/>
      <c r="R23" s="10" t="inlineStr"/>
      <c r="S23" s="10" t="inlineStr"/>
      <c r="T23" s="10" t="inlineStr"/>
      <c r="U23" s="10" t="inlineStr"/>
      <c r="V23" s="10" t="inlineStr">
        <is>
          <t>Medium</t>
        </is>
      </c>
      <c r="W23" s="10" t="inlineStr">
        <is>
          <t>Independent retailer; Relevant category; Social presence</t>
        </is>
      </c>
      <c r="X23" s="10" t="inlineStr">
        <is>
          <t>Not Found</t>
        </is>
      </c>
      <c r="Y23" s="10" t="inlineStr">
        <is>
          <t>Not Found</t>
        </is>
      </c>
      <c r="Z23" s="10" t="inlineStr">
        <is>
          <t>Medium</t>
        </is>
      </c>
      <c r="AA23" s="10" t="inlineStr">
        <is>
          <t>Requires Verification</t>
        </is>
      </c>
      <c r="AB23" s="10" t="inlineStr">
        <is>
          <t>https://www.facebook.com/alfalahbradford/</t>
        </is>
      </c>
    </row>
    <row r="24">
      <c r="A24" s="5" t="inlineStr">
        <is>
          <t>WY-0052</t>
        </is>
      </c>
      <c r="B24" s="5" t="inlineStr">
        <is>
          <t>WY-0052-01</t>
        </is>
      </c>
      <c r="C24" s="5" t="inlineStr"/>
      <c r="D24" s="5" t="inlineStr">
        <is>
          <t>Asia Foods</t>
        </is>
      </c>
      <c r="E24" s="5" t="inlineStr">
        <is>
          <t>Independent Supermarket</t>
        </is>
      </c>
      <c r="F24" s="5" t="inlineStr">
        <is>
          <t>Asian grocery and halal meat store</t>
        </is>
      </c>
      <c r="G24" s="5" t="inlineStr">
        <is>
          <t>Independent</t>
        </is>
      </c>
      <c r="H24" s="5" t="inlineStr">
        <is>
          <t>1</t>
        </is>
      </c>
      <c r="I24" s="5" t="inlineStr">
        <is>
          <t>97-99 Yews Hill Road</t>
        </is>
      </c>
      <c r="J24" s="5" t="inlineStr">
        <is>
          <t>Huddersfield</t>
        </is>
      </c>
      <c r="K24" s="5" t="inlineStr">
        <is>
          <t>HD1 3SG</t>
        </is>
      </c>
      <c r="L24" s="5" t="inlineStr">
        <is>
          <t>01484 514828</t>
        </is>
      </c>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Verified directory</t>
        </is>
      </c>
      <c r="Y24" s="5" t="inlineStr">
        <is>
          <t>Not Found</t>
        </is>
      </c>
      <c r="Z24" s="5" t="inlineStr">
        <is>
          <t>Medium</t>
        </is>
      </c>
      <c r="AA24" s="5" t="inlineStr">
        <is>
          <t>Requires Verification</t>
        </is>
      </c>
      <c r="AB24" s="5" t="inlineStr">
        <is>
          <t>https://asia-foods-huddersfield.edan.io/</t>
        </is>
      </c>
    </row>
    <row r="25">
      <c r="A25" s="10" t="inlineStr">
        <is>
          <t>WY-0055</t>
        </is>
      </c>
      <c r="B25" s="10" t="inlineStr">
        <is>
          <t>WY-0055-01</t>
        </is>
      </c>
      <c r="C25" s="10" t="inlineStr"/>
      <c r="D25" s="10" t="inlineStr">
        <is>
          <t>BGC Wholesale</t>
        </is>
      </c>
      <c r="E25" s="10" t="inlineStr">
        <is>
          <t>Cash &amp; Carry</t>
        </is>
      </c>
      <c r="F25" s="10" t="inlineStr">
        <is>
          <t>Greeting cards, gifts &amp; retail sundries wholesaler</t>
        </is>
      </c>
      <c r="G25" s="10" t="inlineStr">
        <is>
          <t>Independent</t>
        </is>
      </c>
      <c r="H25" s="10" t="inlineStr">
        <is>
          <t>1</t>
        </is>
      </c>
      <c r="I25" s="10" t="inlineStr">
        <is>
          <t>12 Roydsdale Way</t>
        </is>
      </c>
      <c r="J25" s="10" t="inlineStr">
        <is>
          <t>Bradford</t>
        </is>
      </c>
      <c r="K25" s="10" t="inlineStr">
        <is>
          <t>BD4 6SE</t>
        </is>
      </c>
      <c r="L25" s="10" t="inlineStr">
        <is>
          <t>01274 651059</t>
        </is>
      </c>
      <c r="M25" s="10" t="inlineStr"/>
      <c r="N25" s="10" t="inlineStr"/>
      <c r="O25" s="10" t="inlineStr">
        <is>
          <t>https://bgcwholesale.com/locations/bradford</t>
        </is>
      </c>
      <c r="P25" s="10" t="inlineStr"/>
      <c r="Q25" s="10" t="inlineStr"/>
      <c r="R25" s="10" t="inlineStr"/>
      <c r="S25" s="10" t="inlineStr"/>
      <c r="T25" s="10" t="inlineStr">
        <is>
          <t>12428420</t>
        </is>
      </c>
      <c r="U25" s="10" t="inlineStr"/>
      <c r="V25" s="10" t="inlineStr">
        <is>
          <t>Medium</t>
        </is>
      </c>
      <c r="W25" s="10" t="inlineStr">
        <is>
          <t>Independent retailer; Core relevant category; Active website</t>
        </is>
      </c>
      <c r="X25" s="10" t="inlineStr">
        <is>
          <t>Verified directory</t>
        </is>
      </c>
      <c r="Y25" s="10" t="inlineStr">
        <is>
          <t>Website Found</t>
        </is>
      </c>
      <c r="Z25" s="10" t="inlineStr">
        <is>
          <t>Medium</t>
        </is>
      </c>
      <c r="AA25" s="10" t="inlineStr">
        <is>
          <t>Partially Verified</t>
        </is>
      </c>
      <c r="AB25" s="10" t="inlineStr">
        <is>
          <t>https://find-and-update.company-information.service.gov.uk/company/12428420/officers</t>
        </is>
      </c>
    </row>
    <row r="26">
      <c r="A26" s="5" t="inlineStr">
        <is>
          <t>UK-000237</t>
        </is>
      </c>
      <c r="B26" s="5" t="inlineStr">
        <is>
          <t>UK-000237-01</t>
        </is>
      </c>
      <c r="C26" s="5" t="inlineStr"/>
      <c r="D26" s="5" t="inlineStr">
        <is>
          <t>Bargains Cash &amp; Carry Ltd</t>
        </is>
      </c>
      <c r="E26" s="5" t="inlineStr">
        <is>
          <t>Cash &amp; Carry</t>
        </is>
      </c>
      <c r="F26" s="5" t="inlineStr">
        <is>
          <t>Cash &amp; carry wholesaler</t>
        </is>
      </c>
      <c r="G26" s="5" t="inlineStr">
        <is>
          <t>Independent</t>
        </is>
      </c>
      <c r="H26" s="5" t="inlineStr">
        <is>
          <t>1</t>
        </is>
      </c>
      <c r="I26" s="5" t="inlineStr"/>
      <c r="J26" s="5" t="inlineStr">
        <is>
          <t>Sheffield</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Not Found</t>
        </is>
      </c>
      <c r="Y26" s="5" t="inlineStr">
        <is>
          <t>Not Found</t>
        </is>
      </c>
      <c r="Z26" s="5" t="inlineStr">
        <is>
          <t>Low</t>
        </is>
      </c>
      <c r="AA26" s="5" t="inlineStr">
        <is>
          <t>Requires Verification</t>
        </is>
      </c>
      <c r="AB26" s="5" t="inlineStr">
        <is>
          <t>https://sheffield.cylex-uk.co.uk/company/bargains-cash---carry-ltd-27419816.html</t>
        </is>
      </c>
    </row>
    <row r="27">
      <c r="A27" s="10" t="inlineStr">
        <is>
          <t>WY-0059</t>
        </is>
      </c>
      <c r="B27" s="10" t="inlineStr">
        <is>
          <t>WY-0059-01</t>
        </is>
      </c>
      <c r="C27" s="10" t="inlineStr"/>
      <c r="D27" s="10" t="inlineStr">
        <is>
          <t>Barry's Cash &amp; Carry</t>
        </is>
      </c>
      <c r="E27" s="10" t="inlineStr">
        <is>
          <t>Cash &amp; Carry</t>
        </is>
      </c>
      <c r="F27" s="10" t="inlineStr">
        <is>
          <t>Clearance food and drink cash &amp; carry (open to trade and public)</t>
        </is>
      </c>
      <c r="G27" s="10" t="inlineStr">
        <is>
          <t>Independent</t>
        </is>
      </c>
      <c r="H27" s="10" t="inlineStr">
        <is>
          <t>1</t>
        </is>
      </c>
      <c r="I27" s="10" t="inlineStr">
        <is>
          <t>163 King Cross Road</t>
        </is>
      </c>
      <c r="J27" s="10" t="inlineStr">
        <is>
          <t>Halifax</t>
        </is>
      </c>
      <c r="K27" s="10" t="inlineStr">
        <is>
          <t>HX1 3LN</t>
        </is>
      </c>
      <c r="L27" s="10" t="inlineStr">
        <is>
          <t>01422 646060</t>
        </is>
      </c>
      <c r="M27" s="10" t="inlineStr">
        <is>
          <t>info@cutpricebarrys.co.uk</t>
        </is>
      </c>
      <c r="N27" s="10" t="inlineStr"/>
      <c r="O27" s="10" t="inlineStr">
        <is>
          <t>http://www.cutpricebarrys.co.uk/</t>
        </is>
      </c>
      <c r="P27" s="10" t="inlineStr">
        <is>
          <t>https://www.facebook.com/p/Barrys-Cash-Carry-61550239916577/</t>
        </is>
      </c>
      <c r="Q27" s="10" t="inlineStr">
        <is>
          <t>https://www.instagram.com/barryscashandcarry/</t>
        </is>
      </c>
      <c r="R27" s="10" t="inlineStr"/>
      <c r="S27" s="10" t="inlineStr"/>
      <c r="T27" s="10" t="inlineStr">
        <is>
          <t>11123434</t>
        </is>
      </c>
      <c r="U27" s="10" t="inlineStr">
        <is>
          <t>Active - Active proposal to strike off</t>
        </is>
      </c>
      <c r="V27" s="10" t="inlineStr">
        <is>
          <t>High</t>
        </is>
      </c>
      <c r="W27" s="10" t="inlineStr">
        <is>
          <t>Independent retailer; Core relevant category; Public email available; Active website; Social presence</t>
        </is>
      </c>
      <c r="X27" s="10" t="inlineStr">
        <is>
          <t>Verified directory</t>
        </is>
      </c>
      <c r="Y27" s="10" t="inlineStr">
        <is>
          <t>Unverified</t>
        </is>
      </c>
      <c r="Z27" s="10" t="inlineStr">
        <is>
          <t>Medium</t>
        </is>
      </c>
      <c r="AA27" s="10" t="inlineStr">
        <is>
          <t>Partially Verified</t>
        </is>
      </c>
      <c r="AB27" s="10" t="inlineStr">
        <is>
          <t>https://cutpricebarrys.co.uk/barrys-cash-and-carry/</t>
        </is>
      </c>
    </row>
    <row r="28">
      <c r="A28" s="5" t="inlineStr">
        <is>
          <t>WY-0063</t>
        </is>
      </c>
      <c r="B28" s="5" t="inlineStr">
        <is>
          <t>WY-0063-01</t>
        </is>
      </c>
      <c r="C28" s="5" t="inlineStr"/>
      <c r="D28" s="5" t="inlineStr">
        <is>
          <t>Best Choice Wholesale</t>
        </is>
      </c>
      <c r="E28" s="5" t="inlineStr">
        <is>
          <t>Cash &amp; Carry</t>
        </is>
      </c>
      <c r="F28" s="5" t="inlineStr">
        <is>
          <t>General cash &amp; carry supplying convenience retailers</t>
        </is>
      </c>
      <c r="G28" s="5" t="inlineStr">
        <is>
          <t>Independent</t>
        </is>
      </c>
      <c r="H28" s="5" t="inlineStr">
        <is>
          <t>1</t>
        </is>
      </c>
      <c r="I28" s="5" t="inlineStr">
        <is>
          <t>Unit 5, Sheepscar House, Sheepscar Street South</t>
        </is>
      </c>
      <c r="J28" s="5" t="inlineStr">
        <is>
          <t>Leeds</t>
        </is>
      </c>
      <c r="K28" s="5" t="inlineStr">
        <is>
          <t>LS7 1AD</t>
        </is>
      </c>
      <c r="L28" s="5" t="inlineStr">
        <is>
          <t>0113 531 6345</t>
        </is>
      </c>
      <c r="M28" s="5" t="inlineStr">
        <is>
          <t>info@bestchoicewholesale.co.uk</t>
        </is>
      </c>
      <c r="N28" s="5" t="inlineStr"/>
      <c r="O28" s="5" t="inlineStr">
        <is>
          <t>https://www.bestchoicewholesale.co.uk/</t>
        </is>
      </c>
      <c r="P28" s="5" t="inlineStr"/>
      <c r="Q28" s="5" t="inlineStr"/>
      <c r="R28" s="5" t="inlineStr"/>
      <c r="S28" s="5" t="inlineStr"/>
      <c r="T28" s="5" t="inlineStr"/>
      <c r="U28" s="5" t="inlineStr"/>
      <c r="V28" s="5" t="inlineStr">
        <is>
          <t>High</t>
        </is>
      </c>
      <c r="W28" s="5" t="inlineStr">
        <is>
          <t>Independent retailer; Core relevant category; Public email available; Active website; Phone verified on official website</t>
        </is>
      </c>
      <c r="X28" s="5" t="inlineStr">
        <is>
          <t>Verified on official website</t>
        </is>
      </c>
      <c r="Y28" s="5" t="inlineStr">
        <is>
          <t>Publicly Listed</t>
        </is>
      </c>
      <c r="Z28" s="5" t="inlineStr">
        <is>
          <t>Medium</t>
        </is>
      </c>
      <c r="AA28" s="5" t="inlineStr">
        <is>
          <t>Requires Verification</t>
        </is>
      </c>
      <c r="AB28" s="5" t="inlineStr">
        <is>
          <t>https://www.bestchoicewholesale.co.uk/contact-us/</t>
        </is>
      </c>
    </row>
    <row r="29">
      <c r="A29" s="10" t="inlineStr">
        <is>
          <t>UK-000238</t>
        </is>
      </c>
      <c r="B29" s="10" t="inlineStr">
        <is>
          <t>UK-000238-01</t>
        </is>
      </c>
      <c r="C29" s="10" t="inlineStr"/>
      <c r="D29" s="10" t="inlineStr">
        <is>
          <t>Beverley International Foods</t>
        </is>
      </c>
      <c r="E29" s="10" t="inlineStr">
        <is>
          <t>Independent Supermarket</t>
        </is>
      </c>
      <c r="F29" s="10" t="inlineStr">
        <is>
          <t>International / Polish foods supermarket</t>
        </is>
      </c>
      <c r="G29" s="10" t="inlineStr">
        <is>
          <t>Independent</t>
        </is>
      </c>
      <c r="H29" s="10" t="inlineStr">
        <is>
          <t>1</t>
        </is>
      </c>
      <c r="I29" s="10" t="inlineStr">
        <is>
          <t>Beverley Road</t>
        </is>
      </c>
      <c r="J29" s="10" t="inlineStr">
        <is>
          <t>Kingston upon Hull</t>
        </is>
      </c>
      <c r="K29" s="10" t="inlineStr"/>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https://www.yorkshire.com/hull/shopping/supermarkets/beverley-international-foods</t>
        </is>
      </c>
    </row>
    <row r="30">
      <c r="A30" s="5" t="inlineStr">
        <is>
          <t>UK-000239</t>
        </is>
      </c>
      <c r="B30" s="5" t="inlineStr">
        <is>
          <t>UK-000239-01</t>
        </is>
      </c>
      <c r="C30" s="5" t="inlineStr"/>
      <c r="D30" s="5" t="inlineStr">
        <is>
          <t>CK Fast Food Suppliers</t>
        </is>
      </c>
      <c r="E30" s="5" t="inlineStr">
        <is>
          <t>Cash &amp; Carry</t>
        </is>
      </c>
      <c r="F30" s="5" t="inlineStr">
        <is>
          <t>Foodservice wholesale</t>
        </is>
      </c>
      <c r="G30" s="5" t="inlineStr">
        <is>
          <t>Independent</t>
        </is>
      </c>
      <c r="H30" s="5" t="inlineStr">
        <is>
          <t>1</t>
        </is>
      </c>
      <c r="I30" s="5" t="inlineStr">
        <is>
          <t>70 Northumberland Avenue</t>
        </is>
      </c>
      <c r="J30" s="5" t="inlineStr">
        <is>
          <t>Kingston upon Hull</t>
        </is>
      </c>
      <c r="K30" s="5" t="inlineStr"/>
      <c r="L30" s="5" t="inlineStr"/>
      <c r="M30" s="5" t="inlineStr"/>
      <c r="N30" s="5" t="inlineStr"/>
      <c r="O30" s="5" t="inlineStr">
        <is>
          <t>https://www.ckfastfoods.com</t>
        </is>
      </c>
      <c r="P30" s="5" t="inlineStr"/>
      <c r="Q30" s="5" t="inlineStr"/>
      <c r="R30" s="5" t="inlineStr"/>
      <c r="S30" s="5" t="inlineStr"/>
      <c r="T30" s="5" t="inlineStr"/>
      <c r="U30" s="5" t="inlineStr"/>
      <c r="V30" s="5" t="inlineStr">
        <is>
          <t>Medium</t>
        </is>
      </c>
      <c r="W30" s="5" t="inlineStr">
        <is>
          <t>Independent retailer; Core relevant category; Active website</t>
        </is>
      </c>
      <c r="X30" s="5" t="inlineStr">
        <is>
          <t>Not Found</t>
        </is>
      </c>
      <c r="Y30" s="5" t="inlineStr">
        <is>
          <t>Not Found</t>
        </is>
      </c>
      <c r="Z30" s="5" t="inlineStr">
        <is>
          <t>Low</t>
        </is>
      </c>
      <c r="AA30" s="5" t="inlineStr">
        <is>
          <t>Partially Verified</t>
        </is>
      </c>
      <c r="AB30" s="5" t="inlineStr">
        <is>
          <t>https://www.ckfastfoods.com/categories</t>
        </is>
      </c>
    </row>
    <row r="31">
      <c r="A31" s="10" t="inlineStr">
        <is>
          <t>UK-000240</t>
        </is>
      </c>
      <c r="B31" s="10" t="inlineStr">
        <is>
          <t>UK-000240-01</t>
        </is>
      </c>
      <c r="C31" s="10" t="inlineStr"/>
      <c r="D31" s="10" t="inlineStr">
        <is>
          <t>Chong Wah Oriental Supermarket</t>
        </is>
      </c>
      <c r="E31" s="10" t="inlineStr">
        <is>
          <t>Independent Supermarket</t>
        </is>
      </c>
      <c r="F31" s="10" t="inlineStr">
        <is>
          <t>Asian / oriental supermarket</t>
        </is>
      </c>
      <c r="G31" s="10" t="inlineStr">
        <is>
          <t>Independent</t>
        </is>
      </c>
      <c r="H31" s="10" t="inlineStr">
        <is>
          <t>1</t>
        </is>
      </c>
      <c r="I31" s="10" t="inlineStr">
        <is>
          <t>Union Street</t>
        </is>
      </c>
      <c r="J31" s="10" t="inlineStr">
        <is>
          <t>Kingston upon Hull</t>
        </is>
      </c>
      <c r="K31" s="10" t="inlineStr"/>
      <c r="L31" s="10" t="inlineStr"/>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Not Found</t>
        </is>
      </c>
      <c r="Y31" s="10" t="inlineStr">
        <is>
          <t>Not Found</t>
        </is>
      </c>
      <c r="Z31" s="10" t="inlineStr">
        <is>
          <t>Low</t>
        </is>
      </c>
      <c r="AA31" s="10" t="inlineStr">
        <is>
          <t>Requires Verification</t>
        </is>
      </c>
      <c r="AB31" s="10" t="inlineStr">
        <is>
          <t>https://www.yorkshire.com/hull/shopping/supermarkets/chong-wah-oriental-supermarket</t>
        </is>
      </c>
    </row>
    <row r="32">
      <c r="A32" s="5" t="inlineStr">
        <is>
          <t>WY-0084</t>
        </is>
      </c>
      <c r="B32" s="5" t="inlineStr">
        <is>
          <t>WY-0084-01</t>
        </is>
      </c>
      <c r="C32" s="5" t="inlineStr"/>
      <c r="D32" s="5" t="inlineStr">
        <is>
          <t>FilFoods Filipino Store</t>
        </is>
      </c>
      <c r="E32" s="5" t="inlineStr">
        <is>
          <t>Independent Supermarket</t>
        </is>
      </c>
      <c r="F32" s="5" t="inlineStr">
        <is>
          <t>Filipino supermarket</t>
        </is>
      </c>
      <c r="G32" s="5" t="inlineStr">
        <is>
          <t>Independent</t>
        </is>
      </c>
      <c r="H32" s="5" t="inlineStr">
        <is>
          <t>1</t>
        </is>
      </c>
      <c r="I32" s="5" t="inlineStr">
        <is>
          <t>46b Harehills Road</t>
        </is>
      </c>
      <c r="J32" s="5" t="inlineStr">
        <is>
          <t>Leeds</t>
        </is>
      </c>
      <c r="K32" s="5" t="inlineStr">
        <is>
          <t>LS8 5PB</t>
        </is>
      </c>
      <c r="L32" s="5" t="inlineStr">
        <is>
          <t>0113 440 1031</t>
        </is>
      </c>
      <c r="M32" s="5" t="inlineStr"/>
      <c r="N32" s="5" t="inlineStr"/>
      <c r="O32" s="5" t="inlineStr"/>
      <c r="P32" s="5" t="inlineStr">
        <is>
          <t>https://www.facebook.com/FilFoods/</t>
        </is>
      </c>
      <c r="Q32" s="5" t="inlineStr"/>
      <c r="R32" s="5" t="inlineStr"/>
      <c r="S32" s="5" t="inlineStr"/>
      <c r="T32" s="5" t="inlineStr"/>
      <c r="U32" s="5" t="inlineStr"/>
      <c r="V32" s="5" t="inlineStr">
        <is>
          <t>Medium</t>
        </is>
      </c>
      <c r="W32" s="5" t="inlineStr">
        <is>
          <t>Independent retailer; Relevant category; Social presence</t>
        </is>
      </c>
      <c r="X32" s="5" t="inlineStr">
        <is>
          <t>Verified directory</t>
        </is>
      </c>
      <c r="Y32" s="5" t="inlineStr">
        <is>
          <t>Not Found</t>
        </is>
      </c>
      <c r="Z32" s="5" t="inlineStr">
        <is>
          <t>Medium</t>
        </is>
      </c>
      <c r="AA32" s="5" t="inlineStr">
        <is>
          <t>Requires Verification</t>
        </is>
      </c>
      <c r="AB32" s="5" t="inlineStr">
        <is>
          <t>https://www.yell.com/biz/filfoods-filipino-store-leeds-8549203/</t>
        </is>
      </c>
    </row>
    <row r="33">
      <c r="A33" s="10" t="inlineStr">
        <is>
          <t>UK-000248</t>
        </is>
      </c>
      <c r="B33" s="10" t="inlineStr">
        <is>
          <t>UK-000248-01</t>
        </is>
      </c>
      <c r="C33" s="10" t="inlineStr"/>
      <c r="D33" s="10" t="inlineStr">
        <is>
          <t>Food Plus (Babylon Supermarket 7)</t>
        </is>
      </c>
      <c r="E33" s="10" t="inlineStr">
        <is>
          <t>Independent Supermarket</t>
        </is>
      </c>
      <c r="F33" s="10" t="inlineStr">
        <is>
          <t>Polish / world foods store</t>
        </is>
      </c>
      <c r="G33" s="10" t="inlineStr">
        <is>
          <t>Independent</t>
        </is>
      </c>
      <c r="H33" s="10" t="inlineStr">
        <is>
          <t>1</t>
        </is>
      </c>
      <c r="I33" s="10" t="inlineStr"/>
      <c r="J33" s="10" t="inlineStr">
        <is>
          <t>Kingston upon Hull</t>
        </is>
      </c>
      <c r="K33" s="10" t="inlineStr">
        <is>
          <t>HU3 4BJ</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https://www.foodplus.eu/en/products/food-plus-babylon-supermarket-7-hu3-4bj-kingston-upon-hull</t>
        </is>
      </c>
    </row>
    <row r="34">
      <c r="A34" s="5" t="inlineStr">
        <is>
          <t>WY-0086</t>
        </is>
      </c>
      <c r="B34" s="5" t="inlineStr">
        <is>
          <t>WY-0086-01</t>
        </is>
      </c>
      <c r="C34" s="5" t="inlineStr"/>
      <c r="D34" s="5" t="inlineStr">
        <is>
          <t>FreshCo Wakefield</t>
        </is>
      </c>
      <c r="E34" s="5" t="inlineStr">
        <is>
          <t>Independent Supermarket</t>
        </is>
      </c>
      <c r="F34" s="5" t="inlineStr">
        <is>
          <t>Halal / world foods supermarket with Turkish restaurant and cafe</t>
        </is>
      </c>
      <c r="G34" s="5" t="inlineStr">
        <is>
          <t>Independent</t>
        </is>
      </c>
      <c r="H34" s="5" t="inlineStr">
        <is>
          <t>1</t>
        </is>
      </c>
      <c r="I34" s="5" t="inlineStr">
        <is>
          <t>St Andrews Hall, Upper Warrengate</t>
        </is>
      </c>
      <c r="J34" s="5" t="inlineStr">
        <is>
          <t>Wakefield</t>
        </is>
      </c>
      <c r="K34" s="5" t="inlineStr">
        <is>
          <t>WF1 4JZ</t>
        </is>
      </c>
      <c r="L34" s="5" t="inlineStr">
        <is>
          <t>01924 781869</t>
        </is>
      </c>
      <c r="M34" s="5" t="inlineStr">
        <is>
          <t>Hoa1@hotmail.co.uk</t>
        </is>
      </c>
      <c r="N34" s="5" t="inlineStr"/>
      <c r="O34" s="5" t="inlineStr">
        <is>
          <t>https://freshcowakefield.com</t>
        </is>
      </c>
      <c r="P34" s="5" t="inlineStr">
        <is>
          <t>https://www.facebook.com/FreshCoWakefield/</t>
        </is>
      </c>
      <c r="Q34" s="5" t="inlineStr"/>
      <c r="R34" s="5" t="inlineStr">
        <is>
          <t>Aras Ali</t>
        </is>
      </c>
      <c r="S34" s="5" t="inlineStr">
        <is>
          <t>Owner</t>
        </is>
      </c>
      <c r="T34" s="5" t="inlineStr">
        <is>
          <t>13746881</t>
        </is>
      </c>
      <c r="U34" s="5" t="inlineStr">
        <is>
          <t>Active</t>
        </is>
      </c>
      <c r="V34" s="5" t="inlineStr">
        <is>
          <t>Medium</t>
        </is>
      </c>
      <c r="W34" s="5" t="inlineStr">
        <is>
          <t>Independent retailer; Relevant category; Public email available; Active website; Social presence</t>
        </is>
      </c>
      <c r="X34" s="5" t="inlineStr">
        <is>
          <t>Verified directory</t>
        </is>
      </c>
      <c r="Y34" s="5" t="inlineStr">
        <is>
          <t>Website Found</t>
        </is>
      </c>
      <c r="Z34" s="5" t="inlineStr">
        <is>
          <t>Medium</t>
        </is>
      </c>
      <c r="AA34" s="5" t="inlineStr">
        <is>
          <t>Partially Verified</t>
        </is>
      </c>
      <c r="AB34" s="5" t="inlineStr">
        <is>
          <t>https://freshcowakefield.com/restaurant</t>
        </is>
      </c>
    </row>
    <row r="35">
      <c r="A35" s="10" t="inlineStr">
        <is>
          <t>UK-000249</t>
        </is>
      </c>
      <c r="B35" s="10" t="inlineStr">
        <is>
          <t>UK-000249-01</t>
        </is>
      </c>
      <c r="C35" s="10" t="inlineStr"/>
      <c r="D35" s="10" t="inlineStr">
        <is>
          <t>Freshco Cash &amp; Carry</t>
        </is>
      </c>
      <c r="E35" s="10" t="inlineStr">
        <is>
          <t>Cash &amp; Carry</t>
        </is>
      </c>
      <c r="F35" s="10" t="inlineStr">
        <is>
          <t>Wholesale cash &amp; carry / supermarket</t>
        </is>
      </c>
      <c r="G35" s="10" t="inlineStr">
        <is>
          <t>Independent</t>
        </is>
      </c>
      <c r="H35" s="10" t="inlineStr">
        <is>
          <t>1</t>
        </is>
      </c>
      <c r="I35" s="10" t="inlineStr">
        <is>
          <t>185-201 Spring Bank</t>
        </is>
      </c>
      <c r="J35" s="10" t="inlineStr">
        <is>
          <t>Kingston upon Hull</t>
        </is>
      </c>
      <c r="K35" s="10" t="inlineStr">
        <is>
          <t>HU3 1LP</t>
        </is>
      </c>
      <c r="L35" s="10" t="inlineStr"/>
      <c r="M35" s="10" t="inlineStr"/>
      <c r="N35" s="10" t="inlineStr"/>
      <c r="O35" s="10" t="inlineStr">
        <is>
          <t>https://freshcocashcarry.co.uk</t>
        </is>
      </c>
      <c r="P35" s="10" t="inlineStr">
        <is>
          <t>https://www.facebook.com/p/Feshco-cashcarry-limited-61556302407551/</t>
        </is>
      </c>
      <c r="Q35" s="10" t="inlineStr"/>
      <c r="R35" s="10" t="inlineStr"/>
      <c r="S35" s="10" t="inlineStr"/>
      <c r="T35" s="10" t="inlineStr">
        <is>
          <t>14599796</t>
        </is>
      </c>
      <c r="U35" s="10" t="inlineStr">
        <is>
          <t>Active</t>
        </is>
      </c>
      <c r="V35" s="10" t="inlineStr">
        <is>
          <t>Medium</t>
        </is>
      </c>
      <c r="W35" s="10" t="inlineStr">
        <is>
          <t>Independent retailer; Core relevant category; Active website; Social presence</t>
        </is>
      </c>
      <c r="X35" s="10" t="inlineStr">
        <is>
          <t>Not Found</t>
        </is>
      </c>
      <c r="Y35" s="10" t="inlineStr">
        <is>
          <t>Not Found</t>
        </is>
      </c>
      <c r="Z35" s="10" t="inlineStr">
        <is>
          <t>Medium</t>
        </is>
      </c>
      <c r="AA35" s="10" t="inlineStr">
        <is>
          <t>Verified (website + Companies House)</t>
        </is>
      </c>
      <c r="AB35" s="10" t="inlineStr">
        <is>
          <t>https://freshcocashcarry.co.uk/</t>
        </is>
      </c>
    </row>
    <row r="36">
      <c r="A36" s="5" t="inlineStr">
        <is>
          <t>WY-0093</t>
        </is>
      </c>
      <c r="B36" s="5" t="inlineStr">
        <is>
          <t>WY-0093-01</t>
        </is>
      </c>
      <c r="C36" s="5" t="inlineStr"/>
      <c r="D36" s="5" t="inlineStr">
        <is>
          <t>Halal Sweets Company</t>
        </is>
      </c>
      <c r="E36" s="5" t="inlineStr">
        <is>
          <t>Cash &amp; Carry</t>
        </is>
      </c>
      <c r="F36" s="5" t="inlineStr">
        <is>
          <t>Sweets &amp; snacks wholesaler / cash &amp; carry</t>
        </is>
      </c>
      <c r="G36" s="5" t="inlineStr">
        <is>
          <t>Independent</t>
        </is>
      </c>
      <c r="H36" s="5" t="inlineStr">
        <is>
          <t>1</t>
        </is>
      </c>
      <c r="I36" s="5" t="inlineStr"/>
      <c r="J36" s="5" t="inlineStr">
        <is>
          <t>Bradford</t>
        </is>
      </c>
      <c r="K36" s="5" t="inlineStr"/>
      <c r="L36" s="5" t="inlineStr"/>
      <c r="M36" s="5" t="inlineStr">
        <is>
          <t>support@halalsweetscompany.co.uk</t>
        </is>
      </c>
      <c r="N36" s="5" t="inlineStr"/>
      <c r="O36" s="5" t="inlineStr">
        <is>
          <t>https://halalsweets.company.site/</t>
        </is>
      </c>
      <c r="P36" s="5" t="inlineStr">
        <is>
          <t>https://www.facebook.com/halalsweetscompany/</t>
        </is>
      </c>
      <c r="Q36" s="5" t="inlineStr"/>
      <c r="R36" s="5" t="inlineStr"/>
      <c r="S36" s="5" t="inlineStr"/>
      <c r="T36" s="5" t="inlineStr"/>
      <c r="U36" s="5" t="inlineStr"/>
      <c r="V36" s="5" t="inlineStr">
        <is>
          <t>High</t>
        </is>
      </c>
      <c r="W36" s="5" t="inlineStr">
        <is>
          <t>Independent retailer; Core relevant category; Public email available; Active website; Social presence</t>
        </is>
      </c>
      <c r="X36" s="5" t="inlineStr">
        <is>
          <t>Not Found</t>
        </is>
      </c>
      <c r="Y36" s="5" t="inlineStr">
        <is>
          <t>Website Found</t>
        </is>
      </c>
      <c r="Z36" s="5" t="inlineStr">
        <is>
          <t>Medium</t>
        </is>
      </c>
      <c r="AA36" s="5" t="inlineStr">
        <is>
          <t>Partially Verified</t>
        </is>
      </c>
      <c r="AB36" s="5" t="inlineStr">
        <is>
          <t>https://halalsweets.company.site/</t>
        </is>
      </c>
    </row>
    <row r="37">
      <c r="A37" s="10" t="inlineStr">
        <is>
          <t>WY-0094</t>
        </is>
      </c>
      <c r="B37" s="10" t="inlineStr">
        <is>
          <t>WY-0094-01</t>
        </is>
      </c>
      <c r="C37" s="10" t="inlineStr"/>
      <c r="D37" s="10" t="inlineStr">
        <is>
          <t>Hang Sing Hong</t>
        </is>
      </c>
      <c r="E37" s="10" t="inlineStr">
        <is>
          <t>Independent Supermarket</t>
        </is>
      </c>
      <c r="F37" s="10" t="inlineStr">
        <is>
          <t>Chinese / Oriental supermarket</t>
        </is>
      </c>
      <c r="G37" s="10" t="inlineStr">
        <is>
          <t>Independent</t>
        </is>
      </c>
      <c r="H37" s="10" t="inlineStr">
        <is>
          <t>1</t>
        </is>
      </c>
      <c r="I37" s="10" t="inlineStr">
        <is>
          <t>117-119 Vicar Lane</t>
        </is>
      </c>
      <c r="J37" s="10" t="inlineStr">
        <is>
          <t>Leeds</t>
        </is>
      </c>
      <c r="K37" s="10" t="inlineStr">
        <is>
          <t>LS1 6PJ</t>
        </is>
      </c>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Not Found</t>
        </is>
      </c>
      <c r="Y37" s="10" t="inlineStr">
        <is>
          <t>Not Found</t>
        </is>
      </c>
      <c r="Z37" s="10" t="inlineStr">
        <is>
          <t>Medium</t>
        </is>
      </c>
      <c r="AA37" s="10" t="inlineStr">
        <is>
          <t>Requires Verification</t>
        </is>
      </c>
      <c r="AB37" s="10" t="inlineStr">
        <is>
          <t>https://www.yelp.co.uk/biz/hang-sing-hong-leeds-2</t>
        </is>
      </c>
    </row>
    <row r="38">
      <c r="A38" s="5" t="inlineStr">
        <is>
          <t>UK-000253</t>
        </is>
      </c>
      <c r="B38" s="5" t="inlineStr">
        <is>
          <t>UK-000253-01</t>
        </is>
      </c>
      <c r="C38" s="5" t="inlineStr"/>
      <c r="D38" s="5" t="inlineStr">
        <is>
          <t>Haris&amp;Co Supermarket</t>
        </is>
      </c>
      <c r="E38" s="5" t="inlineStr">
        <is>
          <t>Independent Supermarket</t>
        </is>
      </c>
      <c r="F38" s="5" t="inlineStr">
        <is>
          <t>International / world foods supermarket</t>
        </is>
      </c>
      <c r="G38" s="5" t="inlineStr">
        <is>
          <t>Independent</t>
        </is>
      </c>
      <c r="H38" s="5" t="inlineStr">
        <is>
          <t>1</t>
        </is>
      </c>
      <c r="I38" s="5" t="inlineStr">
        <is>
          <t>Terry Street</t>
        </is>
      </c>
      <c r="J38" s="5" t="inlineStr">
        <is>
          <t>Kingston upon Hull</t>
        </is>
      </c>
      <c r="K38" s="5" t="inlineStr">
        <is>
          <t>HU3 1TY</t>
        </is>
      </c>
      <c r="L38" s="5" t="inlineStr"/>
      <c r="M38" s="5" t="inlineStr"/>
      <c r="N38" s="5" t="inlineStr"/>
      <c r="O38" s="5" t="inlineStr">
        <is>
          <t>https://harrisandco.vercel.app</t>
        </is>
      </c>
      <c r="P38" s="5" t="inlineStr"/>
      <c r="Q38" s="5" t="inlineStr"/>
      <c r="R38" s="5" t="inlineStr"/>
      <c r="S38" s="5" t="inlineStr"/>
      <c r="T38" s="5" t="inlineStr"/>
      <c r="U38" s="5" t="inlineStr"/>
      <c r="V38" s="5" t="inlineStr">
        <is>
          <t>Medium</t>
        </is>
      </c>
      <c r="W38" s="5" t="inlineStr">
        <is>
          <t>Independent retailer; Relevant category; Active website</t>
        </is>
      </c>
      <c r="X38" s="5" t="inlineStr">
        <is>
          <t>Not Found</t>
        </is>
      </c>
      <c r="Y38" s="5" t="inlineStr">
        <is>
          <t>Not Found</t>
        </is>
      </c>
      <c r="Z38" s="5" t="inlineStr">
        <is>
          <t>Medium</t>
        </is>
      </c>
      <c r="AA38" s="5" t="inlineStr">
        <is>
          <t>Partially Verified</t>
        </is>
      </c>
      <c r="AB38" s="5" t="inlineStr">
        <is>
          <t>https://harrisandco.vercel.app/</t>
        </is>
      </c>
    </row>
    <row r="39">
      <c r="A39" s="10" t="inlineStr">
        <is>
          <t>WY-0099</t>
        </is>
      </c>
      <c r="B39" s="10" t="inlineStr">
        <is>
          <t>WY-0099-01</t>
        </is>
      </c>
      <c r="C39" s="10" t="inlineStr"/>
      <c r="D39" s="10" t="inlineStr">
        <is>
          <t>International Foods</t>
        </is>
      </c>
      <c r="E39" s="10" t="inlineStr">
        <is>
          <t>Independent Supermarket</t>
        </is>
      </c>
      <c r="F39" s="10" t="inlineStr">
        <is>
          <t>South Asian supermarket with halal meat</t>
        </is>
      </c>
      <c r="G39" s="10" t="inlineStr">
        <is>
          <t>Independent</t>
        </is>
      </c>
      <c r="H39" s="10" t="inlineStr">
        <is>
          <t>1</t>
        </is>
      </c>
      <c r="I39" s="10" t="inlineStr">
        <is>
          <t>166 Harehills Lane</t>
        </is>
      </c>
      <c r="J39" s="10" t="inlineStr">
        <is>
          <t>Leeds</t>
        </is>
      </c>
      <c r="K39" s="10" t="inlineStr">
        <is>
          <t>LS8 5JP</t>
        </is>
      </c>
      <c r="L39" s="10" t="inlineStr"/>
      <c r="M39" s="10" t="inlineStr"/>
      <c r="N39" s="10" t="inlineStr"/>
      <c r="O39" s="10" t="inlineStr"/>
      <c r="P39" s="10" t="inlineStr"/>
      <c r="Q39" s="10" t="inlineStr"/>
      <c r="R39" s="10" t="inlineStr"/>
      <c r="S39" s="10" t="inlineStr"/>
      <c r="T39" s="10" t="inlineStr">
        <is>
          <t>09552908</t>
        </is>
      </c>
      <c r="U39" s="10" t="inlineStr"/>
      <c r="V39" s="10" t="inlineStr">
        <is>
          <t>Low</t>
        </is>
      </c>
      <c r="W39" s="10" t="inlineStr">
        <is>
          <t>Independent retailer; Relevant category</t>
        </is>
      </c>
      <c r="X39" s="10" t="inlineStr">
        <is>
          <t>Not Found</t>
        </is>
      </c>
      <c r="Y39" s="10" t="inlineStr">
        <is>
          <t>Not Found</t>
        </is>
      </c>
      <c r="Z39" s="10" t="inlineStr">
        <is>
          <t>Medium</t>
        </is>
      </c>
      <c r="AA39" s="10" t="inlineStr">
        <is>
          <t>Partially Verified</t>
        </is>
      </c>
      <c r="AB39" s="10" t="inlineStr">
        <is>
          <t>https://find-and-update.company-information.service.gov.uk/company/09552908</t>
        </is>
      </c>
    </row>
    <row r="40">
      <c r="A40" s="5" t="inlineStr">
        <is>
          <t>WY-0100</t>
        </is>
      </c>
      <c r="B40" s="5" t="inlineStr">
        <is>
          <t>WY-0100-01</t>
        </is>
      </c>
      <c r="C40" s="5" t="inlineStr"/>
      <c r="D40" s="5" t="inlineStr">
        <is>
          <t>Javid Supermarket</t>
        </is>
      </c>
      <c r="E40" s="5" t="inlineStr">
        <is>
          <t>Independent Supermarket</t>
        </is>
      </c>
      <c r="F40" s="5" t="inlineStr">
        <is>
          <t>Halal, Asian, Caribbean and world foods supermarket</t>
        </is>
      </c>
      <c r="G40" s="5" t="inlineStr">
        <is>
          <t>Independent</t>
        </is>
      </c>
      <c r="H40" s="5" t="inlineStr">
        <is>
          <t>1</t>
        </is>
      </c>
      <c r="I40" s="5" t="inlineStr">
        <is>
          <t>177-179 Bradford Road</t>
        </is>
      </c>
      <c r="J40" s="5" t="inlineStr">
        <is>
          <t>Huddersfield</t>
        </is>
      </c>
      <c r="K40" s="5" t="inlineStr">
        <is>
          <t>HD1 6EQ</t>
        </is>
      </c>
      <c r="L40" s="5" t="inlineStr">
        <is>
          <t>01484 517411</t>
        </is>
      </c>
      <c r="M40" s="5" t="inlineStr">
        <is>
          <t>contact@javidsupermarket.co.uk</t>
        </is>
      </c>
      <c r="N40" s="5" t="inlineStr"/>
      <c r="O40" s="5" t="inlineStr">
        <is>
          <t>https://www.javidsupermarket.co.uk/</t>
        </is>
      </c>
      <c r="P40" s="5" t="inlineStr"/>
      <c r="Q40" s="5" t="inlineStr">
        <is>
          <t>https://www.instagram.com/javidsupermarket/</t>
        </is>
      </c>
      <c r="R40" s="5" t="inlineStr"/>
      <c r="S40" s="5" t="inlineStr"/>
      <c r="T40" s="5" t="inlineStr"/>
      <c r="U40" s="5" t="inlineStr"/>
      <c r="V40" s="5" t="inlineStr">
        <is>
          <t>Medium</t>
        </is>
      </c>
      <c r="W40" s="5" t="inlineStr">
        <is>
          <t>Independent retailer; Relevant category; Public email available; Active website; Social presence</t>
        </is>
      </c>
      <c r="X40" s="5" t="inlineStr">
        <is>
          <t>Verified directory</t>
        </is>
      </c>
      <c r="Y40" s="5" t="inlineStr">
        <is>
          <t>Publicly Listed</t>
        </is>
      </c>
      <c r="Z40" s="5" t="inlineStr">
        <is>
          <t>Medium</t>
        </is>
      </c>
      <c r="AA40" s="5" t="inlineStr">
        <is>
          <t>Requires Verification</t>
        </is>
      </c>
      <c r="AB40" s="5" t="inlineStr">
        <is>
          <t>https://www.javidsupermarket.co.uk/contact/</t>
        </is>
      </c>
    </row>
    <row r="41">
      <c r="A41" s="10" t="inlineStr">
        <is>
          <t>UK-000261</t>
        </is>
      </c>
      <c r="B41" s="10" t="inlineStr">
        <is>
          <t>UK-000261-01</t>
        </is>
      </c>
      <c r="C41" s="10" t="inlineStr"/>
      <c r="D41" s="10" t="inlineStr">
        <is>
          <t>Kaplan Fast Food Cash &amp; Carry</t>
        </is>
      </c>
      <c r="E41" s="10" t="inlineStr">
        <is>
          <t>Cash &amp; Carry</t>
        </is>
      </c>
      <c r="F41" s="10" t="inlineStr">
        <is>
          <t>Foodservice wholesale</t>
        </is>
      </c>
      <c r="G41" s="10" t="inlineStr">
        <is>
          <t>Independent</t>
        </is>
      </c>
      <c r="H41" s="10" t="inlineStr">
        <is>
          <t>1</t>
        </is>
      </c>
      <c r="I41" s="10" t="inlineStr">
        <is>
          <t>7 Flinton Street</t>
        </is>
      </c>
      <c r="J41" s="10" t="inlineStr">
        <is>
          <t>Kingston upon Hull</t>
        </is>
      </c>
      <c r="K41" s="10" t="inlineStr"/>
      <c r="L41" s="10" t="inlineStr"/>
      <c r="M41" s="10" t="inlineStr"/>
      <c r="N41" s="10" t="inlineStr"/>
      <c r="O41" s="10" t="inlineStr"/>
      <c r="P41" s="10" t="inlineStr">
        <is>
          <t>https://www.facebook.com/people/Kaplan-Fast-Food-Cash-Carry/61558997515973/</t>
        </is>
      </c>
      <c r="Q41" s="10" t="inlineStr"/>
      <c r="R41" s="10" t="inlineStr"/>
      <c r="S41" s="10" t="inlineStr"/>
      <c r="T41" s="10" t="inlineStr"/>
      <c r="U41" s="10" t="inlineStr"/>
      <c r="V41" s="10" t="inlineStr">
        <is>
          <t>Medium</t>
        </is>
      </c>
      <c r="W41" s="10" t="inlineStr">
        <is>
          <t>Independent retailer; Core relevant category; Social presence</t>
        </is>
      </c>
      <c r="X41" s="10" t="inlineStr">
        <is>
          <t>Not Found</t>
        </is>
      </c>
      <c r="Y41" s="10" t="inlineStr">
        <is>
          <t>Not Found</t>
        </is>
      </c>
      <c r="Z41" s="10" t="inlineStr">
        <is>
          <t>Low</t>
        </is>
      </c>
      <c r="AA41" s="10" t="inlineStr">
        <is>
          <t>Requires Verification</t>
        </is>
      </c>
      <c r="AB41" s="10" t="inlineStr">
        <is>
          <t>https://www.facebook.com/people/Kaplan-Fast-Food-Cash-Carry/61558997515973/</t>
        </is>
      </c>
    </row>
    <row r="42">
      <c r="A42" s="5" t="inlineStr">
        <is>
          <t>WY-0106</t>
        </is>
      </c>
      <c r="B42" s="5" t="inlineStr">
        <is>
          <t>WY-0106-01</t>
        </is>
      </c>
      <c r="C42" s="5" t="inlineStr"/>
      <c r="D42" s="5" t="inlineStr">
        <is>
          <t>Khadim Supersave</t>
        </is>
      </c>
      <c r="E42" s="5" t="inlineStr">
        <is>
          <t>Independent Supermarket</t>
        </is>
      </c>
      <c r="F42" s="5" t="inlineStr">
        <is>
          <t>Halal grocery store</t>
        </is>
      </c>
      <c r="G42" s="5" t="inlineStr">
        <is>
          <t>Independent</t>
        </is>
      </c>
      <c r="H42" s="5" t="inlineStr">
        <is>
          <t>1</t>
        </is>
      </c>
      <c r="I42" s="5" t="inlineStr">
        <is>
          <t>1 Blacker Road</t>
        </is>
      </c>
      <c r="J42" s="5" t="inlineStr">
        <is>
          <t>Huddersfield</t>
        </is>
      </c>
      <c r="K42" s="5" t="inlineStr">
        <is>
          <t>HD1 5HU</t>
        </is>
      </c>
      <c r="L42" s="5" t="inlineStr">
        <is>
          <t>01484 360513</t>
        </is>
      </c>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Verified directory</t>
        </is>
      </c>
      <c r="Y42" s="5" t="inlineStr">
        <is>
          <t>Not Found</t>
        </is>
      </c>
      <c r="Z42" s="5" t="inlineStr">
        <is>
          <t>Medium</t>
        </is>
      </c>
      <c r="AA42" s="5" t="inlineStr">
        <is>
          <t>Requires Verification</t>
        </is>
      </c>
      <c r="AB42" s="5" t="inlineStr">
        <is>
          <t>https://no-divide.co.uk/khadim-supersave/</t>
        </is>
      </c>
    </row>
    <row r="43">
      <c r="A43" s="10" t="inlineStr">
        <is>
          <t>UK-000266</t>
        </is>
      </c>
      <c r="B43" s="10" t="inlineStr">
        <is>
          <t>UK-000266-01</t>
        </is>
      </c>
      <c r="C43" s="10" t="inlineStr"/>
      <c r="D43" s="10" t="inlineStr">
        <is>
          <t>Ninnsi</t>
        </is>
      </c>
      <c r="E43" s="10" t="inlineStr">
        <is>
          <t>Independent Supermarket</t>
        </is>
      </c>
      <c r="F43" s="10" t="inlineStr">
        <is>
          <t>Oriental / Asian store</t>
        </is>
      </c>
      <c r="G43" s="10" t="inlineStr">
        <is>
          <t>Independent</t>
        </is>
      </c>
      <c r="H43" s="10" t="inlineStr">
        <is>
          <t>1</t>
        </is>
      </c>
      <c r="I43" s="10" t="inlineStr"/>
      <c r="J43" s="10" t="inlineStr">
        <is>
          <t>Kingston upon Hull</t>
        </is>
      </c>
      <c r="K43" s="10" t="inlineStr"/>
      <c r="L43" s="10" t="inlineStr"/>
      <c r="M43" s="10" t="inlineStr"/>
      <c r="N43" s="10" t="inlineStr"/>
      <c r="O43" s="10" t="inlineStr">
        <is>
          <t>https://ninnsi.co.uk</t>
        </is>
      </c>
      <c r="P43" s="10" t="inlineStr"/>
      <c r="Q43" s="10" t="inlineStr"/>
      <c r="R43" s="10" t="inlineStr"/>
      <c r="S43" s="10" t="inlineStr"/>
      <c r="T43" s="10" t="inlineStr"/>
      <c r="U43" s="10" t="inlineStr"/>
      <c r="V43" s="10" t="inlineStr">
        <is>
          <t>Medium</t>
        </is>
      </c>
      <c r="W43" s="10" t="inlineStr">
        <is>
          <t>Independent retailer; Relevant category; Active website</t>
        </is>
      </c>
      <c r="X43" s="10" t="inlineStr">
        <is>
          <t>Not Found</t>
        </is>
      </c>
      <c r="Y43" s="10" t="inlineStr">
        <is>
          <t>Not Found</t>
        </is>
      </c>
      <c r="Z43" s="10" t="inlineStr">
        <is>
          <t>Low</t>
        </is>
      </c>
      <c r="AA43" s="10" t="inlineStr">
        <is>
          <t>Partially Verified</t>
        </is>
      </c>
      <c r="AB43" s="10" t="inlineStr">
        <is>
          <t>https://ninnsi.co.uk/</t>
        </is>
      </c>
    </row>
    <row r="44">
      <c r="A44" s="5" t="inlineStr">
        <is>
          <t>WY-0130</t>
        </is>
      </c>
      <c r="B44" s="5" t="inlineStr">
        <is>
          <t>WY-0130-01</t>
        </is>
      </c>
      <c r="C44" s="5" t="inlineStr"/>
      <c r="D44" s="5" t="inlineStr">
        <is>
          <t>Pakeezah Superstore</t>
        </is>
      </c>
      <c r="E44" s="5" t="inlineStr">
        <is>
          <t>Independent Supermarket</t>
        </is>
      </c>
      <c r="F44" s="5" t="inlineStr">
        <is>
          <t>Asian / halal superstore with curry counter</t>
        </is>
      </c>
      <c r="G44" s="5" t="inlineStr">
        <is>
          <t>Independent</t>
        </is>
      </c>
      <c r="H44" s="5" t="inlineStr">
        <is>
          <t>1</t>
        </is>
      </c>
      <c r="I44" s="5" t="inlineStr">
        <is>
          <t>91 Edderthorpe Street</t>
        </is>
      </c>
      <c r="J44" s="5" t="inlineStr">
        <is>
          <t>Bradford</t>
        </is>
      </c>
      <c r="K44" s="5" t="inlineStr">
        <is>
          <t>BD3 9UD</t>
        </is>
      </c>
      <c r="L44" s="5" t="inlineStr">
        <is>
          <t>01274 739500</t>
        </is>
      </c>
      <c r="M44" s="5" t="inlineStr">
        <is>
          <t>info@pakeezah.com</t>
        </is>
      </c>
      <c r="N44" s="5" t="inlineStr"/>
      <c r="O44" s="5" t="inlineStr">
        <is>
          <t>https://www.pakeezah.com/</t>
        </is>
      </c>
      <c r="P44" s="5" t="inlineStr">
        <is>
          <t>https://www.facebook.com/PakeezahGourmet/</t>
        </is>
      </c>
      <c r="Q44" s="5" t="inlineStr"/>
      <c r="R44" s="5" t="inlineStr"/>
      <c r="S44" s="5" t="inlineStr"/>
      <c r="T44" s="5" t="inlineStr"/>
      <c r="U44" s="5" t="inlineStr"/>
      <c r="V44" s="5" t="inlineStr">
        <is>
          <t>Medium</t>
        </is>
      </c>
      <c r="W44" s="5" t="inlineStr">
        <is>
          <t>Independent retailer; Relevant category; Public email available; Active website; Social presence</t>
        </is>
      </c>
      <c r="X44" s="5" t="inlineStr">
        <is>
          <t>Verified directory</t>
        </is>
      </c>
      <c r="Y44" s="5" t="inlineStr">
        <is>
          <t>Website Found</t>
        </is>
      </c>
      <c r="Z44" s="5" t="inlineStr">
        <is>
          <t>Medium</t>
        </is>
      </c>
      <c r="AA44" s="5" t="inlineStr">
        <is>
          <t>Partially Verified</t>
        </is>
      </c>
      <c r="AB44" s="5" t="inlineStr">
        <is>
          <t>https://www.thomsonlocal.com/search/supermarkets/bradford-keighley-skipton/pakeezah/1241547/01274739500</t>
        </is>
      </c>
    </row>
    <row r="45">
      <c r="A45" s="10" t="inlineStr">
        <is>
          <t>WY-0135</t>
        </is>
      </c>
      <c r="B45" s="10" t="inlineStr">
        <is>
          <t>WY-0135-01</t>
        </is>
      </c>
      <c r="C45" s="10" t="inlineStr"/>
      <c r="D45" s="10" t="inlineStr">
        <is>
          <t>Premier Wholesale Cash &amp; Carry</t>
        </is>
      </c>
      <c r="E45" s="10" t="inlineStr">
        <is>
          <t>Cash &amp; Carry</t>
        </is>
      </c>
      <c r="F45" s="10" t="inlineStr">
        <is>
          <t>General cash and carry wholesaler</t>
        </is>
      </c>
      <c r="G45" s="10" t="inlineStr">
        <is>
          <t>Independent</t>
        </is>
      </c>
      <c r="H45" s="10" t="inlineStr">
        <is>
          <t>1</t>
        </is>
      </c>
      <c r="I45" s="10" t="inlineStr">
        <is>
          <t>Clough Lane</t>
        </is>
      </c>
      <c r="J45" s="10" t="inlineStr">
        <is>
          <t>Huddersfield</t>
        </is>
      </c>
      <c r="K45" s="10" t="inlineStr">
        <is>
          <t>HD1 4UW</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Low</t>
        </is>
      </c>
      <c r="AA45" s="10" t="inlineStr">
        <is>
          <t>Requires Verification</t>
        </is>
      </c>
      <c r="AB45" s="10" t="inlineStr">
        <is>
          <t>https://www.yell.com/biz/premier-wholesale-cash-and-carry-huddersfield-943025/</t>
        </is>
      </c>
    </row>
    <row r="46">
      <c r="A46" s="5" t="inlineStr">
        <is>
          <t>UK-000275</t>
        </is>
      </c>
      <c r="B46" s="5" t="inlineStr">
        <is>
          <t>UK-000275-01</t>
        </is>
      </c>
      <c r="C46" s="5" t="inlineStr"/>
      <c r="D46" s="5" t="inlineStr">
        <is>
          <t>Sako Polish Shop Doncaster</t>
        </is>
      </c>
      <c r="E46" s="5" t="inlineStr">
        <is>
          <t>Independent Supermarket</t>
        </is>
      </c>
      <c r="F46" s="5" t="inlineStr">
        <is>
          <t>Polish / European grocery store</t>
        </is>
      </c>
      <c r="G46" s="5" t="inlineStr">
        <is>
          <t>Independent</t>
        </is>
      </c>
      <c r="H46" s="5" t="inlineStr">
        <is>
          <t>1</t>
        </is>
      </c>
      <c r="I46" s="5" t="inlineStr">
        <is>
          <t>40 Duke Street</t>
        </is>
      </c>
      <c r="J46" s="5" t="inlineStr">
        <is>
          <t>Doncaster</t>
        </is>
      </c>
      <c r="K46" s="5" t="inlineStr"/>
      <c r="L46" s="5" t="inlineStr"/>
      <c r="M46" s="5" t="inlineStr"/>
      <c r="N46" s="5" t="inlineStr"/>
      <c r="O46" s="5" t="inlineStr">
        <is>
          <t>https://sakomarket.com/</t>
        </is>
      </c>
      <c r="P46" s="5" t="inlineStr"/>
      <c r="Q46" s="5" t="inlineStr"/>
      <c r="R46" s="5" t="inlineStr"/>
      <c r="S46" s="5" t="inlineStr"/>
      <c r="T46" s="5" t="inlineStr"/>
      <c r="U46" s="5" t="inlineStr"/>
      <c r="V46" s="5" t="inlineStr">
        <is>
          <t>Medium</t>
        </is>
      </c>
      <c r="W46" s="5" t="inlineStr">
        <is>
          <t>Independent retailer; Relevant category; Active website</t>
        </is>
      </c>
      <c r="X46" s="5" t="inlineStr">
        <is>
          <t>Not Found</t>
        </is>
      </c>
      <c r="Y46" s="5" t="inlineStr">
        <is>
          <t>Website Found</t>
        </is>
      </c>
      <c r="Z46" s="5" t="inlineStr">
        <is>
          <t>Low</t>
        </is>
      </c>
      <c r="AA46" s="5" t="inlineStr">
        <is>
          <t>Requires Verification</t>
        </is>
      </c>
      <c r="AB46" s="5" t="inlineStr">
        <is>
          <t>https://bippermedia.com/uk/st/england/south-yorkshire/doncaster/grocery-store/sako-polish-shop-doncaster-doncaster/</t>
        </is>
      </c>
    </row>
    <row r="47">
      <c r="A47" s="10" t="inlineStr">
        <is>
          <t>WY-0143</t>
        </is>
      </c>
      <c r="B47" s="10" t="inlineStr">
        <is>
          <t>WY-0143-01</t>
        </is>
      </c>
      <c r="C47" s="10" t="inlineStr"/>
      <c r="D47" s="10" t="inlineStr">
        <is>
          <t>SaveCo Cash &amp; Carry Bradford</t>
        </is>
      </c>
      <c r="E47" s="10" t="inlineStr">
        <is>
          <t>Cash &amp; Carry</t>
        </is>
      </c>
      <c r="F47" s="10" t="inlineStr">
        <is>
          <t>Halal supermarket &amp; food cash and carry</t>
        </is>
      </c>
      <c r="G47" s="10" t="inlineStr">
        <is>
          <t>Independent</t>
        </is>
      </c>
      <c r="H47" s="10" t="inlineStr">
        <is>
          <t>1</t>
        </is>
      </c>
      <c r="I47" s="10" t="inlineStr">
        <is>
          <t>Carter Gear Works, Thornbury Road</t>
        </is>
      </c>
      <c r="J47" s="10" t="inlineStr">
        <is>
          <t>Bradford</t>
        </is>
      </c>
      <c r="K47" s="10" t="inlineStr">
        <is>
          <t>BD3 8HE</t>
        </is>
      </c>
      <c r="L47" s="10" t="inlineStr">
        <is>
          <t>01274 665555</t>
        </is>
      </c>
      <c r="M47" s="10" t="inlineStr"/>
      <c r="N47" s="10" t="inlineStr"/>
      <c r="O47" s="10" t="inlineStr">
        <is>
          <t>https://savecobradford.co.uk/</t>
        </is>
      </c>
      <c r="P47" s="10" t="inlineStr">
        <is>
          <t>https://www.facebook.com/savecobradford/</t>
        </is>
      </c>
      <c r="Q47" s="10" t="inlineStr"/>
      <c r="R47" s="10" t="inlineStr"/>
      <c r="S47" s="10" t="inlineStr"/>
      <c r="T47" s="10" t="inlineStr"/>
      <c r="U47" s="10" t="inlineStr"/>
      <c r="V47" s="10" t="inlineStr">
        <is>
          <t>Medium</t>
        </is>
      </c>
      <c r="W47" s="10" t="inlineStr">
        <is>
          <t>Independent retailer; Core relevant category; Active website; Social presence</t>
        </is>
      </c>
      <c r="X47" s="10" t="inlineStr">
        <is>
          <t>Verified directory</t>
        </is>
      </c>
      <c r="Y47" s="10" t="inlineStr">
        <is>
          <t>Website Found</t>
        </is>
      </c>
      <c r="Z47" s="10" t="inlineStr">
        <is>
          <t>Medium</t>
        </is>
      </c>
      <c r="AA47" s="10" t="inlineStr">
        <is>
          <t>Requires Verification</t>
        </is>
      </c>
      <c r="AB47" s="10" t="inlineStr">
        <is>
          <t>https://savecobradford.co.uk/</t>
        </is>
      </c>
    </row>
    <row r="48">
      <c r="A48" s="5" t="inlineStr">
        <is>
          <t>WY-0145</t>
        </is>
      </c>
      <c r="B48" s="5" t="inlineStr">
        <is>
          <t>WY-0145-01</t>
        </is>
      </c>
      <c r="C48" s="5" t="inlineStr"/>
      <c r="D48" s="5" t="inlineStr">
        <is>
          <t>Shans Supermarket</t>
        </is>
      </c>
      <c r="E48" s="5" t="inlineStr">
        <is>
          <t>Independent Supermarket</t>
        </is>
      </c>
      <c r="F48" s="5" t="inlineStr">
        <is>
          <t>Multicultural halal supermarket</t>
        </is>
      </c>
      <c r="G48" s="5" t="inlineStr">
        <is>
          <t>Independent</t>
        </is>
      </c>
      <c r="H48" s="5" t="inlineStr">
        <is>
          <t>1</t>
        </is>
      </c>
      <c r="I48" s="5" t="inlineStr">
        <is>
          <t>Alice Street</t>
        </is>
      </c>
      <c r="J48" s="5" t="inlineStr">
        <is>
          <t>Keighley</t>
        </is>
      </c>
      <c r="K48" s="5" t="inlineStr"/>
      <c r="L48" s="5" t="inlineStr">
        <is>
          <t>01535 667889</t>
        </is>
      </c>
      <c r="M48" s="5" t="inlineStr"/>
      <c r="N48" s="5" t="inlineStr"/>
      <c r="O48" s="5" t="inlineStr"/>
      <c r="P48" s="5" t="inlineStr">
        <is>
          <t>https://www.facebook.com/ShansSupermarket/</t>
        </is>
      </c>
      <c r="Q48" s="5" t="inlineStr"/>
      <c r="R48" s="5" t="inlineStr"/>
      <c r="S48" s="5" t="inlineStr"/>
      <c r="T48" s="5" t="inlineStr"/>
      <c r="U48" s="5" t="inlineStr"/>
      <c r="V48" s="5" t="inlineStr">
        <is>
          <t>Medium</t>
        </is>
      </c>
      <c r="W48" s="5" t="inlineStr">
        <is>
          <t>Independent retailer; Relevant category; Social presence</t>
        </is>
      </c>
      <c r="X48" s="5" t="inlineStr">
        <is>
          <t>Verified directory</t>
        </is>
      </c>
      <c r="Y48" s="5" t="inlineStr">
        <is>
          <t>Not Found</t>
        </is>
      </c>
      <c r="Z48" s="5" t="inlineStr">
        <is>
          <t>Medium</t>
        </is>
      </c>
      <c r="AA48" s="5" t="inlineStr">
        <is>
          <t>Requires Verification</t>
        </is>
      </c>
      <c r="AB48" s="5" t="inlineStr">
        <is>
          <t>https://www.facebook.com/ShansSupermarket/</t>
        </is>
      </c>
    </row>
    <row r="49">
      <c r="A49" s="10" t="inlineStr">
        <is>
          <t>UK-000279</t>
        </is>
      </c>
      <c r="B49" s="10" t="inlineStr">
        <is>
          <t>UK-000279-01</t>
        </is>
      </c>
      <c r="C49" s="10" t="inlineStr"/>
      <c r="D49" s="10" t="inlineStr">
        <is>
          <t>Sprouts Supermarket</t>
        </is>
      </c>
      <c r="E49" s="10" t="inlineStr">
        <is>
          <t>Independent Supermarket</t>
        </is>
      </c>
      <c r="F49" s="10" t="inlineStr">
        <is>
          <t>International / South Asian &amp; Caribbean supermarket</t>
        </is>
      </c>
      <c r="G49" s="10" t="inlineStr">
        <is>
          <t>Independent</t>
        </is>
      </c>
      <c r="H49" s="10" t="inlineStr">
        <is>
          <t>1</t>
        </is>
      </c>
      <c r="I49" s="10" t="inlineStr">
        <is>
          <t>174 Wellgate</t>
        </is>
      </c>
      <c r="J49" s="10" t="inlineStr">
        <is>
          <t>Rotherham</t>
        </is>
      </c>
      <c r="K49" s="10" t="inlineStr">
        <is>
          <t>S60 2PE</t>
        </is>
      </c>
      <c r="L49" s="10" t="inlineStr">
        <is>
          <t>01709 839980</t>
        </is>
      </c>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Verified directory</t>
        </is>
      </c>
      <c r="Y49" s="10" t="inlineStr">
        <is>
          <t>Not Found</t>
        </is>
      </c>
      <c r="Z49" s="10" t="inlineStr">
        <is>
          <t>Medium</t>
        </is>
      </c>
      <c r="AA49" s="10" t="inlineStr">
        <is>
          <t>Requires Verification</t>
        </is>
      </c>
      <c r="AB49" s="10" t="inlineStr">
        <is>
          <t>https://www.thomsonlocal.com/search/supermarkets/rotherham/sprouts-supermarket/3066529/01709839980</t>
        </is>
      </c>
    </row>
    <row r="50">
      <c r="A50" s="5" t="inlineStr">
        <is>
          <t>WY-0156</t>
        </is>
      </c>
      <c r="B50" s="5" t="inlineStr">
        <is>
          <t>WY-0156-01</t>
        </is>
      </c>
      <c r="C50" s="5" t="inlineStr"/>
      <c r="D50" s="5" t="inlineStr">
        <is>
          <t>Suki's Cash &amp; Carry</t>
        </is>
      </c>
      <c r="E50" s="5" t="inlineStr">
        <is>
          <t>Cash &amp; Carry</t>
        </is>
      </c>
      <c r="F50" s="5" t="inlineStr">
        <is>
          <t>Household goods, partyware, toys &amp; disposables wholesaler</t>
        </is>
      </c>
      <c r="G50" s="5" t="inlineStr">
        <is>
          <t>Independent</t>
        </is>
      </c>
      <c r="H50" s="5" t="inlineStr">
        <is>
          <t>1</t>
        </is>
      </c>
      <c r="I50" s="5" t="inlineStr">
        <is>
          <t>Garnett Street</t>
        </is>
      </c>
      <c r="J50" s="5" t="inlineStr">
        <is>
          <t>Bradford</t>
        </is>
      </c>
      <c r="K50" s="5" t="inlineStr">
        <is>
          <t>BD3 9HN</t>
        </is>
      </c>
      <c r="L50" s="5" t="inlineStr">
        <is>
          <t>01274 736093</t>
        </is>
      </c>
      <c r="M50" s="5" t="inlineStr"/>
      <c r="N50" s="5" t="inlineStr"/>
      <c r="O50" s="5" t="inlineStr">
        <is>
          <t>https://sukiscashandcarry.co.uk/</t>
        </is>
      </c>
      <c r="P50" s="5" t="inlineStr">
        <is>
          <t>https://www.facebook.com/sukiscashandcarry/</t>
        </is>
      </c>
      <c r="Q50" s="5" t="inlineStr">
        <is>
          <t>https://www.instagram.com/sukiscashandcarrybradford/</t>
        </is>
      </c>
      <c r="R50" s="5" t="inlineStr"/>
      <c r="S50" s="5" t="inlineStr"/>
      <c r="T50" s="5" t="inlineStr"/>
      <c r="U50" s="5" t="inlineStr"/>
      <c r="V50" s="5" t="inlineStr">
        <is>
          <t>Medium</t>
        </is>
      </c>
      <c r="W50" s="5" t="inlineStr">
        <is>
          <t>Independent retailer; Core relevant category; Active website; Social presence</t>
        </is>
      </c>
      <c r="X50" s="5" t="inlineStr">
        <is>
          <t>Verified directory</t>
        </is>
      </c>
      <c r="Y50" s="5" t="inlineStr">
        <is>
          <t>Website Found</t>
        </is>
      </c>
      <c r="Z50" s="5" t="inlineStr">
        <is>
          <t>Medium</t>
        </is>
      </c>
      <c r="AA50" s="5" t="inlineStr">
        <is>
          <t>Partially Verified</t>
        </is>
      </c>
      <c r="AB50" s="5" t="inlineStr">
        <is>
          <t>https://sukiscashandcarry.co.uk/</t>
        </is>
      </c>
    </row>
    <row r="51">
      <c r="A51" s="10" t="inlineStr">
        <is>
          <t>UK-000280</t>
        </is>
      </c>
      <c r="B51" s="10" t="inlineStr">
        <is>
          <t>UK-000280-01</t>
        </is>
      </c>
      <c r="C51" s="10" t="inlineStr"/>
      <c r="D51" s="10" t="inlineStr">
        <is>
          <t>TLC (Top Lines Catering Supplies)</t>
        </is>
      </c>
      <c r="E51" s="10" t="inlineStr">
        <is>
          <t>Cash &amp; Carry</t>
        </is>
      </c>
      <c r="F51" s="10" t="inlineStr">
        <is>
          <t>Catering cash &amp; carry / wholesaler</t>
        </is>
      </c>
      <c r="G51" s="10" t="inlineStr">
        <is>
          <t>Independent</t>
        </is>
      </c>
      <c r="H51" s="10" t="inlineStr">
        <is>
          <t>1</t>
        </is>
      </c>
      <c r="I51" s="10" t="inlineStr">
        <is>
          <t>21a Kimberley Street</t>
        </is>
      </c>
      <c r="J51" s="10" t="inlineStr">
        <is>
          <t>Sheffield</t>
        </is>
      </c>
      <c r="K51" s="10" t="inlineStr">
        <is>
          <t>S9 3WX</t>
        </is>
      </c>
      <c r="L51" s="10" t="inlineStr">
        <is>
          <t>0114 261 9999</t>
        </is>
      </c>
      <c r="M51" s="10" t="inlineStr"/>
      <c r="N51" s="10" t="inlineStr"/>
      <c r="O51" s="10" t="inlineStr">
        <is>
          <t>https://www.tlcfoods.com/</t>
        </is>
      </c>
      <c r="P51" s="10" t="inlineStr">
        <is>
          <t>https://www.facebook.com/tlcsheffield/</t>
        </is>
      </c>
      <c r="Q51" s="10" t="inlineStr"/>
      <c r="R51" s="10" t="inlineStr"/>
      <c r="S51" s="10" t="inlineStr"/>
      <c r="T51" s="10" t="inlineStr"/>
      <c r="U51" s="10" t="inlineStr"/>
      <c r="V51" s="10" t="inlineStr">
        <is>
          <t>Medium</t>
        </is>
      </c>
      <c r="W51" s="10" t="inlineStr">
        <is>
          <t>Independent retailer; Core relevant category; Active website; Social presence</t>
        </is>
      </c>
      <c r="X51" s="10" t="inlineStr">
        <is>
          <t>Verified directory</t>
        </is>
      </c>
      <c r="Y51" s="10" t="inlineStr">
        <is>
          <t>Website Found</t>
        </is>
      </c>
      <c r="Z51" s="10" t="inlineStr">
        <is>
          <t>Medium</t>
        </is>
      </c>
      <c r="AA51" s="10" t="inlineStr">
        <is>
          <t>Requires Verification</t>
        </is>
      </c>
      <c r="AB51" s="10" t="inlineStr">
        <is>
          <t>https://www.tlcfoods.com/info/how-to-find-us</t>
        </is>
      </c>
    </row>
    <row r="52">
      <c r="A52" s="5" t="inlineStr">
        <is>
          <t>WY-0158</t>
        </is>
      </c>
      <c r="B52" s="5" t="inlineStr">
        <is>
          <t>WY-0158-01</t>
        </is>
      </c>
      <c r="C52" s="5" t="inlineStr"/>
      <c r="D52" s="5" t="inlineStr">
        <is>
          <t>Thali Outlet</t>
        </is>
      </c>
      <c r="E52" s="5" t="inlineStr">
        <is>
          <t>Cash &amp; Carry</t>
        </is>
      </c>
      <c r="F52" s="5" t="inlineStr">
        <is>
          <t>Trade cash &amp; carry - food packaging, disposables and cleaning products</t>
        </is>
      </c>
      <c r="G52" s="5" t="inlineStr">
        <is>
          <t>Independent</t>
        </is>
      </c>
      <c r="H52" s="5" t="inlineStr">
        <is>
          <t>1</t>
        </is>
      </c>
      <c r="I52" s="5" t="inlineStr">
        <is>
          <t>Meanwood Buildings, 277a Meanwood Road</t>
        </is>
      </c>
      <c r="J52" s="5" t="inlineStr">
        <is>
          <t>Leeds</t>
        </is>
      </c>
      <c r="K52" s="5" t="inlineStr">
        <is>
          <t>LS7 2JD</t>
        </is>
      </c>
      <c r="L52" s="5" t="inlineStr">
        <is>
          <t>0113 394 8000</t>
        </is>
      </c>
      <c r="M52" s="5" t="inlineStr">
        <is>
          <t>sales@thalioutlet.com</t>
        </is>
      </c>
      <c r="N52" s="5" t="inlineStr">
        <is>
          <t>sales@thalioutlet.com</t>
        </is>
      </c>
      <c r="O52" s="5" t="inlineStr">
        <is>
          <t>https://www.thalioutlet.com/</t>
        </is>
      </c>
      <c r="P52" s="5" t="inlineStr">
        <is>
          <t>https://www.facebook.com/thalioutlet/</t>
        </is>
      </c>
      <c r="Q52" s="5" t="inlineStr"/>
      <c r="R52" s="5" t="inlineStr"/>
      <c r="S52" s="5" t="inlineStr"/>
      <c r="T52" s="5" t="inlineStr">
        <is>
          <t>08555459</t>
        </is>
      </c>
      <c r="U52" s="5" t="inlineStr"/>
      <c r="V52" s="5" t="inlineStr">
        <is>
          <t>High</t>
        </is>
      </c>
      <c r="W52" s="5" t="inlineStr">
        <is>
          <t>Independent retailer; Core relevant category; Public trade/sales contact; Active website; Social presence</t>
        </is>
      </c>
      <c r="X52" s="5" t="inlineStr">
        <is>
          <t>Verified directory</t>
        </is>
      </c>
      <c r="Y52" s="5" t="inlineStr">
        <is>
          <t>Publicly Listed</t>
        </is>
      </c>
      <c r="Z52" s="5" t="inlineStr">
        <is>
          <t>Medium</t>
        </is>
      </c>
      <c r="AA52" s="5" t="inlineStr">
        <is>
          <t>Requires Verification</t>
        </is>
      </c>
      <c r="AB52" s="5" t="inlineStr">
        <is>
          <t>https://www.thalioutlet.com/pages/contact</t>
        </is>
      </c>
    </row>
    <row r="53">
      <c r="A53" s="10" t="inlineStr">
        <is>
          <t>WY-0170</t>
        </is>
      </c>
      <c r="B53" s="10" t="inlineStr">
        <is>
          <t>WY-0170-01</t>
        </is>
      </c>
      <c r="C53" s="10" t="inlineStr"/>
      <c r="D53" s="10" t="inlineStr">
        <is>
          <t>Umrah Supermarket</t>
        </is>
      </c>
      <c r="E53" s="10" t="inlineStr">
        <is>
          <t>Independent Supermarket</t>
        </is>
      </c>
      <c r="F53" s="10" t="inlineStr">
        <is>
          <t>South Asian, Middle Eastern and African foods supermarket</t>
        </is>
      </c>
      <c r="G53" s="10" t="inlineStr">
        <is>
          <t>Independent</t>
        </is>
      </c>
      <c r="H53" s="10" t="inlineStr">
        <is>
          <t>1</t>
        </is>
      </c>
      <c r="I53" s="10" t="inlineStr">
        <is>
          <t>Trinity Street</t>
        </is>
      </c>
      <c r="J53" s="10" t="inlineStr">
        <is>
          <t>Huddersfield</t>
        </is>
      </c>
      <c r="K53" s="10" t="inlineStr"/>
      <c r="L53" s="10" t="inlineStr"/>
      <c r="M53" s="10" t="inlineStr"/>
      <c r="N53" s="10" t="inlineStr"/>
      <c r="O53" s="10" t="inlineStr"/>
      <c r="P53" s="10" t="inlineStr">
        <is>
          <t>https://www.facebook.com/p/Umrah-Supermarket-Huddersfield-61555683256072/</t>
        </is>
      </c>
      <c r="Q53" s="10" t="inlineStr"/>
      <c r="R53" s="10" t="inlineStr"/>
      <c r="S53" s="10" t="inlineStr"/>
      <c r="T53" s="10" t="inlineStr"/>
      <c r="U53" s="10" t="inlineStr"/>
      <c r="V53" s="10" t="inlineStr">
        <is>
          <t>Medium</t>
        </is>
      </c>
      <c r="W53" s="10" t="inlineStr">
        <is>
          <t>Independent retailer; Relevant category; Social presence</t>
        </is>
      </c>
      <c r="X53" s="10" t="inlineStr">
        <is>
          <t>Not Found</t>
        </is>
      </c>
      <c r="Y53" s="10" t="inlineStr">
        <is>
          <t>Not Found</t>
        </is>
      </c>
      <c r="Z53" s="10" t="inlineStr">
        <is>
          <t>Low</t>
        </is>
      </c>
      <c r="AA53" s="10" t="inlineStr">
        <is>
          <t>Requires Verification</t>
        </is>
      </c>
      <c r="AB53" s="10" t="inlineStr">
        <is>
          <t>https://www.facebook.com/p/Umrah-Supermarket-Huddersfield-61555683256072/</t>
        </is>
      </c>
    </row>
    <row r="54">
      <c r="A54" s="5" t="inlineStr">
        <is>
          <t>UK-000296</t>
        </is>
      </c>
      <c r="B54" s="5" t="inlineStr">
        <is>
          <t>UK-000296-01</t>
        </is>
      </c>
      <c r="C54" s="5" t="inlineStr"/>
      <c r="D54" s="5" t="inlineStr">
        <is>
          <t>Weetons Food Hall</t>
        </is>
      </c>
      <c r="E54" s="5" t="inlineStr">
        <is>
          <t>Independent Supermarket</t>
        </is>
      </c>
      <c r="F54" s="5" t="inlineStr">
        <is>
          <t>Food hall, deli &amp; restaurant</t>
        </is>
      </c>
      <c r="G54" s="5" t="inlineStr">
        <is>
          <t>Independent</t>
        </is>
      </c>
      <c r="H54" s="5" t="inlineStr">
        <is>
          <t>1</t>
        </is>
      </c>
      <c r="I54" s="5" t="inlineStr">
        <is>
          <t>Leeds Road</t>
        </is>
      </c>
      <c r="J54" s="5" t="inlineStr">
        <is>
          <t>Harrogate</t>
        </is>
      </c>
      <c r="K54" s="5" t="inlineStr">
        <is>
          <t>HG3 1EW</t>
        </is>
      </c>
      <c r="L54" s="5" t="inlineStr">
        <is>
          <t>01423 507100</t>
        </is>
      </c>
      <c r="M54" s="5" t="inlineStr"/>
      <c r="N54" s="5" t="inlineStr"/>
      <c r="O54" s="5" t="inlineStr">
        <is>
          <t>https://weetons.co.uk/</t>
        </is>
      </c>
      <c r="P54" s="5" t="inlineStr"/>
      <c r="Q54" s="5" t="inlineStr"/>
      <c r="R54" s="5" t="inlineStr"/>
      <c r="S54" s="5" t="inlineStr"/>
      <c r="T54" s="5" t="inlineStr"/>
      <c r="U54" s="5" t="inlineStr"/>
      <c r="V54" s="5" t="inlineStr">
        <is>
          <t>Medium</t>
        </is>
      </c>
      <c r="W54" s="5" t="inlineStr">
        <is>
          <t>Independent retailer; Relevant category; Active website; Phone verified on official website</t>
        </is>
      </c>
      <c r="X54" s="5" t="inlineStr">
        <is>
          <t>Verified on official website</t>
        </is>
      </c>
      <c r="Y54" s="5" t="inlineStr">
        <is>
          <t>Website Found</t>
        </is>
      </c>
      <c r="Z54" s="5" t="inlineStr">
        <is>
          <t>Medium</t>
        </is>
      </c>
      <c r="AA54" s="5" t="inlineStr">
        <is>
          <t>Requires Verification</t>
        </is>
      </c>
      <c r="AB54" s="5" t="inlineStr">
        <is>
          <t>https://weetons.co.uk/policies/contact-information</t>
        </is>
      </c>
    </row>
    <row r="55">
      <c r="A55" s="10" t="inlineStr">
        <is>
          <t>WY-0188</t>
        </is>
      </c>
      <c r="B55" s="10" t="inlineStr">
        <is>
          <t>WY-0188-01</t>
        </is>
      </c>
      <c r="C55" s="10" t="inlineStr"/>
      <c r="D55" s="10" t="inlineStr">
        <is>
          <t>White Rose Catering</t>
        </is>
      </c>
      <c r="E55" s="10" t="inlineStr">
        <is>
          <t>Cash &amp; Carry</t>
        </is>
      </c>
      <c r="F55" s="10" t="inlineStr">
        <is>
          <t>Catering cash and carry wholesaler</t>
        </is>
      </c>
      <c r="G55" s="10" t="inlineStr">
        <is>
          <t>Independent</t>
        </is>
      </c>
      <c r="H55" s="10" t="inlineStr">
        <is>
          <t>1</t>
        </is>
      </c>
      <c r="I55" s="10" t="inlineStr">
        <is>
          <t>225 Ravenshouse Road</t>
        </is>
      </c>
      <c r="J55" s="10" t="inlineStr">
        <is>
          <t>Dewsbury</t>
        </is>
      </c>
      <c r="K55" s="10" t="inlineStr">
        <is>
          <t>WF13 3QU</t>
        </is>
      </c>
      <c r="L55" s="10" t="inlineStr">
        <is>
          <t>01924 467054</t>
        </is>
      </c>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Verified directory</t>
        </is>
      </c>
      <c r="Y55" s="10" t="inlineStr">
        <is>
          <t>Not Found</t>
        </is>
      </c>
      <c r="Z55" s="10" t="inlineStr">
        <is>
          <t>Medium</t>
        </is>
      </c>
      <c r="AA55" s="10" t="inlineStr">
        <is>
          <t>Requires Verification</t>
        </is>
      </c>
      <c r="AB55" s="10" t="inlineStr">
        <is>
          <t>https://www.192.com/atoz/business/dewsbury-wf13/cash-and-carry-wholesalers/white-rose-catering-ltd/1cd73791cf719e65496fe8e9a0a2d1c534c879e1/ml/</t>
        </is>
      </c>
    </row>
    <row r="56">
      <c r="A56" s="5" t="inlineStr">
        <is>
          <t>WY-0189</t>
        </is>
      </c>
      <c r="B56" s="5" t="inlineStr">
        <is>
          <t>WY-0189-01</t>
        </is>
      </c>
      <c r="C56" s="5" t="inlineStr"/>
      <c r="D56" s="5" t="inlineStr">
        <is>
          <t>Wigton Cash &amp; Carry (Wigton Distribution)</t>
        </is>
      </c>
      <c r="E56" s="5" t="inlineStr">
        <is>
          <t>Cash &amp; Carry</t>
        </is>
      </c>
      <c r="F56" s="5" t="inlineStr">
        <is>
          <t>Food and dessert wholesaler, open to the public</t>
        </is>
      </c>
      <c r="G56" s="5" t="inlineStr">
        <is>
          <t>Independent</t>
        </is>
      </c>
      <c r="H56" s="5" t="inlineStr">
        <is>
          <t>1</t>
        </is>
      </c>
      <c r="I56" s="5" t="inlineStr">
        <is>
          <t>27 Lockwood Way</t>
        </is>
      </c>
      <c r="J56" s="5" t="inlineStr">
        <is>
          <t>Leeds</t>
        </is>
      </c>
      <c r="K56" s="5" t="inlineStr">
        <is>
          <t>LS11 5TH</t>
        </is>
      </c>
      <c r="L56" s="5" t="inlineStr">
        <is>
          <t>07833 840327</t>
        </is>
      </c>
      <c r="M56" s="5" t="inlineStr"/>
      <c r="N56" s="5" t="inlineStr"/>
      <c r="O56" s="5" t="inlineStr">
        <is>
          <t>http://wigtonfoodservice.co.uk/</t>
        </is>
      </c>
      <c r="P56" s="5" t="inlineStr">
        <is>
          <t>https://www.facebook.com/p/Wigton-Distribution-61573554642844/</t>
        </is>
      </c>
      <c r="Q56" s="5" t="inlineStr">
        <is>
          <t>https://www.instagram.com/wigtonwholesale/</t>
        </is>
      </c>
      <c r="R56" s="5" t="inlineStr"/>
      <c r="S56" s="5" t="inlineStr"/>
      <c r="T56" s="5" t="inlineStr">
        <is>
          <t>09821856</t>
        </is>
      </c>
      <c r="U56" s="5" t="inlineStr"/>
      <c r="V56" s="5" t="inlineStr">
        <is>
          <t>Medium</t>
        </is>
      </c>
      <c r="W56" s="5" t="inlineStr">
        <is>
          <t>Independent retailer; Core relevant category; Active website; Social presence</t>
        </is>
      </c>
      <c r="X56" s="5" t="inlineStr">
        <is>
          <t>Unverified</t>
        </is>
      </c>
      <c r="Y56" s="5" t="inlineStr">
        <is>
          <t>Website Found</t>
        </is>
      </c>
      <c r="Z56" s="5" t="inlineStr">
        <is>
          <t>Medium</t>
        </is>
      </c>
      <c r="AA56" s="5" t="inlineStr">
        <is>
          <t>Partially Verified</t>
        </is>
      </c>
      <c r="AB56" s="5" t="inlineStr">
        <is>
          <t>https://find-and-update.company-information.service.gov.uk/company/09821856</t>
        </is>
      </c>
    </row>
  </sheetData>
  <autoFilter ref="A1:AB5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8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41" customWidth="1" min="13" max="13"/>
    <col width="30"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UK-000194</t>
        </is>
      </c>
      <c r="B12" s="5" t="inlineStr">
        <is>
          <t>CRAMVAPE-01</t>
        </is>
      </c>
      <c r="C12" s="5" t="inlineStr">
        <is>
          <t>CRAM Vape</t>
        </is>
      </c>
      <c r="D12" s="5" t="inlineStr">
        <is>
          <t>CRAM Vape</t>
        </is>
      </c>
      <c r="E12" s="5" t="inlineStr">
        <is>
          <t>Vape Shop</t>
        </is>
      </c>
      <c r="F12" s="5" t="inlineStr">
        <is>
          <t>Vape store</t>
        </is>
      </c>
      <c r="G12" s="5" t="inlineStr">
        <is>
          <t>Multi-Site Independent</t>
        </is>
      </c>
      <c r="H12" s="5" t="inlineStr">
        <is>
          <t>2</t>
        </is>
      </c>
      <c r="I12" s="5" t="inlineStr">
        <is>
          <t>190 Ashby Road</t>
        </is>
      </c>
      <c r="J12" s="5" t="inlineStr">
        <is>
          <t>Scunthorpe</t>
        </is>
      </c>
      <c r="K12" s="5" t="inlineStr">
        <is>
          <t>DN16 2AR</t>
        </is>
      </c>
      <c r="L12" s="5" t="inlineStr">
        <is>
          <t>01724 277259</t>
        </is>
      </c>
      <c r="M12" s="5" t="inlineStr"/>
      <c r="N12" s="5" t="inlineStr"/>
      <c r="O12" s="5" t="inlineStr">
        <is>
          <t>https://www.cramvape.co.uk</t>
        </is>
      </c>
      <c r="P12" s="5" t="inlineStr"/>
      <c r="Q12" s="5" t="inlineStr"/>
      <c r="R12" s="5" t="inlineStr"/>
      <c r="S12" s="5" t="inlineStr"/>
      <c r="T12" s="5" t="inlineStr">
        <is>
          <t>07343567</t>
        </is>
      </c>
      <c r="U12" s="5" t="inlineStr"/>
      <c r="V12" s="5" t="inlineStr">
        <is>
          <t>High</t>
        </is>
      </c>
      <c r="W12" s="5" t="inlineStr">
        <is>
          <t>Multi-site retailer; Independent retailer; Core relevant category; Active website</t>
        </is>
      </c>
      <c r="X12" s="5" t="inlineStr">
        <is>
          <t>Verified directory</t>
        </is>
      </c>
      <c r="Y12" s="5" t="inlineStr">
        <is>
          <t>Not Found</t>
        </is>
      </c>
      <c r="Z12" s="5" t="inlineStr">
        <is>
          <t>Medium</t>
        </is>
      </c>
      <c r="AA12" s="5" t="inlineStr">
        <is>
          <t>Verified (website + Companies House)</t>
        </is>
      </c>
      <c r="AB12" s="5" t="inlineStr">
        <is>
          <t>https://www.cramvape.co.uk/pages/contact-us</t>
        </is>
      </c>
    </row>
    <row r="13">
      <c r="A13" s="10" t="inlineStr">
        <is>
          <t>WY-0011</t>
        </is>
      </c>
      <c r="B13" s="10" t="inlineStr">
        <is>
          <t>CHEAPASMOK-01</t>
        </is>
      </c>
      <c r="C13" s="10" t="inlineStr">
        <is>
          <t>Cheapasmokes</t>
        </is>
      </c>
      <c r="D13" s="10" t="inlineStr">
        <is>
          <t>Cheapasmokes</t>
        </is>
      </c>
      <c r="E13" s="10" t="inlineStr">
        <is>
          <t>Tobacco Specialist</t>
        </is>
      </c>
      <c r="F13" s="10" t="inlineStr">
        <is>
          <t>Cut-price cigarette, tobacco and cigar specialist</t>
        </is>
      </c>
      <c r="G13" s="10" t="inlineStr">
        <is>
          <t>Regional Chain</t>
        </is>
      </c>
      <c r="H13" s="10" t="inlineStr"/>
      <c r="I13" s="10" t="inlineStr">
        <is>
          <t>Unit 24, Borough Market</t>
        </is>
      </c>
      <c r="J13" s="10" t="inlineStr">
        <is>
          <t>Halifax</t>
        </is>
      </c>
      <c r="K13" s="10" t="inlineStr">
        <is>
          <t>HX1 1DZ</t>
        </is>
      </c>
      <c r="L13" s="10" t="inlineStr">
        <is>
          <t>01422 355554</t>
        </is>
      </c>
      <c r="M13" s="10" t="inlineStr"/>
      <c r="N13" s="10" t="inlineStr">
        <is>
          <t>sales@cheapasmokes.com</t>
        </is>
      </c>
      <c r="O13" s="10" t="inlineStr">
        <is>
          <t>https://www.cheapasmokes.com/pages/cheapasmokes-halifax</t>
        </is>
      </c>
      <c r="P13" s="10" t="inlineStr"/>
      <c r="Q13" s="10" t="inlineStr"/>
      <c r="R13" s="10" t="inlineStr"/>
      <c r="S13" s="10" t="inlineStr"/>
      <c r="T13" s="10" t="inlineStr"/>
      <c r="U13" s="10" t="inlineStr"/>
      <c r="V13" s="10" t="inlineStr">
        <is>
          <t>High</t>
        </is>
      </c>
      <c r="W13" s="10" t="inlineStr">
        <is>
          <t>Multi-site retailer; Core relevant category; Public trade/sales contact; Active website</t>
        </is>
      </c>
      <c r="X13" s="10" t="inlineStr">
        <is>
          <t>Verified directory</t>
        </is>
      </c>
      <c r="Y13" s="10" t="inlineStr">
        <is>
          <t>Website Found</t>
        </is>
      </c>
      <c r="Z13" s="10" t="inlineStr">
        <is>
          <t>Medium</t>
        </is>
      </c>
      <c r="AA13" s="10" t="inlineStr">
        <is>
          <t>Partially Verified</t>
        </is>
      </c>
      <c r="AB13" s="10" t="inlineStr">
        <is>
          <t>https://www.cheapasmokes.com/pages/cheapasmokes-halifax</t>
        </is>
      </c>
    </row>
    <row r="14">
      <c r="A14" s="5" t="inlineStr">
        <is>
          <t>UK-000195</t>
        </is>
      </c>
      <c r="B14" s="5" t="inlineStr">
        <is>
          <t>COSTCUTTER-01</t>
        </is>
      </c>
      <c r="C14" s="5" t="inlineStr">
        <is>
          <t>Costcutter</t>
        </is>
      </c>
      <c r="D14" s="5" t="inlineStr">
        <is>
          <t>Costcutter Tadcaster</t>
        </is>
      </c>
      <c r="E14" s="5" t="inlineStr">
        <is>
          <t>Convenience Store</t>
        </is>
      </c>
      <c r="F14" s="5" t="inlineStr">
        <is>
          <t>Symbol-group convenience store</t>
        </is>
      </c>
      <c r="G14" s="5" t="inlineStr">
        <is>
          <t>Franchise / Symbol Group</t>
        </is>
      </c>
      <c r="H14" s="5" t="inlineStr">
        <is>
          <t>1</t>
        </is>
      </c>
      <c r="I14" s="5" t="inlineStr"/>
      <c r="J14" s="5" t="inlineStr">
        <is>
          <t>Tadcaster</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https://www.yorkshire.com/tadcaster/shopping/corner-shops/costcutter-16</t>
        </is>
      </c>
    </row>
    <row r="15">
      <c r="A15" s="10" t="inlineStr">
        <is>
          <t>WY-0012</t>
        </is>
      </c>
      <c r="B15" s="10" t="inlineStr">
        <is>
          <t>DOMINIQUEL-01</t>
        </is>
      </c>
      <c r="C15" s="10" t="inlineStr">
        <is>
          <t>Dominique London Group / C.Gars Ltd</t>
        </is>
      </c>
      <c r="D15" s="10" t="inlineStr">
        <is>
          <t>C.Gars Leeds (Dominique London)</t>
        </is>
      </c>
      <c r="E15" s="10" t="inlineStr">
        <is>
          <t>Tobacco Specialist</t>
        </is>
      </c>
      <c r="F15" s="10" t="inlineStr">
        <is>
          <t>Havana cigar specialist - cigars, whisky, accessories</t>
        </is>
      </c>
      <c r="G15" s="10" t="inlineStr">
        <is>
          <t>National Chain</t>
        </is>
      </c>
      <c r="H15" s="10" t="inlineStr"/>
      <c r="I15" s="10" t="inlineStr">
        <is>
          <t>22 Thornton's Arcade</t>
        </is>
      </c>
      <c r="J15" s="10" t="inlineStr">
        <is>
          <t>Leeds</t>
        </is>
      </c>
      <c r="K15" s="10" t="inlineStr">
        <is>
          <t>LS1 6LQ</t>
        </is>
      </c>
      <c r="L15" s="10" t="inlineStr">
        <is>
          <t>0113 244 5556</t>
        </is>
      </c>
      <c r="M15" s="10" t="inlineStr"/>
      <c r="N15" s="10" t="inlineStr"/>
      <c r="O15" s="10" t="inlineStr">
        <is>
          <t>https://www.cgarsltd.co.uk/</t>
        </is>
      </c>
      <c r="P15" s="10" t="inlineStr">
        <is>
          <t>https://www.facebook.com/DominiqueLDN/</t>
        </is>
      </c>
      <c r="Q15" s="10" t="inlineStr"/>
      <c r="R15" s="10" t="inlineStr"/>
      <c r="S15" s="10" t="inlineStr"/>
      <c r="T15" s="10" t="inlineStr"/>
      <c r="U15" s="10" t="inlineStr"/>
      <c r="V15" s="10" t="inlineStr">
        <is>
          <t>High</t>
        </is>
      </c>
      <c r="W15" s="10" t="inlineStr">
        <is>
          <t>Multi-site retailer; Core relevant category; Active website; Social presence</t>
        </is>
      </c>
      <c r="X15" s="10" t="inlineStr">
        <is>
          <t>Verified directory</t>
        </is>
      </c>
      <c r="Y15" s="10" t="inlineStr">
        <is>
          <t>Website Found</t>
        </is>
      </c>
      <c r="Z15" s="10" t="inlineStr">
        <is>
          <t>Medium</t>
        </is>
      </c>
      <c r="AA15" s="10" t="inlineStr">
        <is>
          <t>Requires Verification</t>
        </is>
      </c>
      <c r="AB15" s="10" t="inlineStr">
        <is>
          <t>https://www.cgarsltd.co.uk/new-cgars-ltd-store-leeds-a-521.html</t>
        </is>
      </c>
    </row>
    <row r="16">
      <c r="A16" s="5" t="inlineStr">
        <is>
          <t>WY-0013</t>
        </is>
      </c>
      <c r="B16" s="5" t="inlineStr">
        <is>
          <t>ECIGNVAPE-01</t>
        </is>
      </c>
      <c r="C16" s="5" t="inlineStr">
        <is>
          <t>Ecig N Vape</t>
        </is>
      </c>
      <c r="D16" s="5" t="inlineStr">
        <is>
          <t>Ecig N Vape South Elmsall</t>
        </is>
      </c>
      <c r="E16" s="5" t="inlineStr">
        <is>
          <t>Vape Shop</t>
        </is>
      </c>
      <c r="F16" s="5" t="inlineStr">
        <is>
          <t>Vape retailer</t>
        </is>
      </c>
      <c r="G16" s="5" t="inlineStr">
        <is>
          <t>Multi-Site Independent</t>
        </is>
      </c>
      <c r="H16" s="5" t="inlineStr">
        <is>
          <t>2</t>
        </is>
      </c>
      <c r="I16" s="5" t="inlineStr">
        <is>
          <t>13 Barnsley Road</t>
        </is>
      </c>
      <c r="J16" s="5" t="inlineStr">
        <is>
          <t>South Elmsall</t>
        </is>
      </c>
      <c r="K16" s="5" t="inlineStr">
        <is>
          <t>WF9 2RJ</t>
        </is>
      </c>
      <c r="L16" s="5" t="inlineStr">
        <is>
          <t>01977 647267</t>
        </is>
      </c>
      <c r="M16" s="5" t="inlineStr"/>
      <c r="N16" s="5" t="inlineStr"/>
      <c r="O16" s="5" t="inlineStr"/>
      <c r="P16" s="5" t="inlineStr">
        <is>
          <t>https://www.facebook.com/Ecignvapesouthelmsall/</t>
        </is>
      </c>
      <c r="Q16" s="5" t="inlineStr"/>
      <c r="R16" s="5" t="inlineStr"/>
      <c r="S16" s="5" t="inlineStr"/>
      <c r="T16" s="5" t="inlineStr">
        <is>
          <t>12772350</t>
        </is>
      </c>
      <c r="U16" s="5" t="inlineStr"/>
      <c r="V16" s="5" t="inlineStr">
        <is>
          <t>High</t>
        </is>
      </c>
      <c r="W16" s="5" t="inlineStr">
        <is>
          <t>Multi-site retailer; Independent retailer; Core relevant category; Social presence</t>
        </is>
      </c>
      <c r="X16" s="5" t="inlineStr">
        <is>
          <t>Verified directory</t>
        </is>
      </c>
      <c r="Y16" s="5" t="inlineStr">
        <is>
          <t>Not Found</t>
        </is>
      </c>
      <c r="Z16" s="5" t="inlineStr">
        <is>
          <t>Medium</t>
        </is>
      </c>
      <c r="AA16" s="5" t="inlineStr">
        <is>
          <t>Requires Verification</t>
        </is>
      </c>
      <c r="AB16" s="5" t="inlineStr">
        <is>
          <t>https://find-and-update.company-information.service.gov.uk/company/12772350</t>
        </is>
      </c>
    </row>
    <row r="17">
      <c r="A17" s="10" t="inlineStr">
        <is>
          <t>UK-000196</t>
        </is>
      </c>
      <c r="B17" s="10" t="inlineStr">
        <is>
          <t>ELECTRICVA-01</t>
        </is>
      </c>
      <c r="C17" s="10" t="inlineStr">
        <is>
          <t>Electric Vape</t>
        </is>
      </c>
      <c r="D17" s="10" t="inlineStr">
        <is>
          <t>Electric Vape Rotherham</t>
        </is>
      </c>
      <c r="E17" s="10" t="inlineStr">
        <is>
          <t>Vape Shop</t>
        </is>
      </c>
      <c r="F17" s="10" t="inlineStr">
        <is>
          <t>Market-stall vape shop</t>
        </is>
      </c>
      <c r="G17" s="10" t="inlineStr">
        <is>
          <t>Multi-Site Independent</t>
        </is>
      </c>
      <c r="H17" s="10" t="inlineStr">
        <is>
          <t>1</t>
        </is>
      </c>
      <c r="I17" s="10" t="inlineStr">
        <is>
          <t>Units 53 and 55, Rotherham Centenary Indoor Market (Ground Floor)</t>
        </is>
      </c>
      <c r="J17" s="10" t="inlineStr">
        <is>
          <t>Rotherham</t>
        </is>
      </c>
      <c r="K17" s="10" t="inlineStr">
        <is>
          <t>S65 1EL</t>
        </is>
      </c>
      <c r="L17" s="10" t="inlineStr"/>
      <c r="M17" s="10" t="inlineStr"/>
      <c r="N17" s="10" t="inlineStr"/>
      <c r="O17" s="10" t="inlineStr">
        <is>
          <t>https://www.electricvape.co.uk/rotherham-shop</t>
        </is>
      </c>
      <c r="P17" s="10" t="inlineStr"/>
      <c r="Q17" s="10" t="inlineStr"/>
      <c r="R17" s="10" t="inlineStr"/>
      <c r="S17" s="10" t="inlineStr"/>
      <c r="T17" s="10" t="inlineStr"/>
      <c r="U17" s="10" t="inlineStr"/>
      <c r="V17" s="10" t="inlineStr">
        <is>
          <t>High</t>
        </is>
      </c>
      <c r="W17" s="10" t="inlineStr">
        <is>
          <t>Multi-site retailer; Independent retailer; Core relevant category; Active website</t>
        </is>
      </c>
      <c r="X17" s="10" t="inlineStr">
        <is>
          <t>Not Found</t>
        </is>
      </c>
      <c r="Y17" s="10" t="inlineStr">
        <is>
          <t>Website Found</t>
        </is>
      </c>
      <c r="Z17" s="10" t="inlineStr">
        <is>
          <t>Medium</t>
        </is>
      </c>
      <c r="AA17" s="10" t="inlineStr">
        <is>
          <t>Requires Verification</t>
        </is>
      </c>
      <c r="AB17" s="10" t="inlineStr">
        <is>
          <t>https://www.electricvape.co.uk/rotherham-shop</t>
        </is>
      </c>
    </row>
    <row r="18">
      <c r="A18" s="5" t="inlineStr">
        <is>
          <t>UK-000197</t>
        </is>
      </c>
      <c r="B18" s="5" t="inlineStr">
        <is>
          <t>ELECTRICVA-02</t>
        </is>
      </c>
      <c r="C18" s="5" t="inlineStr">
        <is>
          <t>Electric Vape</t>
        </is>
      </c>
      <c r="D18" s="5" t="inlineStr">
        <is>
          <t>Electric Vaper Barnsley</t>
        </is>
      </c>
      <c r="E18" s="5" t="inlineStr">
        <is>
          <t>Vape Shop</t>
        </is>
      </c>
      <c r="F18" s="5" t="inlineStr">
        <is>
          <t>Vape shop</t>
        </is>
      </c>
      <c r="G18" s="5" t="inlineStr">
        <is>
          <t>Multi-Site Independent</t>
        </is>
      </c>
      <c r="H18" s="5" t="inlineStr">
        <is>
          <t>1</t>
        </is>
      </c>
      <c r="I18" s="5" t="inlineStr">
        <is>
          <t>11 May Day Green Arcade</t>
        </is>
      </c>
      <c r="J18" s="5" t="inlineStr">
        <is>
          <t>Barnsley</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Core relevant category</t>
        </is>
      </c>
      <c r="X18" s="5" t="inlineStr">
        <is>
          <t>Not Found</t>
        </is>
      </c>
      <c r="Y18" s="5" t="inlineStr">
        <is>
          <t>Not Found</t>
        </is>
      </c>
      <c r="Z18" s="5" t="inlineStr">
        <is>
          <t>Low</t>
        </is>
      </c>
      <c r="AA18" s="5" t="inlineStr">
        <is>
          <t>Requires Verification</t>
        </is>
      </c>
      <c r="AB18" s="5" t="inlineStr">
        <is>
          <t>https://ecigdirectory.co.uk/vape-shop/listing/electric-vaper-barnsley</t>
        </is>
      </c>
    </row>
    <row r="19">
      <c r="A19" s="10" t="inlineStr">
        <is>
          <t>UK-000198</t>
        </is>
      </c>
      <c r="B19" s="10" t="inlineStr">
        <is>
          <t>EZIVAPE-01</t>
        </is>
      </c>
      <c r="C19" s="10" t="inlineStr">
        <is>
          <t>Ezi Vape</t>
        </is>
      </c>
      <c r="D19" s="10" t="inlineStr">
        <is>
          <t>Ezi Vape Skipton</t>
        </is>
      </c>
      <c r="E19" s="10" t="inlineStr">
        <is>
          <t>Vape Shop</t>
        </is>
      </c>
      <c r="F19" s="10" t="inlineStr">
        <is>
          <t>Vape kits, e-liquids &amp; disposables</t>
        </is>
      </c>
      <c r="G19" s="10" t="inlineStr">
        <is>
          <t>Multi-Site Independent</t>
        </is>
      </c>
      <c r="H19" s="10" t="inlineStr">
        <is>
          <t>3</t>
        </is>
      </c>
      <c r="I19" s="10" t="inlineStr">
        <is>
          <t>25 High Street</t>
        </is>
      </c>
      <c r="J19" s="10" t="inlineStr">
        <is>
          <t>Skipton</t>
        </is>
      </c>
      <c r="K19" s="10" t="inlineStr"/>
      <c r="L19" s="10" t="inlineStr">
        <is>
          <t>07967 075860</t>
        </is>
      </c>
      <c r="M19" s="10" t="inlineStr"/>
      <c r="N19" s="10" t="inlineStr"/>
      <c r="O19" s="10" t="inlineStr">
        <is>
          <t>https://www.ezi-vape.co.uk/</t>
        </is>
      </c>
      <c r="P19" s="10" t="inlineStr">
        <is>
          <t>https://www.facebook.com/EziVapour/</t>
        </is>
      </c>
      <c r="Q19" s="10" t="inlineStr"/>
      <c r="R19" s="10" t="inlineStr"/>
      <c r="S19" s="10" t="inlineStr"/>
      <c r="T19" s="10" t="inlineStr"/>
      <c r="U19" s="10" t="inlineStr"/>
      <c r="V19" s="10" t="inlineStr">
        <is>
          <t>High</t>
        </is>
      </c>
      <c r="W19" s="10" t="inlineStr">
        <is>
          <t>Multi-site retailer; Independent retailer; Core relevant category; Active website; Social presence</t>
        </is>
      </c>
      <c r="X19" s="10" t="inlineStr">
        <is>
          <t>Verified directory</t>
        </is>
      </c>
      <c r="Y19" s="10" t="inlineStr">
        <is>
          <t>Website Found</t>
        </is>
      </c>
      <c r="Z19" s="10" t="inlineStr">
        <is>
          <t>Low</t>
        </is>
      </c>
      <c r="AA19" s="10" t="inlineStr">
        <is>
          <t>Requires Verification</t>
        </is>
      </c>
      <c r="AB19" s="10" t="inlineStr">
        <is>
          <t>https://www.ezi-vape.co.uk/</t>
        </is>
      </c>
    </row>
    <row r="20">
      <c r="A20" s="5" t="inlineStr">
        <is>
          <t>UK-000199</t>
        </is>
      </c>
      <c r="B20" s="5" t="inlineStr">
        <is>
          <t>FOODPLUS-01</t>
        </is>
      </c>
      <c r="C20" s="5" t="inlineStr">
        <is>
          <t>Food Plus</t>
        </is>
      </c>
      <c r="D20" s="5" t="inlineStr">
        <is>
          <t>Food Plus Hexthorpe (Polski Sklep)</t>
        </is>
      </c>
      <c r="E20" s="5" t="inlineStr">
        <is>
          <t>Independent Supermarket</t>
        </is>
      </c>
      <c r="F20" s="5" t="inlineStr">
        <is>
          <t>Polish / European grocery store</t>
        </is>
      </c>
      <c r="G20" s="5" t="inlineStr">
        <is>
          <t>Franchise / Symbol Group</t>
        </is>
      </c>
      <c r="H20" s="5" t="inlineStr">
        <is>
          <t>1</t>
        </is>
      </c>
      <c r="I20" s="5" t="inlineStr"/>
      <c r="J20" s="5" t="inlineStr">
        <is>
          <t>Doncaster</t>
        </is>
      </c>
      <c r="K20" s="5" t="inlineStr">
        <is>
          <t>DN4 0BD</t>
        </is>
      </c>
      <c r="L20" s="5" t="inlineStr"/>
      <c r="M20" s="5" t="inlineStr"/>
      <c r="N20" s="5" t="inlineStr"/>
      <c r="O20" s="5" t="inlineStr">
        <is>
          <t>https://www.foodplus.eu/</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Not Found</t>
        </is>
      </c>
      <c r="Y20" s="5" t="inlineStr">
        <is>
          <t>Website Found</t>
        </is>
      </c>
      <c r="Z20" s="5" t="inlineStr">
        <is>
          <t>Low</t>
        </is>
      </c>
      <c r="AA20" s="5" t="inlineStr">
        <is>
          <t>Requires Verification</t>
        </is>
      </c>
      <c r="AB20" s="5" t="inlineStr">
        <is>
          <t>https://www.foodplus.eu/en/map/food-plus-polski-sklep-hexthorpe-dn4-0bd-doncaster</t>
        </is>
      </c>
    </row>
    <row r="21">
      <c r="A21" s="10" t="inlineStr">
        <is>
          <t>UK-000200</t>
        </is>
      </c>
      <c r="B21" s="10" t="inlineStr">
        <is>
          <t>FOODPLUS-02</t>
        </is>
      </c>
      <c r="C21" s="10" t="inlineStr">
        <is>
          <t>Food Plus</t>
        </is>
      </c>
      <c r="D21" s="10" t="inlineStr">
        <is>
          <t>Food Plus Rotherham (Polski Sklep)</t>
        </is>
      </c>
      <c r="E21" s="10" t="inlineStr">
        <is>
          <t>Independent Supermarket</t>
        </is>
      </c>
      <c r="F21" s="10" t="inlineStr">
        <is>
          <t>Polish / European grocery store</t>
        </is>
      </c>
      <c r="G21" s="10" t="inlineStr">
        <is>
          <t>Franchise / Symbol Group</t>
        </is>
      </c>
      <c r="H21" s="10" t="inlineStr">
        <is>
          <t>1</t>
        </is>
      </c>
      <c r="I21" s="10" t="inlineStr"/>
      <c r="J21" s="10" t="inlineStr">
        <is>
          <t>Rotherham</t>
        </is>
      </c>
      <c r="K21" s="10" t="inlineStr"/>
      <c r="L21" s="10" t="inlineStr"/>
      <c r="M21" s="10" t="inlineStr"/>
      <c r="N21" s="10" t="inlineStr"/>
      <c r="O21" s="10" t="inlineStr">
        <is>
          <t>https://www.foodplus.eu/</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Not Found</t>
        </is>
      </c>
      <c r="Y21" s="10" t="inlineStr">
        <is>
          <t>Website Found</t>
        </is>
      </c>
      <c r="Z21" s="10" t="inlineStr">
        <is>
          <t>Low</t>
        </is>
      </c>
      <c r="AA21" s="10" t="inlineStr">
        <is>
          <t>Requires Verification</t>
        </is>
      </c>
      <c r="AB21" s="10" t="inlineStr">
        <is>
          <t>https://www.yorkshire.com/rotherham/shopping/grocers</t>
        </is>
      </c>
    </row>
    <row r="22">
      <c r="A22" s="5" t="inlineStr">
        <is>
          <t>WY-0014</t>
        </is>
      </c>
      <c r="B22" s="5" t="inlineStr">
        <is>
          <t>GTNEWS-01</t>
        </is>
      </c>
      <c r="C22" s="5" t="inlineStr">
        <is>
          <t>GT News</t>
        </is>
      </c>
      <c r="D22" s="5" t="inlineStr">
        <is>
          <t>GT News (White Rose Shopping Centre)</t>
        </is>
      </c>
      <c r="E22" s="5" t="inlineStr">
        <is>
          <t>Newsagent</t>
        </is>
      </c>
      <c r="F22" s="5" t="inlineStr">
        <is>
          <t>Shopping-centre newsagent and convenience kiosk</t>
        </is>
      </c>
      <c r="G22" s="5" t="inlineStr">
        <is>
          <t>Multi-Site Independent</t>
        </is>
      </c>
      <c r="H22" s="5" t="inlineStr">
        <is>
          <t>2</t>
        </is>
      </c>
      <c r="I22" s="5" t="inlineStr">
        <is>
          <t>Unit 28E Lower Level, White Rose Shopping Centre</t>
        </is>
      </c>
      <c r="J22" s="5" t="inlineStr">
        <is>
          <t>Leeds</t>
        </is>
      </c>
      <c r="K22" s="5" t="inlineStr">
        <is>
          <t>LS11 8LU</t>
        </is>
      </c>
      <c r="L22" s="5" t="inlineStr">
        <is>
          <t>0113 228 6446</t>
        </is>
      </c>
      <c r="M22" s="5" t="inlineStr"/>
      <c r="N22" s="5" t="inlineStr"/>
      <c r="O22" s="5" t="inlineStr">
        <is>
          <t>http://www.gtnews.co.uk/</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Verified directory</t>
        </is>
      </c>
      <c r="Y22" s="5" t="inlineStr">
        <is>
          <t>Website Found</t>
        </is>
      </c>
      <c r="Z22" s="5" t="inlineStr">
        <is>
          <t>Medium</t>
        </is>
      </c>
      <c r="AA22" s="5" t="inlineStr">
        <is>
          <t>Requires Verification</t>
        </is>
      </c>
      <c r="AB22" s="5" t="inlineStr">
        <is>
          <t>https://www.leedsonline.co.uk/info/17974/</t>
        </is>
      </c>
    </row>
    <row r="23">
      <c r="A23" s="10" t="inlineStr">
        <is>
          <t>WY-0015</t>
        </is>
      </c>
      <c r="B23" s="10" t="inlineStr">
        <is>
          <t>KPMVAPES-01</t>
        </is>
      </c>
      <c r="C23" s="10" t="inlineStr">
        <is>
          <t>KPM Vapes</t>
        </is>
      </c>
      <c r="D23" s="10" t="inlineStr">
        <is>
          <t>KPM Vapes</t>
        </is>
      </c>
      <c r="E23" s="10" t="inlineStr">
        <is>
          <t>Vape Shop</t>
        </is>
      </c>
      <c r="F23" s="10" t="inlineStr">
        <is>
          <t>Vape retail and wholesale</t>
        </is>
      </c>
      <c r="G23" s="10" t="inlineStr">
        <is>
          <t>Multi-Site Independent</t>
        </is>
      </c>
      <c r="H23" s="10" t="inlineStr">
        <is>
          <t>2</t>
        </is>
      </c>
      <c r="I23" s="10" t="inlineStr">
        <is>
          <t>87/89 Wakefield Road</t>
        </is>
      </c>
      <c r="J23" s="10" t="inlineStr">
        <is>
          <t>Huddersfield</t>
        </is>
      </c>
      <c r="K23" s="10" t="inlineStr">
        <is>
          <t>HD5 9AB</t>
        </is>
      </c>
      <c r="L23" s="10" t="inlineStr">
        <is>
          <t>07463 530406</t>
        </is>
      </c>
      <c r="M23" s="10" t="inlineStr">
        <is>
          <t>kpmvapes@outlook.com</t>
        </is>
      </c>
      <c r="N23" s="10" t="inlineStr"/>
      <c r="O23" s="10" t="inlineStr"/>
      <c r="P23" s="10" t="inlineStr">
        <is>
          <t>https://www.facebook.com/people/KPM-Vapes/61556161391449/</t>
        </is>
      </c>
      <c r="Q23" s="10" t="inlineStr">
        <is>
          <t>https://www.instagram.com/kpmvapes/</t>
        </is>
      </c>
      <c r="R23" s="10" t="inlineStr"/>
      <c r="S23" s="10" t="inlineStr"/>
      <c r="T23" s="10" t="inlineStr"/>
      <c r="U23" s="10" t="inlineStr"/>
      <c r="V23" s="10" t="inlineStr">
        <is>
          <t>High</t>
        </is>
      </c>
      <c r="W23" s="10" t="inlineStr">
        <is>
          <t>Multi-site retailer; Independent retailer; Core relevant category; Public email available; Social presence</t>
        </is>
      </c>
      <c r="X23" s="10" t="inlineStr">
        <is>
          <t>Verified directory</t>
        </is>
      </c>
      <c r="Y23" s="10" t="inlineStr">
        <is>
          <t>Unverified</t>
        </is>
      </c>
      <c r="Z23" s="10" t="inlineStr">
        <is>
          <t>Medium</t>
        </is>
      </c>
      <c r="AA23" s="10" t="inlineStr">
        <is>
          <t>Requires Verification</t>
        </is>
      </c>
      <c r="AB23" s="10" t="inlineStr">
        <is>
          <t>https://www.facebook.com/people/KPM-Vapes/61556161391449/</t>
        </is>
      </c>
    </row>
    <row r="24">
      <c r="A24" s="5" t="inlineStr">
        <is>
          <t>WY-0016</t>
        </is>
      </c>
      <c r="B24" s="5" t="inlineStr">
        <is>
          <t>KARANRETAI-01</t>
        </is>
      </c>
      <c r="C24" s="5" t="inlineStr">
        <is>
          <t>Karan Retail Ltd</t>
        </is>
      </c>
      <c r="D24" s="5" t="inlineStr">
        <is>
          <t>Chidswell Service Station (Karan Retail)</t>
        </is>
      </c>
      <c r="E24" s="5" t="inlineStr">
        <is>
          <t>Petrol Station / Forecourt</t>
        </is>
      </c>
      <c r="F24" s="5" t="inlineStr">
        <is>
          <t>Forecourt with convenience store</t>
        </is>
      </c>
      <c r="G24" s="5" t="inlineStr">
        <is>
          <t>Multi-Site Independent</t>
        </is>
      </c>
      <c r="H24" s="5" t="inlineStr"/>
      <c r="I24" s="5" t="inlineStr">
        <is>
          <t>Off A653 (Chidswell)</t>
        </is>
      </c>
      <c r="J24" s="5" t="inlineStr">
        <is>
          <t>Dewsbury</t>
        </is>
      </c>
      <c r="K24" s="5" t="inlineStr"/>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https://www.asiantrader.biz/karan-retail-chidswell-service-station-acquisition</t>
        </is>
      </c>
    </row>
    <row r="25">
      <c r="A25" s="10" t="inlineStr">
        <is>
          <t>WY-0017</t>
        </is>
      </c>
      <c r="B25" s="10" t="inlineStr">
        <is>
          <t>MANCHESTER-01</t>
        </is>
      </c>
      <c r="C25" s="10" t="inlineStr">
        <is>
          <t>Manchester Super Stores</t>
        </is>
      </c>
      <c r="D25" s="10" t="inlineStr">
        <is>
          <t>Manchester Superstore (Wakefield)</t>
        </is>
      </c>
      <c r="E25" s="10" t="inlineStr">
        <is>
          <t>Independent Supermarket</t>
        </is>
      </c>
      <c r="F25" s="10" t="inlineStr">
        <is>
          <t>Ethnic / Asian supermarket with halal meat</t>
        </is>
      </c>
      <c r="G25" s="10" t="inlineStr">
        <is>
          <t>Regional Chain</t>
        </is>
      </c>
      <c r="H25" s="10" t="inlineStr"/>
      <c r="I25" s="10" t="inlineStr">
        <is>
          <t>38 Park Lodge Lane</t>
        </is>
      </c>
      <c r="J25" s="10" t="inlineStr">
        <is>
          <t>Wakefield</t>
        </is>
      </c>
      <c r="K25" s="10" t="inlineStr">
        <is>
          <t>WF1 4NL</t>
        </is>
      </c>
      <c r="L25" s="10" t="inlineStr">
        <is>
          <t>01924 369105</t>
        </is>
      </c>
      <c r="M25" s="10" t="inlineStr"/>
      <c r="N25" s="10" t="inlineStr"/>
      <c r="O25" s="10" t="inlineStr">
        <is>
          <t>https://manchestersuperstores.co.uk/store-locations/manchester-super-stores-in-wakefield/</t>
        </is>
      </c>
      <c r="P25" s="10" t="inlineStr">
        <is>
          <t>https://www.facebook.com/p/Manchester-superstore-100067793681757/</t>
        </is>
      </c>
      <c r="Q25" s="10" t="inlineStr"/>
      <c r="R25" s="10" t="inlineStr"/>
      <c r="S25" s="10" t="inlineStr"/>
      <c r="T25" s="10" t="inlineStr">
        <is>
          <t>08447369</t>
        </is>
      </c>
      <c r="U25" s="10" t="inlineStr"/>
      <c r="V25" s="10" t="inlineStr">
        <is>
          <t>Medium</t>
        </is>
      </c>
      <c r="W25" s="10" t="inlineStr">
        <is>
          <t>Multi-site retailer; Relevant category; Active website; Social presence</t>
        </is>
      </c>
      <c r="X25" s="10" t="inlineStr">
        <is>
          <t>Verified directory</t>
        </is>
      </c>
      <c r="Y25" s="10" t="inlineStr">
        <is>
          <t>Website Found</t>
        </is>
      </c>
      <c r="Z25" s="10" t="inlineStr">
        <is>
          <t>Medium</t>
        </is>
      </c>
      <c r="AA25" s="10" t="inlineStr">
        <is>
          <t>Requires Verification</t>
        </is>
      </c>
      <c r="AB25" s="10" t="inlineStr">
        <is>
          <t>https://manchestersuperstores.co.uk/store-locations/manchester-super-stores-in-wakefield/</t>
        </is>
      </c>
    </row>
    <row r="26">
      <c r="A26" s="5" t="inlineStr">
        <is>
          <t>WY-0018</t>
        </is>
      </c>
      <c r="B26" s="5" t="inlineStr">
        <is>
          <t>MANCHESTER-02</t>
        </is>
      </c>
      <c r="C26" s="5" t="inlineStr">
        <is>
          <t>Manchester Super Stores</t>
        </is>
      </c>
      <c r="D26" s="5" t="inlineStr">
        <is>
          <t>Manchester Superstore Bradford</t>
        </is>
      </c>
      <c r="E26" s="5" t="inlineStr">
        <is>
          <t>Independent Supermarket</t>
        </is>
      </c>
      <c r="F26" s="5" t="inlineStr">
        <is>
          <t>Asian / halal superstore</t>
        </is>
      </c>
      <c r="G26" s="5" t="inlineStr">
        <is>
          <t>Multi-Site Independent</t>
        </is>
      </c>
      <c r="H26" s="5" t="inlineStr"/>
      <c r="I26" s="5" t="inlineStr">
        <is>
          <t>Florence Street</t>
        </is>
      </c>
      <c r="J26" s="5" t="inlineStr">
        <is>
          <t>Bradford</t>
        </is>
      </c>
      <c r="K26" s="5" t="inlineStr">
        <is>
          <t>BD3 8EX</t>
        </is>
      </c>
      <c r="L26" s="5" t="inlineStr">
        <is>
          <t>01274 668800</t>
        </is>
      </c>
      <c r="M26" s="5" t="inlineStr">
        <is>
          <t>mssbradford01@gmail.com</t>
        </is>
      </c>
      <c r="N26" s="5" t="inlineStr"/>
      <c r="O26" s="5" t="inlineStr">
        <is>
          <t>https://manchestersuperstores.co.uk/store-locations/manchester-super-stores-in-bradford/</t>
        </is>
      </c>
      <c r="P26" s="5" t="inlineStr">
        <is>
          <t>https://www.facebook.com/p/Manchester-SuperStore-Bradford-100066139307711/</t>
        </is>
      </c>
      <c r="Q26" s="5" t="inlineStr"/>
      <c r="R26" s="5" t="inlineStr"/>
      <c r="S26" s="5" t="inlineStr"/>
      <c r="T26" s="5" t="inlineStr"/>
      <c r="U26" s="5" t="inlineStr"/>
      <c r="V26" s="5" t="inlineStr">
        <is>
          <t>High</t>
        </is>
      </c>
      <c r="W26" s="5" t="inlineStr">
        <is>
          <t>Multi-site retailer; Independent retailer; Relevant category; Public email available; Active website; Social presence</t>
        </is>
      </c>
      <c r="X26" s="5" t="inlineStr">
        <is>
          <t>Verified directory</t>
        </is>
      </c>
      <c r="Y26" s="5" t="inlineStr">
        <is>
          <t>Website Found</t>
        </is>
      </c>
      <c r="Z26" s="5" t="inlineStr">
        <is>
          <t>Medium</t>
        </is>
      </c>
      <c r="AA26" s="5" t="inlineStr">
        <is>
          <t>Partially Verified</t>
        </is>
      </c>
      <c r="AB26" s="5" t="inlineStr">
        <is>
          <t>https://manchestersuperstores.co.uk/store-locations/manchester-super-stores-in-bradford/</t>
        </is>
      </c>
    </row>
    <row r="27">
      <c r="A27" s="10" t="inlineStr">
        <is>
          <t>WY-0019</t>
        </is>
      </c>
      <c r="B27" s="10" t="inlineStr">
        <is>
          <t>MULLACO-01</t>
        </is>
      </c>
      <c r="C27" s="10" t="inlineStr">
        <is>
          <t>Mullaco</t>
        </is>
      </c>
      <c r="D27" s="10" t="inlineStr">
        <is>
          <t>Mullaco (Batley)</t>
        </is>
      </c>
      <c r="E27" s="10" t="inlineStr">
        <is>
          <t>Independent Supermarket</t>
        </is>
      </c>
      <c r="F27" s="10" t="inlineStr">
        <is>
          <t>Asian and continental world foods store</t>
        </is>
      </c>
      <c r="G27" s="10" t="inlineStr">
        <is>
          <t>Regional Chain</t>
        </is>
      </c>
      <c r="H27" s="10" t="inlineStr">
        <is>
          <t>3</t>
        </is>
      </c>
      <c r="I27" s="10" t="inlineStr">
        <is>
          <t>35 Oxford Street</t>
        </is>
      </c>
      <c r="J27" s="10" t="inlineStr">
        <is>
          <t>Batley</t>
        </is>
      </c>
      <c r="K27" s="10" t="inlineStr">
        <is>
          <t>WF17 7PJ</t>
        </is>
      </c>
      <c r="L27" s="10" t="inlineStr">
        <is>
          <t>01924 939128</t>
        </is>
      </c>
      <c r="M27" s="10" t="inlineStr"/>
      <c r="N27" s="10" t="inlineStr"/>
      <c r="O27" s="10" t="inlineStr">
        <is>
          <t>https://mullaco.co.uk/</t>
        </is>
      </c>
      <c r="P27" s="10" t="inlineStr">
        <is>
          <t>https://www.facebook.com/mullaco.supermarket/</t>
        </is>
      </c>
      <c r="Q27" s="10" t="inlineStr">
        <is>
          <t>https://www.instagram.com/mullacosupermarket/</t>
        </is>
      </c>
      <c r="R27" s="10" t="inlineStr"/>
      <c r="S27" s="10" t="inlineStr"/>
      <c r="T27" s="10" t="inlineStr"/>
      <c r="U27" s="10" t="inlineStr"/>
      <c r="V27" s="10" t="inlineStr">
        <is>
          <t>Medium</t>
        </is>
      </c>
      <c r="W27" s="10" t="inlineStr">
        <is>
          <t>Multi-site retailer; Relevant category; Active website; Social presence</t>
        </is>
      </c>
      <c r="X27" s="10" t="inlineStr">
        <is>
          <t>Verified directory</t>
        </is>
      </c>
      <c r="Y27" s="10" t="inlineStr">
        <is>
          <t>Website Found</t>
        </is>
      </c>
      <c r="Z27" s="10" t="inlineStr">
        <is>
          <t>Medium</t>
        </is>
      </c>
      <c r="AA27" s="10" t="inlineStr">
        <is>
          <t>Requires Verification</t>
        </is>
      </c>
      <c r="AB27" s="10" t="inlineStr">
        <is>
          <t>https://mullaco.co.uk/contact-us/</t>
        </is>
      </c>
    </row>
    <row r="28">
      <c r="A28" s="5" t="inlineStr">
        <is>
          <t>WY-0020</t>
        </is>
      </c>
      <c r="B28" s="5" t="inlineStr">
        <is>
          <t>MULLACO-02</t>
        </is>
      </c>
      <c r="C28" s="5" t="inlineStr">
        <is>
          <t>Mullaco</t>
        </is>
      </c>
      <c r="D28" s="5" t="inlineStr">
        <is>
          <t>Mullaco Minimarket (Dewsbury)</t>
        </is>
      </c>
      <c r="E28" s="5" t="inlineStr">
        <is>
          <t>Convenience Store</t>
        </is>
      </c>
      <c r="F28" s="5" t="inlineStr">
        <is>
          <t>World foods minimarket</t>
        </is>
      </c>
      <c r="G28" s="5" t="inlineStr">
        <is>
          <t>Regional Chain</t>
        </is>
      </c>
      <c r="H28" s="5" t="inlineStr">
        <is>
          <t>3</t>
        </is>
      </c>
      <c r="I28" s="5" t="inlineStr"/>
      <c r="J28" s="5" t="inlineStr">
        <is>
          <t>Dewsbury</t>
        </is>
      </c>
      <c r="K28" s="5" t="inlineStr">
        <is>
          <t>WF12 9LX</t>
        </is>
      </c>
      <c r="L28" s="5" t="inlineStr"/>
      <c r="M28" s="5" t="inlineStr"/>
      <c r="N28" s="5" t="inlineStr"/>
      <c r="O28" s="5" t="inlineStr">
        <is>
          <t>https://mullaco.co.uk/</t>
        </is>
      </c>
      <c r="P28" s="5" t="inlineStr">
        <is>
          <t>https://www.facebook.com/mullaco.supermarket/</t>
        </is>
      </c>
      <c r="Q28" s="5" t="inlineStr"/>
      <c r="R28" s="5" t="inlineStr"/>
      <c r="S28" s="5" t="inlineStr"/>
      <c r="T28" s="5" t="inlineStr"/>
      <c r="U28" s="5" t="inlineStr"/>
      <c r="V28" s="5" t="inlineStr">
        <is>
          <t>Medium</t>
        </is>
      </c>
      <c r="W28" s="5" t="inlineStr">
        <is>
          <t>Multi-site retailer; Relevant category; Active website; Social presence</t>
        </is>
      </c>
      <c r="X28" s="5" t="inlineStr">
        <is>
          <t>Not Found</t>
        </is>
      </c>
      <c r="Y28" s="5" t="inlineStr">
        <is>
          <t>Website Found</t>
        </is>
      </c>
      <c r="Z28" s="5" t="inlineStr">
        <is>
          <t>Medium</t>
        </is>
      </c>
      <c r="AA28" s="5" t="inlineStr">
        <is>
          <t>Requires Verification</t>
        </is>
      </c>
      <c r="AB28" s="5" t="inlineStr">
        <is>
          <t>https://www.facebook.com/mullaco.supermarket/</t>
        </is>
      </c>
    </row>
    <row r="29">
      <c r="A29" s="10" t="inlineStr">
        <is>
          <t>WY-0021</t>
        </is>
      </c>
      <c r="B29" s="10" t="inlineStr">
        <is>
          <t>MULLACO-03</t>
        </is>
      </c>
      <c r="C29" s="10" t="inlineStr">
        <is>
          <t>Mullaco</t>
        </is>
      </c>
      <c r="D29" s="10" t="inlineStr">
        <is>
          <t>Mullaco Supermarket (Dewsbury)</t>
        </is>
      </c>
      <c r="E29" s="10" t="inlineStr">
        <is>
          <t>Independent Supermarket</t>
        </is>
      </c>
      <c r="F29" s="10" t="inlineStr">
        <is>
          <t>Asian and continental world foods supermarket</t>
        </is>
      </c>
      <c r="G29" s="10" t="inlineStr">
        <is>
          <t>Regional Chain</t>
        </is>
      </c>
      <c r="H29" s="10" t="inlineStr">
        <is>
          <t>3</t>
        </is>
      </c>
      <c r="I29" s="10" t="inlineStr">
        <is>
          <t>Mullaco Retail Park, Slaithwaite Road</t>
        </is>
      </c>
      <c r="J29" s="10" t="inlineStr">
        <is>
          <t>Dewsbury</t>
        </is>
      </c>
      <c r="K29" s="10" t="inlineStr">
        <is>
          <t>WF12 0AA</t>
        </is>
      </c>
      <c r="L29" s="10" t="inlineStr">
        <is>
          <t>01924 465909</t>
        </is>
      </c>
      <c r="M29" s="10" t="inlineStr"/>
      <c r="N29" s="10" t="inlineStr"/>
      <c r="O29" s="10" t="inlineStr">
        <is>
          <t>https://mullaco.co.uk/</t>
        </is>
      </c>
      <c r="P29" s="10" t="inlineStr">
        <is>
          <t>https://www.facebook.com/mullaco.supermarket/</t>
        </is>
      </c>
      <c r="Q29" s="10" t="inlineStr">
        <is>
          <t>https://www.instagram.com/mullacosupermarket/</t>
        </is>
      </c>
      <c r="R29" s="10" t="inlineStr"/>
      <c r="S29" s="10" t="inlineStr"/>
      <c r="T29" s="10" t="inlineStr">
        <is>
          <t>06629345</t>
        </is>
      </c>
      <c r="U29" s="10" t="inlineStr"/>
      <c r="V29" s="10" t="inlineStr">
        <is>
          <t>Medium</t>
        </is>
      </c>
      <c r="W29" s="10" t="inlineStr">
        <is>
          <t>Multi-site retailer; Relevant category; Active website; Social presence</t>
        </is>
      </c>
      <c r="X29" s="10" t="inlineStr">
        <is>
          <t>Verified directory</t>
        </is>
      </c>
      <c r="Y29" s="10" t="inlineStr">
        <is>
          <t>Website Found</t>
        </is>
      </c>
      <c r="Z29" s="10" t="inlineStr">
        <is>
          <t>Medium</t>
        </is>
      </c>
      <c r="AA29" s="10" t="inlineStr">
        <is>
          <t>Requires Verification</t>
        </is>
      </c>
      <c r="AB29" s="10" t="inlineStr">
        <is>
          <t>https://mullaco.co.uk/contact-us/</t>
        </is>
      </c>
    </row>
    <row r="30">
      <c r="A30" s="5" t="inlineStr">
        <is>
          <t>UK-000201</t>
        </is>
      </c>
      <c r="B30" s="5" t="inlineStr">
        <is>
          <t>NISA-01</t>
        </is>
      </c>
      <c r="C30" s="5" t="inlineStr">
        <is>
          <t>Nisa</t>
        </is>
      </c>
      <c r="D30" s="5" t="inlineStr">
        <is>
          <t>Nisa Express Grimsby (Victor Street)</t>
        </is>
      </c>
      <c r="E30" s="5" t="inlineStr">
        <is>
          <t>Convenience Store</t>
        </is>
      </c>
      <c r="F30" s="5" t="inlineStr">
        <is>
          <t>Symbol-group convenience store</t>
        </is>
      </c>
      <c r="G30" s="5" t="inlineStr">
        <is>
          <t>Franchise / Symbol Group</t>
        </is>
      </c>
      <c r="H30" s="5" t="inlineStr">
        <is>
          <t>1</t>
        </is>
      </c>
      <c r="I30" s="5" t="inlineStr">
        <is>
          <t>129 Victor Street</t>
        </is>
      </c>
      <c r="J30" s="5" t="inlineStr">
        <is>
          <t>Grimsby</t>
        </is>
      </c>
      <c r="K30" s="5" t="inlineStr"/>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https://www.nisalocally.co.uk/stores/north-east-lincs/grimsby/129-victor-st</t>
        </is>
      </c>
    </row>
    <row r="31">
      <c r="A31" s="10" t="inlineStr">
        <is>
          <t>UK-000202</t>
        </is>
      </c>
      <c r="B31" s="10" t="inlineStr">
        <is>
          <t>NISA-02</t>
        </is>
      </c>
      <c r="C31" s="10" t="inlineStr">
        <is>
          <t>Nisa</t>
        </is>
      </c>
      <c r="D31" s="10" t="inlineStr">
        <is>
          <t>Nisa Local Cleethorpes (Grimsby Road)</t>
        </is>
      </c>
      <c r="E31" s="10" t="inlineStr">
        <is>
          <t>Convenience Store</t>
        </is>
      </c>
      <c r="F31" s="10" t="inlineStr">
        <is>
          <t>Symbol-group convenience store</t>
        </is>
      </c>
      <c r="G31" s="10" t="inlineStr">
        <is>
          <t>Franchise / Symbol Group</t>
        </is>
      </c>
      <c r="H31" s="10" t="inlineStr">
        <is>
          <t>1</t>
        </is>
      </c>
      <c r="I31" s="10" t="inlineStr">
        <is>
          <t>29-31 Grimsby Road</t>
        </is>
      </c>
      <c r="J31" s="10" t="inlineStr">
        <is>
          <t>Cleethorpes</t>
        </is>
      </c>
      <c r="K31" s="10" t="inlineStr"/>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https://ratings.food.gov.uk/business/1631635/nisa-local-grimsby-local-store</t>
        </is>
      </c>
    </row>
    <row r="32">
      <c r="A32" s="5" t="inlineStr">
        <is>
          <t>UK-000203</t>
        </is>
      </c>
      <c r="B32" s="5" t="inlineStr">
        <is>
          <t>PARFETTSTH-01</t>
        </is>
      </c>
      <c r="C32" s="5" t="inlineStr">
        <is>
          <t>Parfetts / The Local</t>
        </is>
      </c>
      <c r="D32" s="5" t="inlineStr">
        <is>
          <t>The Local (Marfleet Lane)</t>
        </is>
      </c>
      <c r="E32" s="5" t="inlineStr">
        <is>
          <t>Convenience Store</t>
        </is>
      </c>
      <c r="F32" s="5" t="inlineStr">
        <is>
          <t>Symbol-group convenience store</t>
        </is>
      </c>
      <c r="G32" s="5" t="inlineStr">
        <is>
          <t>Franchise / Symbol Group</t>
        </is>
      </c>
      <c r="H32" s="5" t="inlineStr">
        <is>
          <t>1</t>
        </is>
      </c>
      <c r="I32" s="5" t="inlineStr">
        <is>
          <t>Marfleet Lane</t>
        </is>
      </c>
      <c r="J32" s="5" t="inlineStr">
        <is>
          <t>Kingston upon Hull</t>
        </is>
      </c>
      <c r="K32" s="5" t="inlineStr"/>
      <c r="L32" s="5" t="inlineStr"/>
      <c r="M32" s="5" t="inlineStr"/>
      <c r="N32" s="5" t="inlineStr"/>
      <c r="O32" s="5" t="inlineStr"/>
      <c r="P32" s="5" t="inlineStr"/>
      <c r="Q32" s="5" t="inlineStr"/>
      <c r="R32" s="5" t="inlineStr">
        <is>
          <t>Prasath Balakrishnan</t>
        </is>
      </c>
      <c r="S32" s="5" t="inlineStr">
        <is>
          <t>Owner</t>
        </is>
      </c>
      <c r="T32" s="5" t="inlineStr"/>
      <c r="U32" s="5" t="inlineStr"/>
      <c r="V32" s="5" t="inlineStr">
        <is>
          <t>Medium</t>
        </is>
      </c>
      <c r="W32" s="5" t="inlineStr">
        <is>
          <t>Multi-site retailer; Independent retailer; Relevant category</t>
        </is>
      </c>
      <c r="X32" s="5" t="inlineStr">
        <is>
          <t>Not Found</t>
        </is>
      </c>
      <c r="Y32" s="5" t="inlineStr">
        <is>
          <t>Not Found</t>
        </is>
      </c>
      <c r="Z32" s="5" t="inlineStr">
        <is>
          <t>Medium</t>
        </is>
      </c>
      <c r="AA32" s="5" t="inlineStr">
        <is>
          <t>Requires Verification</t>
        </is>
      </c>
      <c r="AB32" s="5" t="inlineStr">
        <is>
          <t>https://wholesalemanager.co.uk/new-the-local-store-opens-in-hull/</t>
        </is>
      </c>
    </row>
    <row r="33">
      <c r="A33" s="10" t="inlineStr">
        <is>
          <t>UK-000204</t>
        </is>
      </c>
      <c r="B33" s="10" t="inlineStr">
        <is>
          <t>PREMIERBOO-01</t>
        </is>
      </c>
      <c r="C33" s="10" t="inlineStr">
        <is>
          <t>Premier (Booker Group)</t>
        </is>
      </c>
      <c r="D33" s="10" t="inlineStr">
        <is>
          <t>Premier Stores Ripon</t>
        </is>
      </c>
      <c r="E33" s="10" t="inlineStr">
        <is>
          <t>Convenience Store</t>
        </is>
      </c>
      <c r="F33" s="10" t="inlineStr">
        <is>
          <t>Symbol-group convenience store</t>
        </is>
      </c>
      <c r="G33" s="10" t="inlineStr">
        <is>
          <t>Franchise / Symbol Group</t>
        </is>
      </c>
      <c r="H33" s="10" t="inlineStr">
        <is>
          <t>1</t>
        </is>
      </c>
      <c r="I33" s="10" t="inlineStr">
        <is>
          <t>64 Bondgate</t>
        </is>
      </c>
      <c r="J33" s="10" t="inlineStr">
        <is>
          <t>Ripon</t>
        </is>
      </c>
      <c r="K33" s="10" t="inlineStr"/>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https://www.localstore.co.uk/store/394275/premier-stores/ripon/</t>
        </is>
      </c>
    </row>
    <row r="34">
      <c r="A34" s="5" t="inlineStr">
        <is>
          <t>UK-000205</t>
        </is>
      </c>
      <c r="B34" s="5" t="inlineStr">
        <is>
          <t>PREMIERBOO-01</t>
        </is>
      </c>
      <c r="C34" s="5" t="inlineStr">
        <is>
          <t>Premier (Booker)</t>
        </is>
      </c>
      <c r="D34" s="5" t="inlineStr">
        <is>
          <t>Firth Park Convenience Store</t>
        </is>
      </c>
      <c r="E34" s="5" t="inlineStr">
        <is>
          <t>Convenience Store</t>
        </is>
      </c>
      <c r="F34" s="5" t="inlineStr">
        <is>
          <t>Convenience store (symbol group)</t>
        </is>
      </c>
      <c r="G34" s="5" t="inlineStr">
        <is>
          <t>Franchise / Symbol Group</t>
        </is>
      </c>
      <c r="H34" s="5" t="inlineStr">
        <is>
          <t>1</t>
        </is>
      </c>
      <c r="I34" s="5" t="inlineStr">
        <is>
          <t>11-13 Stubbin Lane</t>
        </is>
      </c>
      <c r="J34" s="5" t="inlineStr">
        <is>
          <t>Sheffield</t>
        </is>
      </c>
      <c r="K34" s="5" t="inlineStr">
        <is>
          <t>S5 6QG</t>
        </is>
      </c>
      <c r="L34" s="5" t="inlineStr"/>
      <c r="M34" s="5" t="inlineStr"/>
      <c r="N34" s="5" t="inlineStr"/>
      <c r="O34" s="5" t="inlineStr">
        <is>
          <t>https://www.premier-stores.co.uk/our-stores/firth-park-convenience-store</t>
        </is>
      </c>
      <c r="P34" s="5" t="inlineStr"/>
      <c r="Q34" s="5" t="inlineStr"/>
      <c r="R34" s="5" t="inlineStr"/>
      <c r="S34" s="5" t="inlineStr"/>
      <c r="T34" s="5" t="inlineStr"/>
      <c r="U34" s="5" t="inlineStr"/>
      <c r="V34" s="5" t="inlineStr">
        <is>
          <t>Medium</t>
        </is>
      </c>
      <c r="W34" s="5" t="inlineStr">
        <is>
          <t>Multi-site retailer; Independent retailer; Relevant category; Active website</t>
        </is>
      </c>
      <c r="X34" s="5" t="inlineStr">
        <is>
          <t>Not Found</t>
        </is>
      </c>
      <c r="Y34" s="5" t="inlineStr">
        <is>
          <t>Not Found</t>
        </is>
      </c>
      <c r="Z34" s="5" t="inlineStr">
        <is>
          <t>Low</t>
        </is>
      </c>
      <c r="AA34" s="5" t="inlineStr">
        <is>
          <t>Requires Verification</t>
        </is>
      </c>
      <c r="AB34" s="5" t="inlineStr">
        <is>
          <t>https://www.premier-stores.co.uk/our-stores/firth-park-convenience-store</t>
        </is>
      </c>
    </row>
    <row r="35">
      <c r="A35" s="10" t="inlineStr">
        <is>
          <t>UK-000206</t>
        </is>
      </c>
      <c r="B35" s="10" t="inlineStr">
        <is>
          <t>PREMIERBOO-02</t>
        </is>
      </c>
      <c r="C35" s="10" t="inlineStr">
        <is>
          <t>Premier (Booker)</t>
        </is>
      </c>
      <c r="D35" s="10" t="inlineStr">
        <is>
          <t>Premier (Grimsby Road, Cleethorpes)</t>
        </is>
      </c>
      <c r="E35" s="10" t="inlineStr">
        <is>
          <t>Convenience Store</t>
        </is>
      </c>
      <c r="F35" s="10" t="inlineStr">
        <is>
          <t>Symbol-group convenience store</t>
        </is>
      </c>
      <c r="G35" s="10" t="inlineStr">
        <is>
          <t>Franchise / Symbol Group</t>
        </is>
      </c>
      <c r="H35" s="10" t="inlineStr">
        <is>
          <t>1</t>
        </is>
      </c>
      <c r="I35" s="10" t="inlineStr">
        <is>
          <t>141-143 Grimsby Road</t>
        </is>
      </c>
      <c r="J35" s="10" t="inlineStr">
        <is>
          <t>Cleethorpes</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https://www.premier-stores.co.uk/our-stores/grimsby-road</t>
        </is>
      </c>
    </row>
    <row r="36">
      <c r="A36" s="5" t="inlineStr">
        <is>
          <t>UK-000207</t>
        </is>
      </c>
      <c r="B36" s="5" t="inlineStr">
        <is>
          <t>PREMIERBOO-03</t>
        </is>
      </c>
      <c r="C36" s="5" t="inlineStr">
        <is>
          <t>Premier (Booker)</t>
        </is>
      </c>
      <c r="D36" s="5" t="inlineStr">
        <is>
          <t>Premier Mexborough Convenience Store</t>
        </is>
      </c>
      <c r="E36" s="5" t="inlineStr">
        <is>
          <t>Convenience Store</t>
        </is>
      </c>
      <c r="F36" s="5" t="inlineStr">
        <is>
          <t>Convenience store (symbol group)</t>
        </is>
      </c>
      <c r="G36" s="5" t="inlineStr">
        <is>
          <t>Franchise / Symbol Group</t>
        </is>
      </c>
      <c r="H36" s="5" t="inlineStr">
        <is>
          <t>1</t>
        </is>
      </c>
      <c r="I36" s="5" t="inlineStr">
        <is>
          <t>41-43 Wath Road</t>
        </is>
      </c>
      <c r="J36" s="5" t="inlineStr">
        <is>
          <t>Mexborough</t>
        </is>
      </c>
      <c r="K36" s="5" t="inlineStr">
        <is>
          <t>S64 9QZ</t>
        </is>
      </c>
      <c r="L36" s="5" t="inlineStr">
        <is>
          <t>01709 581369</t>
        </is>
      </c>
      <c r="M36" s="5" t="inlineStr"/>
      <c r="N36" s="5" t="inlineStr"/>
      <c r="O36" s="5" t="inlineStr">
        <is>
          <t>https://www.premier-stores.co.uk/our-stores/mexborough-convenience-store</t>
        </is>
      </c>
      <c r="P36" s="5" t="inlineStr">
        <is>
          <t>https://www.facebook.com/p/Premier-Mexborough-Convenience-Store-100068015556730/</t>
        </is>
      </c>
      <c r="Q36" s="5" t="inlineStr"/>
      <c r="R36" s="5" t="inlineStr"/>
      <c r="S36" s="5" t="inlineStr"/>
      <c r="T36" s="5" t="inlineStr"/>
      <c r="U36" s="5" t="inlineStr"/>
      <c r="V36" s="5" t="inlineStr">
        <is>
          <t>High</t>
        </is>
      </c>
      <c r="W36" s="5" t="inlineStr">
        <is>
          <t>Multi-site retailer; Independent retailer; Relevant category; Active website; Social presence</t>
        </is>
      </c>
      <c r="X36" s="5" t="inlineStr">
        <is>
          <t>Verified directory</t>
        </is>
      </c>
      <c r="Y36" s="5" t="inlineStr">
        <is>
          <t>Not Found</t>
        </is>
      </c>
      <c r="Z36" s="5" t="inlineStr">
        <is>
          <t>Medium</t>
        </is>
      </c>
      <c r="AA36" s="5" t="inlineStr">
        <is>
          <t>Requires Verification</t>
        </is>
      </c>
      <c r="AB36" s="5" t="inlineStr">
        <is>
          <t>https://www.premier-stores.co.uk/our-stores/mexborough-convenience-store</t>
        </is>
      </c>
    </row>
    <row r="37">
      <c r="A37" s="10" t="inlineStr">
        <is>
          <t>UK-000208</t>
        </is>
      </c>
      <c r="B37" s="10" t="inlineStr">
        <is>
          <t>PREMIERBOO-04</t>
        </is>
      </c>
      <c r="C37" s="10" t="inlineStr">
        <is>
          <t>Premier (Booker)</t>
        </is>
      </c>
      <c r="D37" s="10" t="inlineStr">
        <is>
          <t>Premier Super Convenience Store Barnsley</t>
        </is>
      </c>
      <c r="E37" s="10" t="inlineStr">
        <is>
          <t>Convenience Store</t>
        </is>
      </c>
      <c r="F37" s="10" t="inlineStr">
        <is>
          <t>Convenience store (symbol group)</t>
        </is>
      </c>
      <c r="G37" s="10" t="inlineStr">
        <is>
          <t>Franchise / Symbol Group</t>
        </is>
      </c>
      <c r="H37" s="10" t="inlineStr">
        <is>
          <t>1</t>
        </is>
      </c>
      <c r="I37" s="10" t="inlineStr">
        <is>
          <t>38-40 Dodworth Road</t>
        </is>
      </c>
      <c r="J37" s="10" t="inlineStr">
        <is>
          <t>Barnsley</t>
        </is>
      </c>
      <c r="K37" s="10" t="inlineStr"/>
      <c r="L37" s="10" t="inlineStr"/>
      <c r="M37" s="10" t="inlineStr"/>
      <c r="N37" s="10" t="inlineStr"/>
      <c r="O37" s="10" t="inlineStr"/>
      <c r="P37" s="10" t="inlineStr">
        <is>
          <t>https://web.facebook.com/premier3840/</t>
        </is>
      </c>
      <c r="Q37" s="10" t="inlineStr"/>
      <c r="R37" s="10" t="inlineStr"/>
      <c r="S37" s="10" t="inlineStr"/>
      <c r="T37" s="10" t="inlineStr"/>
      <c r="U37" s="10" t="inlineStr"/>
      <c r="V37" s="10" t="inlineStr">
        <is>
          <t>Medium</t>
        </is>
      </c>
      <c r="W37" s="10" t="inlineStr">
        <is>
          <t>Multi-site retailer; Independent retailer; Relevant category; Social presence</t>
        </is>
      </c>
      <c r="X37" s="10" t="inlineStr">
        <is>
          <t>Not Found</t>
        </is>
      </c>
      <c r="Y37" s="10" t="inlineStr">
        <is>
          <t>Not Found</t>
        </is>
      </c>
      <c r="Z37" s="10" t="inlineStr">
        <is>
          <t>Low</t>
        </is>
      </c>
      <c r="AA37" s="10" t="inlineStr">
        <is>
          <t>Requires Verification</t>
        </is>
      </c>
      <c r="AB37" s="10" t="inlineStr">
        <is>
          <t>https://web.facebook.com/premier3840/</t>
        </is>
      </c>
    </row>
    <row r="38">
      <c r="A38" s="5" t="inlineStr">
        <is>
          <t>UK-000209</t>
        </is>
      </c>
      <c r="B38" s="5" t="inlineStr">
        <is>
          <t>PREMIERBOO-05</t>
        </is>
      </c>
      <c r="C38" s="5" t="inlineStr">
        <is>
          <t>Premier (Booker)</t>
        </is>
      </c>
      <c r="D38" s="5" t="inlineStr">
        <is>
          <t>Premier Wombwell Convenience Store</t>
        </is>
      </c>
      <c r="E38" s="5" t="inlineStr">
        <is>
          <t>Convenience Store</t>
        </is>
      </c>
      <c r="F38" s="5" t="inlineStr">
        <is>
          <t>Convenience store (symbol group)</t>
        </is>
      </c>
      <c r="G38" s="5" t="inlineStr">
        <is>
          <t>Franchise / Symbol Group</t>
        </is>
      </c>
      <c r="H38" s="5" t="inlineStr">
        <is>
          <t>1</t>
        </is>
      </c>
      <c r="I38" s="5" t="inlineStr">
        <is>
          <t>2 Pearson Crescent</t>
        </is>
      </c>
      <c r="J38" s="5" t="inlineStr">
        <is>
          <t>Barnsley</t>
        </is>
      </c>
      <c r="K38" s="5" t="inlineStr">
        <is>
          <t>S73 8SN</t>
        </is>
      </c>
      <c r="L38" s="5" t="inlineStr"/>
      <c r="M38" s="5" t="inlineStr"/>
      <c r="N38" s="5" t="inlineStr"/>
      <c r="O38" s="5" t="inlineStr">
        <is>
          <t>https://www.premier-stores.co.uk/our-stores/wombwell-convenience-store</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Not Found</t>
        </is>
      </c>
      <c r="Y38" s="5" t="inlineStr">
        <is>
          <t>Not Found</t>
        </is>
      </c>
      <c r="Z38" s="5" t="inlineStr">
        <is>
          <t>Low</t>
        </is>
      </c>
      <c r="AA38" s="5" t="inlineStr">
        <is>
          <t>Requires Verification</t>
        </is>
      </c>
      <c r="AB38" s="5" t="inlineStr">
        <is>
          <t>https://www.premier-stores.co.uk/our-stores/wombwell-convenience-store</t>
        </is>
      </c>
    </row>
    <row r="39">
      <c r="A39" s="10" t="inlineStr">
        <is>
          <t>UK-000210</t>
        </is>
      </c>
      <c r="B39" s="10" t="inlineStr">
        <is>
          <t>PREMIERBOO-06</t>
        </is>
      </c>
      <c r="C39" s="10" t="inlineStr">
        <is>
          <t>Premier (Booker)</t>
        </is>
      </c>
      <c r="D39" s="10" t="inlineStr">
        <is>
          <t>Sheffield Road Premier Convenience Store</t>
        </is>
      </c>
      <c r="E39" s="10" t="inlineStr">
        <is>
          <t>Convenience Store</t>
        </is>
      </c>
      <c r="F39" s="10" t="inlineStr">
        <is>
          <t>Convenience store (symbol group)</t>
        </is>
      </c>
      <c r="G39" s="10" t="inlineStr">
        <is>
          <t>Franchise / Symbol Group</t>
        </is>
      </c>
      <c r="H39" s="10" t="inlineStr">
        <is>
          <t>1</t>
        </is>
      </c>
      <c r="I39" s="10" t="inlineStr">
        <is>
          <t>110-112 Sheffield Road</t>
        </is>
      </c>
      <c r="J39" s="10" t="inlineStr">
        <is>
          <t>Barnsley</t>
        </is>
      </c>
      <c r="K39" s="10" t="inlineStr">
        <is>
          <t>S70 1JB</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Low</t>
        </is>
      </c>
      <c r="AA39" s="10" t="inlineStr">
        <is>
          <t>Requires Verification</t>
        </is>
      </c>
      <c r="AB39" s="10" t="inlineStr">
        <is>
          <t>https://www.barnsley.gov.uk/services/licences-and-permissions/premises-licences/pending-premises-licence-applications/sheffield-road-premier-convenience-store-application-for-a-new-premises-licence</t>
        </is>
      </c>
    </row>
    <row r="40">
      <c r="A40" s="5" t="inlineStr">
        <is>
          <t>WY-0022</t>
        </is>
      </c>
      <c r="B40" s="5" t="inlineStr">
        <is>
          <t>SMKD-01</t>
        </is>
      </c>
      <c r="C40" s="5" t="inlineStr">
        <is>
          <t>SMKD</t>
        </is>
      </c>
      <c r="D40" s="5" t="inlineStr">
        <is>
          <t>SMKD</t>
        </is>
      </c>
      <c r="E40" s="5" t="inlineStr">
        <is>
          <t>Vape Shop</t>
        </is>
      </c>
      <c r="F40" s="5" t="inlineStr">
        <is>
          <t>Vape chain store</t>
        </is>
      </c>
      <c r="G40" s="5" t="inlineStr">
        <is>
          <t>Regional Chain</t>
        </is>
      </c>
      <c r="H40" s="5" t="inlineStr"/>
      <c r="I40" s="5" t="inlineStr">
        <is>
          <t>31-32 Market Street</t>
        </is>
      </c>
      <c r="J40" s="5" t="inlineStr">
        <is>
          <t>Halifax</t>
        </is>
      </c>
      <c r="K40" s="5" t="inlineStr">
        <is>
          <t>HX1 1DZ</t>
        </is>
      </c>
      <c r="L40" s="5" t="inlineStr"/>
      <c r="M40" s="5" t="inlineStr">
        <is>
          <t>info@smkd.com</t>
        </is>
      </c>
      <c r="N40" s="5" t="inlineStr"/>
      <c r="O40" s="5" t="inlineStr">
        <is>
          <t>https://smkd.com/vape-shop-locator/smkd-halifax-vape-shop-market-street/</t>
        </is>
      </c>
      <c r="P40" s="5" t="inlineStr">
        <is>
          <t>https://www.facebook.com/SmkdVapeShop/</t>
        </is>
      </c>
      <c r="Q40" s="5" t="inlineStr"/>
      <c r="R40" s="5" t="inlineStr"/>
      <c r="S40" s="5" t="inlineStr"/>
      <c r="T40" s="5" t="inlineStr">
        <is>
          <t>16161027</t>
        </is>
      </c>
      <c r="U40" s="5" t="inlineStr">
        <is>
          <t>Active</t>
        </is>
      </c>
      <c r="V40" s="5" t="inlineStr">
        <is>
          <t>High</t>
        </is>
      </c>
      <c r="W40" s="5" t="inlineStr">
        <is>
          <t>Multi-site retailer; Core relevant category; Public email available; Active website; Social presence</t>
        </is>
      </c>
      <c r="X40" s="5" t="inlineStr">
        <is>
          <t>Not Found</t>
        </is>
      </c>
      <c r="Y40" s="5" t="inlineStr">
        <is>
          <t>Website Found</t>
        </is>
      </c>
      <c r="Z40" s="5" t="inlineStr">
        <is>
          <t>Medium</t>
        </is>
      </c>
      <c r="AA40" s="5" t="inlineStr">
        <is>
          <t>Partially Verified</t>
        </is>
      </c>
      <c r="AB40" s="5" t="inlineStr">
        <is>
          <t>https://smkd.com/vape-shop-locator/smkd-halifax-vape-shop-market-street/</t>
        </is>
      </c>
    </row>
    <row r="41">
      <c r="A41" s="10" t="inlineStr">
        <is>
          <t>WY-0023</t>
        </is>
      </c>
      <c r="B41" s="10" t="inlineStr">
        <is>
          <t>SMKD-02</t>
        </is>
      </c>
      <c r="C41" s="10" t="inlineStr">
        <is>
          <t>SMKD</t>
        </is>
      </c>
      <c r="D41" s="10" t="inlineStr">
        <is>
          <t>SMKD</t>
        </is>
      </c>
      <c r="E41" s="10" t="inlineStr">
        <is>
          <t>Vape Shop</t>
        </is>
      </c>
      <c r="F41" s="10" t="inlineStr">
        <is>
          <t>Vape chain store with same-day local delivery</t>
        </is>
      </c>
      <c r="G41" s="10" t="inlineStr">
        <is>
          <t>Regional Chain</t>
        </is>
      </c>
      <c r="H41" s="10" t="inlineStr"/>
      <c r="I41" s="10" t="inlineStr"/>
      <c r="J41" s="10" t="inlineStr">
        <is>
          <t>Hebden Bridge</t>
        </is>
      </c>
      <c r="K41" s="10" t="inlineStr"/>
      <c r="L41" s="10" t="inlineStr">
        <is>
          <t>01274 270303</t>
        </is>
      </c>
      <c r="M41" s="10" t="inlineStr">
        <is>
          <t>info@smkd.com</t>
        </is>
      </c>
      <c r="N41" s="10" t="inlineStr"/>
      <c r="O41" s="10" t="inlineStr">
        <is>
          <t>https://smkd.com/vape-shop-locator/smkd-hebden-bridge-vape-shop-west-end/</t>
        </is>
      </c>
      <c r="P41" s="10" t="inlineStr">
        <is>
          <t>https://www.facebook.com/SmkdVapeShop/</t>
        </is>
      </c>
      <c r="Q41" s="10" t="inlineStr"/>
      <c r="R41" s="10" t="inlineStr"/>
      <c r="S41" s="10" t="inlineStr"/>
      <c r="T41" s="10" t="inlineStr">
        <is>
          <t>16161027</t>
        </is>
      </c>
      <c r="U41" s="10" t="inlineStr">
        <is>
          <t>Active</t>
        </is>
      </c>
      <c r="V41" s="10" t="inlineStr">
        <is>
          <t>High</t>
        </is>
      </c>
      <c r="W41" s="10" t="inlineStr">
        <is>
          <t>Multi-site retailer; Core relevant category; Public email available; Active website; Social presence</t>
        </is>
      </c>
      <c r="X41" s="10" t="inlineStr">
        <is>
          <t>Unverified</t>
        </is>
      </c>
      <c r="Y41" s="10" t="inlineStr">
        <is>
          <t>Publicly Listed</t>
        </is>
      </c>
      <c r="Z41" s="10" t="inlineStr">
        <is>
          <t>Medium</t>
        </is>
      </c>
      <c r="AA41" s="10" t="inlineStr">
        <is>
          <t>Partially Verified</t>
        </is>
      </c>
      <c r="AB41" s="10" t="inlineStr">
        <is>
          <t>https://smkd.com/vape-shop-locator/smkd-hebden-bridge-vape-shop-west-end/</t>
        </is>
      </c>
    </row>
    <row r="42">
      <c r="A42" s="5" t="inlineStr">
        <is>
          <t>WY-0024</t>
        </is>
      </c>
      <c r="B42" s="5" t="inlineStr">
        <is>
          <t>SMKD-03</t>
        </is>
      </c>
      <c r="C42" s="5" t="inlineStr">
        <is>
          <t>SMKD</t>
        </is>
      </c>
      <c r="D42" s="5" t="inlineStr">
        <is>
          <t>SMKD - E Cigarettes and Vape Shop (Wakefield)</t>
        </is>
      </c>
      <c r="E42" s="5" t="inlineStr">
        <is>
          <t>Vape Shop</t>
        </is>
      </c>
      <c r="F42" s="5" t="inlineStr">
        <is>
          <t>Vape hardware and e-liquid retailer</t>
        </is>
      </c>
      <c r="G42" s="5" t="inlineStr">
        <is>
          <t>Regional Chain</t>
        </is>
      </c>
      <c r="H42" s="5" t="inlineStr"/>
      <c r="I42" s="5" t="inlineStr">
        <is>
          <t>Ridings Shopping Centre</t>
        </is>
      </c>
      <c r="J42" s="5" t="inlineStr">
        <is>
          <t>Wakefield</t>
        </is>
      </c>
      <c r="K42" s="5" t="inlineStr">
        <is>
          <t>WF1 1DS</t>
        </is>
      </c>
      <c r="L42" s="5" t="inlineStr">
        <is>
          <t>01924 728100</t>
        </is>
      </c>
      <c r="M42" s="5" t="inlineStr">
        <is>
          <t>info@smkd.com</t>
        </is>
      </c>
      <c r="N42" s="5" t="inlineStr"/>
      <c r="O42" s="5" t="inlineStr">
        <is>
          <t>https://smkd.com</t>
        </is>
      </c>
      <c r="P42" s="5" t="inlineStr">
        <is>
          <t>https://www.facebook.com/SmkdVapeShop/</t>
        </is>
      </c>
      <c r="Q42" s="5" t="inlineStr"/>
      <c r="R42" s="5" t="inlineStr"/>
      <c r="S42" s="5" t="inlineStr"/>
      <c r="T42" s="5" t="inlineStr">
        <is>
          <t>16161027</t>
        </is>
      </c>
      <c r="U42" s="5" t="inlineStr">
        <is>
          <t>Active</t>
        </is>
      </c>
      <c r="V42" s="5" t="inlineStr">
        <is>
          <t>High</t>
        </is>
      </c>
      <c r="W42" s="5" t="inlineStr">
        <is>
          <t>Multi-site retailer; Core relevant category; Public email available; Active website; Social presence</t>
        </is>
      </c>
      <c r="X42" s="5" t="inlineStr">
        <is>
          <t>Verified directory</t>
        </is>
      </c>
      <c r="Y42" s="5" t="inlineStr">
        <is>
          <t>Unverified</t>
        </is>
      </c>
      <c r="Z42" s="5" t="inlineStr">
        <is>
          <t>Medium</t>
        </is>
      </c>
      <c r="AA42" s="5" t="inlineStr">
        <is>
          <t>Partially Verified</t>
        </is>
      </c>
      <c r="AB42" s="5" t="inlineStr">
        <is>
          <t>https://smkd.com/vape-shop-locator/wakefield-vape-shop-ridings-shopping-centre/</t>
        </is>
      </c>
    </row>
    <row r="43">
      <c r="A43" s="10" t="inlineStr">
        <is>
          <t>UK-000211</t>
        </is>
      </c>
      <c r="B43" s="10" t="inlineStr">
        <is>
          <t>SMKD-04</t>
        </is>
      </c>
      <c r="C43" s="10" t="inlineStr">
        <is>
          <t>SMKD</t>
        </is>
      </c>
      <c r="D43" s="10" t="inlineStr">
        <is>
          <t>SMKD Barnsley</t>
        </is>
      </c>
      <c r="E43" s="10" t="inlineStr">
        <is>
          <t>Vape Shop</t>
        </is>
      </c>
      <c r="F43" s="10" t="inlineStr">
        <is>
          <t>E-cigarette and vape shop</t>
        </is>
      </c>
      <c r="G43" s="10" t="inlineStr">
        <is>
          <t>Regional Chain</t>
        </is>
      </c>
      <c r="H43" s="10" t="inlineStr">
        <is>
          <t>2</t>
        </is>
      </c>
      <c r="I43" s="10" t="inlineStr">
        <is>
          <t>New Street</t>
        </is>
      </c>
      <c r="J43" s="10" t="inlineStr">
        <is>
          <t>Barnsley</t>
        </is>
      </c>
      <c r="K43" s="10" t="inlineStr"/>
      <c r="L43" s="10" t="inlineStr"/>
      <c r="M43" s="10" t="inlineStr"/>
      <c r="N43" s="10" t="inlineStr"/>
      <c r="O43" s="10" t="inlineStr">
        <is>
          <t>https://smkd.com/</t>
        </is>
      </c>
      <c r="P43" s="10" t="inlineStr"/>
      <c r="Q43" s="10" t="inlineStr"/>
      <c r="R43" s="10" t="inlineStr"/>
      <c r="S43" s="10" t="inlineStr"/>
      <c r="T43" s="10" t="inlineStr"/>
      <c r="U43" s="10" t="inlineStr"/>
      <c r="V43" s="10" t="inlineStr">
        <is>
          <t>Medium</t>
        </is>
      </c>
      <c r="W43" s="10" t="inlineStr">
        <is>
          <t>Multi-site retailer; Core relevant category; Active website</t>
        </is>
      </c>
      <c r="X43" s="10" t="inlineStr">
        <is>
          <t>Not Found</t>
        </is>
      </c>
      <c r="Y43" s="10" t="inlineStr">
        <is>
          <t>Website Found</t>
        </is>
      </c>
      <c r="Z43" s="10" t="inlineStr">
        <is>
          <t>Low</t>
        </is>
      </c>
      <c r="AA43" s="10" t="inlineStr">
        <is>
          <t>Requires Verification</t>
        </is>
      </c>
      <c r="AB43" s="10" t="inlineStr">
        <is>
          <t>https://smkd.com/vape-shop-locator/smkd-barnsley-vape-shop-new-street/</t>
        </is>
      </c>
    </row>
    <row r="44">
      <c r="A44" s="5" t="inlineStr">
        <is>
          <t>UK-000212</t>
        </is>
      </c>
      <c r="B44" s="5" t="inlineStr">
        <is>
          <t>SMKD-05</t>
        </is>
      </c>
      <c r="C44" s="5" t="inlineStr">
        <is>
          <t>SMKD</t>
        </is>
      </c>
      <c r="D44" s="5" t="inlineStr">
        <is>
          <t>SMKD Rotherham</t>
        </is>
      </c>
      <c r="E44" s="5" t="inlineStr">
        <is>
          <t>Vape Shop</t>
        </is>
      </c>
      <c r="F44" s="5" t="inlineStr">
        <is>
          <t>E-cigarette and vape shop</t>
        </is>
      </c>
      <c r="G44" s="5" t="inlineStr">
        <is>
          <t>Regional Chain</t>
        </is>
      </c>
      <c r="H44" s="5" t="inlineStr">
        <is>
          <t>2</t>
        </is>
      </c>
      <c r="I44" s="5" t="inlineStr">
        <is>
          <t>31a Effingham Street</t>
        </is>
      </c>
      <c r="J44" s="5" t="inlineStr">
        <is>
          <t>Rotherham</t>
        </is>
      </c>
      <c r="K44" s="5" t="inlineStr">
        <is>
          <t>S65 1AL</t>
        </is>
      </c>
      <c r="L44" s="5" t="inlineStr">
        <is>
          <t>01274 270303</t>
        </is>
      </c>
      <c r="M44" s="5" t="inlineStr"/>
      <c r="N44" s="5" t="inlineStr"/>
      <c r="O44" s="5" t="inlineStr">
        <is>
          <t>https://smkd.com/</t>
        </is>
      </c>
      <c r="P44" s="5" t="inlineStr"/>
      <c r="Q44" s="5" t="inlineStr"/>
      <c r="R44" s="5" t="inlineStr"/>
      <c r="S44" s="5" t="inlineStr"/>
      <c r="T44" s="5" t="inlineStr"/>
      <c r="U44" s="5" t="inlineStr"/>
      <c r="V44" s="5" t="inlineStr">
        <is>
          <t>Medium</t>
        </is>
      </c>
      <c r="W44" s="5" t="inlineStr">
        <is>
          <t>Multi-site retailer; Core relevant category; Active website</t>
        </is>
      </c>
      <c r="X44" s="5" t="inlineStr">
        <is>
          <t>Verified directory</t>
        </is>
      </c>
      <c r="Y44" s="5" t="inlineStr">
        <is>
          <t>Website Found</t>
        </is>
      </c>
      <c r="Z44" s="5" t="inlineStr">
        <is>
          <t>Medium</t>
        </is>
      </c>
      <c r="AA44" s="5" t="inlineStr">
        <is>
          <t>Requires Verification</t>
        </is>
      </c>
      <c r="AB44" s="5" t="inlineStr">
        <is>
          <t>https://smkd.com/vape-shop-locator/smkd-rotherham-vape-shop-effingham-street/</t>
        </is>
      </c>
    </row>
    <row r="45">
      <c r="A45" s="10" t="inlineStr">
        <is>
          <t>UK-000213</t>
        </is>
      </c>
      <c r="B45" s="10" t="inlineStr">
        <is>
          <t>SPAR-01</t>
        </is>
      </c>
      <c r="C45" s="10" t="inlineStr">
        <is>
          <t>SPAR</t>
        </is>
      </c>
      <c r="D45" s="10" t="inlineStr">
        <is>
          <t>SPAR Barnsley Road</t>
        </is>
      </c>
      <c r="E45" s="10" t="inlineStr">
        <is>
          <t>Convenience Store</t>
        </is>
      </c>
      <c r="F45" s="10" t="inlineStr">
        <is>
          <t>Convenience store (symbol group)</t>
        </is>
      </c>
      <c r="G45" s="10" t="inlineStr">
        <is>
          <t>Franchise / Symbol Group</t>
        </is>
      </c>
      <c r="H45" s="10" t="inlineStr">
        <is>
          <t>1</t>
        </is>
      </c>
      <c r="I45" s="10" t="inlineStr">
        <is>
          <t>Barnsley Road</t>
        </is>
      </c>
      <c r="J45" s="10" t="inlineStr">
        <is>
          <t>Barnsley</t>
        </is>
      </c>
      <c r="K45" s="10" t="inlineStr"/>
      <c r="L45" s="10" t="inlineStr"/>
      <c r="M45" s="10" t="inlineStr"/>
      <c r="N45" s="10" t="inlineStr"/>
      <c r="O45" s="10" t="inlineStr">
        <is>
          <t>https://www.spar.co.uk/store-locator/afb31700-spar-barnsley-road</t>
        </is>
      </c>
      <c r="P45" s="10" t="inlineStr"/>
      <c r="Q45" s="10" t="inlineStr"/>
      <c r="R45" s="10" t="inlineStr"/>
      <c r="S45" s="10" t="inlineStr"/>
      <c r="T45" s="10" t="inlineStr"/>
      <c r="U45" s="10" t="inlineStr"/>
      <c r="V45" s="10" t="inlineStr">
        <is>
          <t>Medium</t>
        </is>
      </c>
      <c r="W45" s="10" t="inlineStr">
        <is>
          <t>Multi-site retailer; Independent retailer; Relevant category; Active website</t>
        </is>
      </c>
      <c r="X45" s="10" t="inlineStr">
        <is>
          <t>Not Found</t>
        </is>
      </c>
      <c r="Y45" s="10" t="inlineStr">
        <is>
          <t>Not Found</t>
        </is>
      </c>
      <c r="Z45" s="10" t="inlineStr">
        <is>
          <t>Low</t>
        </is>
      </c>
      <c r="AA45" s="10" t="inlineStr">
        <is>
          <t>Requires Verification</t>
        </is>
      </c>
      <c r="AB45" s="10" t="inlineStr">
        <is>
          <t>https://www.spar.co.uk/store-locator/afb31700-spar-barnsley-road</t>
        </is>
      </c>
    </row>
    <row r="46">
      <c r="A46" s="5" t="inlineStr">
        <is>
          <t>WY-0025</t>
        </is>
      </c>
      <c r="B46" s="5" t="inlineStr">
        <is>
          <t>SAVILEPETR-01</t>
        </is>
      </c>
      <c r="C46" s="5" t="inlineStr">
        <is>
          <t>Savile Petroleum Limited</t>
        </is>
      </c>
      <c r="D46" s="5" t="inlineStr">
        <is>
          <t>Dewsbury Service Station (Savile Petroleum)</t>
        </is>
      </c>
      <c r="E46" s="5" t="inlineStr">
        <is>
          <t>Petrol Station / Forecourt</t>
        </is>
      </c>
      <c r="F46" s="5" t="inlineStr">
        <is>
          <t>BP-branded independent forecourt with convenience store</t>
        </is>
      </c>
      <c r="G46" s="5" t="inlineStr">
        <is>
          <t>Independent</t>
        </is>
      </c>
      <c r="H46" s="5" t="inlineStr">
        <is>
          <t>1</t>
        </is>
      </c>
      <c r="I46" s="5" t="inlineStr">
        <is>
          <t>Savile Road</t>
        </is>
      </c>
      <c r="J46" s="5" t="inlineStr">
        <is>
          <t>Dewsbury</t>
        </is>
      </c>
      <c r="K46" s="5" t="inlineStr">
        <is>
          <t>WF12 9LR</t>
        </is>
      </c>
      <c r="L46" s="5" t="inlineStr"/>
      <c r="M46" s="5" t="inlineStr"/>
      <c r="N46" s="5" t="inlineStr"/>
      <c r="O46" s="5" t="inlineStr"/>
      <c r="P46" s="5" t="inlineStr"/>
      <c r="Q46" s="5" t="inlineStr"/>
      <c r="R46" s="5" t="inlineStr"/>
      <c r="S46" s="5" t="inlineStr"/>
      <c r="T46" s="5" t="inlineStr">
        <is>
          <t>05197700</t>
        </is>
      </c>
      <c r="U46" s="5" t="inlineStr">
        <is>
          <t>Active</t>
        </is>
      </c>
      <c r="V46" s="5" t="inlineStr">
        <is>
          <t>Medium</t>
        </is>
      </c>
      <c r="W46" s="5" t="inlineStr">
        <is>
          <t>Multi-site retailer; Independent retailer; Relevant category</t>
        </is>
      </c>
      <c r="X46" s="5" t="inlineStr">
        <is>
          <t>Not Found</t>
        </is>
      </c>
      <c r="Y46" s="5" t="inlineStr">
        <is>
          <t>Not Found</t>
        </is>
      </c>
      <c r="Z46" s="5" t="inlineStr">
        <is>
          <t>Medium</t>
        </is>
      </c>
      <c r="AA46" s="5" t="inlineStr">
        <is>
          <t>Partially Verified</t>
        </is>
      </c>
      <c r="AB46" s="5" t="inlineStr">
        <is>
          <t>https://find-and-update.company-information.service.gov.uk/company/05197700</t>
        </is>
      </c>
    </row>
    <row r="47">
      <c r="A47" s="10" t="inlineStr">
        <is>
          <t>WY-0026</t>
        </is>
      </c>
      <c r="B47" s="10" t="inlineStr">
        <is>
          <t>SINGKEEFOO-01</t>
        </is>
      </c>
      <c r="C47" s="10" t="inlineStr">
        <is>
          <t>Sing Kee Foods (Sing-Ying Group)</t>
        </is>
      </c>
      <c r="D47" s="10" t="inlineStr">
        <is>
          <t>Sing Kee Foods (Sheepscar)</t>
        </is>
      </c>
      <c r="E47" s="10" t="inlineStr">
        <is>
          <t>Independent Supermarket</t>
        </is>
      </c>
      <c r="F47" s="10" t="inlineStr">
        <is>
          <t>Chinese / Oriental supermarket and catering supplier</t>
        </is>
      </c>
      <c r="G47" s="10" t="inlineStr">
        <is>
          <t>Multi-Site Independent</t>
        </is>
      </c>
      <c r="H47" s="10" t="inlineStr">
        <is>
          <t>2</t>
        </is>
      </c>
      <c r="I47" s="10" t="inlineStr">
        <is>
          <t>Sing Yang Building, 30-36 Cross Stamford Street</t>
        </is>
      </c>
      <c r="J47" s="10" t="inlineStr">
        <is>
          <t>Leeds</t>
        </is>
      </c>
      <c r="K47" s="10" t="inlineStr">
        <is>
          <t>LS7 1BA</t>
        </is>
      </c>
      <c r="L47" s="10" t="inlineStr">
        <is>
          <t>0113 898 0168</t>
        </is>
      </c>
      <c r="M47" s="10" t="inlineStr"/>
      <c r="N47" s="10" t="inlineStr">
        <is>
          <t>wholesale@singkeefoods.co.uk</t>
        </is>
      </c>
      <c r="O47" s="10" t="inlineStr">
        <is>
          <t>https://singkeefoods.co.uk/gb/</t>
        </is>
      </c>
      <c r="P47" s="10" t="inlineStr">
        <is>
          <t>https://www.facebook.com/singkee.chinesesupermarket/</t>
        </is>
      </c>
      <c r="Q47" s="10" t="inlineStr"/>
      <c r="R47" s="10" t="inlineStr"/>
      <c r="S47" s="10" t="inlineStr"/>
      <c r="T47" s="10" t="inlineStr">
        <is>
          <t>04025779</t>
        </is>
      </c>
      <c r="U47" s="10" t="inlineStr"/>
      <c r="V47" s="10" t="inlineStr">
        <is>
          <t>High</t>
        </is>
      </c>
      <c r="W47" s="10" t="inlineStr">
        <is>
          <t>Multi-site retailer; Independent retailer; Relevant category; Public trade/sales contact; Active website; Social presence</t>
        </is>
      </c>
      <c r="X47" s="10" t="inlineStr">
        <is>
          <t>Verified directory</t>
        </is>
      </c>
      <c r="Y47" s="10" t="inlineStr">
        <is>
          <t>Website Found</t>
        </is>
      </c>
      <c r="Z47" s="10" t="inlineStr">
        <is>
          <t>Medium</t>
        </is>
      </c>
      <c r="AA47" s="10" t="inlineStr">
        <is>
          <t>Partially Verified</t>
        </is>
      </c>
      <c r="AB47" s="10" t="inlineStr">
        <is>
          <t>https://singkeefoods.com/gb/contact-us</t>
        </is>
      </c>
    </row>
    <row r="48">
      <c r="A48" s="5" t="inlineStr">
        <is>
          <t>WY-0027</t>
        </is>
      </c>
      <c r="B48" s="5" t="inlineStr">
        <is>
          <t>SINGKEEFOO-02</t>
        </is>
      </c>
      <c r="C48" s="5" t="inlineStr">
        <is>
          <t>Sing Kee Foods (Sing-Ying Group)</t>
        </is>
      </c>
      <c r="D48" s="5" t="inlineStr">
        <is>
          <t>Sing Kee Oriental Supermarket (Merrion Centre)</t>
        </is>
      </c>
      <c r="E48" s="5" t="inlineStr">
        <is>
          <t>Independent Supermarket</t>
        </is>
      </c>
      <c r="F48" s="5" t="inlineStr">
        <is>
          <t>Chinese / Oriental supermarket</t>
        </is>
      </c>
      <c r="G48" s="5" t="inlineStr">
        <is>
          <t>Multi-Site Independent</t>
        </is>
      </c>
      <c r="H48" s="5" t="inlineStr">
        <is>
          <t>2</t>
        </is>
      </c>
      <c r="I48" s="5" t="inlineStr">
        <is>
          <t>26-28 Woodhouse Lane, Merrion Centre</t>
        </is>
      </c>
      <c r="J48" s="5" t="inlineStr">
        <is>
          <t>Leeds</t>
        </is>
      </c>
      <c r="K48" s="5" t="inlineStr">
        <is>
          <t>LS2 8LX</t>
        </is>
      </c>
      <c r="L48" s="5" t="inlineStr"/>
      <c r="M48" s="5" t="inlineStr"/>
      <c r="N48" s="5" t="inlineStr"/>
      <c r="O48" s="5" t="inlineStr">
        <is>
          <t>https://singkeefoods.co.uk/gb/</t>
        </is>
      </c>
      <c r="P48" s="5" t="inlineStr">
        <is>
          <t>https://www.facebook.com/SingKeeLeedsCentre/</t>
        </is>
      </c>
      <c r="Q48" s="5" t="inlineStr"/>
      <c r="R48" s="5" t="inlineStr"/>
      <c r="S48" s="5" t="inlineStr"/>
      <c r="T48" s="5" t="inlineStr"/>
      <c r="U48" s="5" t="inlineStr"/>
      <c r="V48" s="5" t="inlineStr">
        <is>
          <t>High</t>
        </is>
      </c>
      <c r="W48" s="5" t="inlineStr">
        <is>
          <t>Multi-site retailer; Independent retailer; Relevant category; Active website; Social presence</t>
        </is>
      </c>
      <c r="X48" s="5" t="inlineStr">
        <is>
          <t>Not Found</t>
        </is>
      </c>
      <c r="Y48" s="5" t="inlineStr">
        <is>
          <t>Website Found</t>
        </is>
      </c>
      <c r="Z48" s="5" t="inlineStr">
        <is>
          <t>Medium</t>
        </is>
      </c>
      <c r="AA48" s="5" t="inlineStr">
        <is>
          <t>Requires Verification</t>
        </is>
      </c>
      <c r="AB48" s="5" t="inlineStr">
        <is>
          <t>https://singkeefoods.co.uk/gb/stores</t>
        </is>
      </c>
    </row>
    <row r="49">
      <c r="A49" s="10" t="inlineStr">
        <is>
          <t>UK-000214</t>
        </is>
      </c>
      <c r="B49" s="10" t="inlineStr">
        <is>
          <t>SPAR-01</t>
        </is>
      </c>
      <c r="C49" s="10" t="inlineStr">
        <is>
          <t>Spar</t>
        </is>
      </c>
      <c r="D49" s="10" t="inlineStr">
        <is>
          <t>Spar (Trinity Road, Cleethorpes)</t>
        </is>
      </c>
      <c r="E49" s="10" t="inlineStr">
        <is>
          <t>Convenience Store</t>
        </is>
      </c>
      <c r="F49" s="10" t="inlineStr">
        <is>
          <t>Symbol-group convenience store</t>
        </is>
      </c>
      <c r="G49" s="10" t="inlineStr">
        <is>
          <t>Franchise / Symbol Group</t>
        </is>
      </c>
      <c r="H49" s="10" t="inlineStr">
        <is>
          <t>1</t>
        </is>
      </c>
      <c r="I49" s="10" t="inlineStr">
        <is>
          <t>52 Trinity Road</t>
        </is>
      </c>
      <c r="J49" s="10" t="inlineStr">
        <is>
          <t>Cleethorpes</t>
        </is>
      </c>
      <c r="K49" s="10" t="inlineStr"/>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https://www.192.com/atoz/business/dn35/convenience--stores/</t>
        </is>
      </c>
    </row>
    <row r="50">
      <c r="A50" s="5" t="inlineStr">
        <is>
          <t>WY-0028</t>
        </is>
      </c>
      <c r="B50" s="5" t="inlineStr">
        <is>
          <t>SPEEDPETRO-01</t>
        </is>
      </c>
      <c r="C50" s="5" t="inlineStr">
        <is>
          <t>Speed Petroleum</t>
        </is>
      </c>
      <c r="D50" s="5" t="inlineStr">
        <is>
          <t>Glasshoughton Service Station</t>
        </is>
      </c>
      <c r="E50" s="5" t="inlineStr">
        <is>
          <t>Petrol Station / Forecourt</t>
        </is>
      </c>
      <c r="F50" s="5" t="inlineStr">
        <is>
          <t>BP-branded dealer forecourt with Nisa Local shop</t>
        </is>
      </c>
      <c r="G50" s="5" t="inlineStr">
        <is>
          <t>Franchise / Symbol Group</t>
        </is>
      </c>
      <c r="H50" s="5" t="inlineStr">
        <is>
          <t>1</t>
        </is>
      </c>
      <c r="I50" s="5" t="inlineStr">
        <is>
          <t>Park Road</t>
        </is>
      </c>
      <c r="J50" s="5" t="inlineStr">
        <is>
          <t>Castleford</t>
        </is>
      </c>
      <c r="K50" s="5" t="inlineStr">
        <is>
          <t>WF10 4RS</t>
        </is>
      </c>
      <c r="L50" s="5" t="inlineStr">
        <is>
          <t>01977 278353</t>
        </is>
      </c>
      <c r="M50" s="5" t="inlineStr"/>
      <c r="N50" s="5" t="inlineStr"/>
      <c r="O50" s="5" t="inlineStr">
        <is>
          <t>https://www.nisalocally.co.uk/stores/west-yorkshire/castleford/bp-glasshoughton-ser-st</t>
        </is>
      </c>
      <c r="P50" s="5" t="inlineStr"/>
      <c r="Q50" s="5" t="inlineStr"/>
      <c r="R50" s="5" t="inlineStr"/>
      <c r="S50" s="5" t="inlineStr"/>
      <c r="T50" s="5" t="inlineStr"/>
      <c r="U50" s="5" t="inlineStr"/>
      <c r="V50" s="5" t="inlineStr">
        <is>
          <t>Medium</t>
        </is>
      </c>
      <c r="W50" s="5" t="inlineStr">
        <is>
          <t>Multi-site retailer; Independent retailer; Relevant category; Active website</t>
        </is>
      </c>
      <c r="X50" s="5" t="inlineStr">
        <is>
          <t>Verified directory</t>
        </is>
      </c>
      <c r="Y50" s="5" t="inlineStr">
        <is>
          <t>Not Found</t>
        </is>
      </c>
      <c r="Z50" s="5" t="inlineStr">
        <is>
          <t>Medium</t>
        </is>
      </c>
      <c r="AA50" s="5" t="inlineStr">
        <is>
          <t>Requires Verification</t>
        </is>
      </c>
      <c r="AB50" s="5" t="inlineStr">
        <is>
          <t>https://www.nisalocally.co.uk/stores/west-yorkshire/castleford/bp-glasshoughton-ser-st</t>
        </is>
      </c>
    </row>
    <row r="51">
      <c r="A51" s="10" t="inlineStr">
        <is>
          <t>WY-0029</t>
        </is>
      </c>
      <c r="B51" s="10" t="inlineStr">
        <is>
          <t>TBCASHCARR-01</t>
        </is>
      </c>
      <c r="C51" s="10" t="inlineStr">
        <is>
          <t>TB Cash &amp; Carry</t>
        </is>
      </c>
      <c r="D51" s="10" t="inlineStr">
        <is>
          <t>TB Cash &amp; Carry (Bradford)</t>
        </is>
      </c>
      <c r="E51" s="10" t="inlineStr">
        <is>
          <t>Cash &amp; Carry</t>
        </is>
      </c>
      <c r="F51" s="10" t="inlineStr">
        <is>
          <t>Confectionery, soft drinks, crisps &amp; snacks wholesaler</t>
        </is>
      </c>
      <c r="G51" s="10" t="inlineStr">
        <is>
          <t>Multi-Site Independent</t>
        </is>
      </c>
      <c r="H51" s="10" t="inlineStr">
        <is>
          <t>2</t>
        </is>
      </c>
      <c r="I51" s="10" t="inlineStr">
        <is>
          <t>91 Legrams Lane</t>
        </is>
      </c>
      <c r="J51" s="10" t="inlineStr">
        <is>
          <t>Bradford</t>
        </is>
      </c>
      <c r="K51" s="10" t="inlineStr">
        <is>
          <t>BD7 1NH</t>
        </is>
      </c>
      <c r="L51" s="10" t="inlineStr">
        <is>
          <t>01274 740555</t>
        </is>
      </c>
      <c r="M51" s="10" t="inlineStr">
        <is>
          <t>info@tbcashandcarry.co.uk</t>
        </is>
      </c>
      <c r="N51" s="10" t="inlineStr"/>
      <c r="O51" s="10" t="inlineStr">
        <is>
          <t>https://tbcashandcarry.co.uk/</t>
        </is>
      </c>
      <c r="P51" s="10" t="inlineStr">
        <is>
          <t>https://www.facebook.com/p/TB-Cash-Carry-100077147298501/</t>
        </is>
      </c>
      <c r="Q51" s="10" t="inlineStr"/>
      <c r="R51" s="10" t="inlineStr"/>
      <c r="S51" s="10" t="inlineStr"/>
      <c r="T51" s="10" t="inlineStr"/>
      <c r="U51" s="10" t="inlineStr"/>
      <c r="V51" s="10" t="inlineStr">
        <is>
          <t>High</t>
        </is>
      </c>
      <c r="W51" s="10" t="inlineStr">
        <is>
          <t>Multi-site retailer; Independent retailer; Core relevant category; Public email available; Active website; Social presence</t>
        </is>
      </c>
      <c r="X51" s="10" t="inlineStr">
        <is>
          <t>Verified directory</t>
        </is>
      </c>
      <c r="Y51" s="10" t="inlineStr">
        <is>
          <t>Unverified</t>
        </is>
      </c>
      <c r="Z51" s="10" t="inlineStr">
        <is>
          <t>Medium</t>
        </is>
      </c>
      <c r="AA51" s="10" t="inlineStr">
        <is>
          <t>Verified (website + Companies House)</t>
        </is>
      </c>
      <c r="AB51" s="10" t="inlineStr">
        <is>
          <t>https://tbcashandcarry.co.uk/</t>
        </is>
      </c>
    </row>
    <row r="52">
      <c r="A52" s="5" t="inlineStr">
        <is>
          <t>WY-0030</t>
        </is>
      </c>
      <c r="B52" s="5" t="inlineStr">
        <is>
          <t>TBCASHCARR-02</t>
        </is>
      </c>
      <c r="C52" s="5" t="inlineStr">
        <is>
          <t>TB Cash &amp; Carry</t>
        </is>
      </c>
      <c r="D52" s="5" t="inlineStr">
        <is>
          <t>TB Cash &amp; Carry (Leeds)</t>
        </is>
      </c>
      <c r="E52" s="5" t="inlineStr">
        <is>
          <t>Cash &amp; Carry</t>
        </is>
      </c>
      <c r="F52" s="5" t="inlineStr">
        <is>
          <t>Confectionery, soft drinks, crisps &amp; snacks wholesaler</t>
        </is>
      </c>
      <c r="G52" s="5" t="inlineStr">
        <is>
          <t>Multi-Site Independent</t>
        </is>
      </c>
      <c r="H52" s="5" t="inlineStr">
        <is>
          <t>2</t>
        </is>
      </c>
      <c r="I52" s="5" t="inlineStr">
        <is>
          <t>90 Gelderd Road</t>
        </is>
      </c>
      <c r="J52" s="5" t="inlineStr">
        <is>
          <t>Leeds</t>
        </is>
      </c>
      <c r="K52" s="5" t="inlineStr">
        <is>
          <t>LS12 6HD</t>
        </is>
      </c>
      <c r="L52" s="5" t="inlineStr">
        <is>
          <t>0113 245 1454</t>
        </is>
      </c>
      <c r="M52" s="5" t="inlineStr">
        <is>
          <t>info@tbcashandcarry.co.uk</t>
        </is>
      </c>
      <c r="N52" s="5" t="inlineStr"/>
      <c r="O52" s="5" t="inlineStr">
        <is>
          <t>https://tbcashandcarry.co.uk/</t>
        </is>
      </c>
      <c r="P52" s="5" t="inlineStr">
        <is>
          <t>https://www.facebook.com/p/TB-Cash-Carry-100064390671766/</t>
        </is>
      </c>
      <c r="Q52" s="5" t="inlineStr"/>
      <c r="R52" s="5" t="inlineStr"/>
      <c r="S52" s="5" t="inlineStr"/>
      <c r="T52" s="5" t="inlineStr"/>
      <c r="U52" s="5" t="inlineStr"/>
      <c r="V52" s="5" t="inlineStr">
        <is>
          <t>High</t>
        </is>
      </c>
      <c r="W52" s="5" t="inlineStr">
        <is>
          <t>Multi-site retailer; Independent retailer; Core relevant category; Public email available; Active website; Social presence</t>
        </is>
      </c>
      <c r="X52" s="5" t="inlineStr">
        <is>
          <t>Verified directory</t>
        </is>
      </c>
      <c r="Y52" s="5" t="inlineStr">
        <is>
          <t>Unverified</t>
        </is>
      </c>
      <c r="Z52" s="5" t="inlineStr">
        <is>
          <t>Medium</t>
        </is>
      </c>
      <c r="AA52" s="5" t="inlineStr">
        <is>
          <t>Verified (website + Companies House)</t>
        </is>
      </c>
      <c r="AB52" s="5" t="inlineStr">
        <is>
          <t>https://tbcashandcarry.co.uk/</t>
        </is>
      </c>
    </row>
    <row r="53">
      <c r="A53" s="10" t="inlineStr">
        <is>
          <t>UK-000215</t>
        </is>
      </c>
      <c r="B53" s="10" t="inlineStr">
        <is>
          <t>THEDRAMSHO-01</t>
        </is>
      </c>
      <c r="C53" s="10" t="inlineStr">
        <is>
          <t>The Dram Shop</t>
        </is>
      </c>
      <c r="D53" s="10" t="inlineStr">
        <is>
          <t>The Dram Shop</t>
        </is>
      </c>
      <c r="E53" s="10" t="inlineStr">
        <is>
          <t>Off-Licence</t>
        </is>
      </c>
      <c r="F53" s="10" t="inlineStr">
        <is>
          <t>Wine, spirits and craft beer merchant</t>
        </is>
      </c>
      <c r="G53" s="10" t="inlineStr">
        <is>
          <t>Multi-Site Independent</t>
        </is>
      </c>
      <c r="H53" s="10" t="inlineStr">
        <is>
          <t>2</t>
        </is>
      </c>
      <c r="I53" s="10" t="inlineStr">
        <is>
          <t>21 Commonside</t>
        </is>
      </c>
      <c r="J53" s="10" t="inlineStr">
        <is>
          <t>Sheffield</t>
        </is>
      </c>
      <c r="K53" s="10" t="inlineStr">
        <is>
          <t>S10 1GA</t>
        </is>
      </c>
      <c r="L53" s="10" t="inlineStr">
        <is>
          <t>0114 268 3117</t>
        </is>
      </c>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Relevant category</t>
        </is>
      </c>
      <c r="X53" s="10" t="inlineStr">
        <is>
          <t>Verified directory</t>
        </is>
      </c>
      <c r="Y53" s="10" t="inlineStr">
        <is>
          <t>Not Found</t>
        </is>
      </c>
      <c r="Z53" s="10" t="inlineStr">
        <is>
          <t>Medium</t>
        </is>
      </c>
      <c r="AA53" s="10" t="inlineStr">
        <is>
          <t>Requires Verification</t>
        </is>
      </c>
      <c r="AB53" s="10" t="inlineStr">
        <is>
          <t>https://www.yelp.co.uk/biz/dram-shop-sheffield</t>
        </is>
      </c>
    </row>
    <row r="54">
      <c r="A54" s="5" t="inlineStr">
        <is>
          <t>WY-0031</t>
        </is>
      </c>
      <c r="B54" s="5" t="inlineStr">
        <is>
          <t>THEVAPECEN-01</t>
        </is>
      </c>
      <c r="C54" s="5" t="inlineStr">
        <is>
          <t>The Vape Centre</t>
        </is>
      </c>
      <c r="D54" s="5" t="inlineStr">
        <is>
          <t>The Vape Centre (Wetherby)</t>
        </is>
      </c>
      <c r="E54" s="5" t="inlineStr">
        <is>
          <t>Vape Shop</t>
        </is>
      </c>
      <c r="F54" s="5" t="inlineStr"/>
      <c r="G54" s="5" t="inlineStr">
        <is>
          <t>Multi-Site Independent</t>
        </is>
      </c>
      <c r="H54" s="5" t="inlineStr">
        <is>
          <t>2</t>
        </is>
      </c>
      <c r="I54" s="5" t="inlineStr">
        <is>
          <t>16 Market Place</t>
        </is>
      </c>
      <c r="J54" s="5" t="inlineStr">
        <is>
          <t>Wetherby</t>
        </is>
      </c>
      <c r="K54" s="5" t="inlineStr">
        <is>
          <t>LS22 6NE</t>
        </is>
      </c>
      <c r="L54" s="5" t="inlineStr">
        <is>
          <t>07388 892397</t>
        </is>
      </c>
      <c r="M54" s="5" t="inlineStr"/>
      <c r="N54" s="5" t="inlineStr"/>
      <c r="O54" s="5" t="inlineStr">
        <is>
          <t>http://www.thevapecentre.co.uk/</t>
        </is>
      </c>
      <c r="P54" s="5" t="inlineStr"/>
      <c r="Q54" s="5" t="inlineStr"/>
      <c r="R54" s="5" t="inlineStr"/>
      <c r="S54" s="5" t="inlineStr"/>
      <c r="T54" s="5" t="inlineStr"/>
      <c r="U54" s="5" t="inlineStr"/>
      <c r="V54" s="5" t="inlineStr">
        <is>
          <t>High</t>
        </is>
      </c>
      <c r="W54" s="5" t="inlineStr">
        <is>
          <t>Multi-site retailer; Independent retailer; Core relevant category; Active website</t>
        </is>
      </c>
      <c r="X54" s="5" t="inlineStr">
        <is>
          <t>Verified directory</t>
        </is>
      </c>
      <c r="Y54" s="5" t="inlineStr">
        <is>
          <t>Website Found</t>
        </is>
      </c>
      <c r="Z54" s="5" t="inlineStr">
        <is>
          <t>Medium</t>
        </is>
      </c>
      <c r="AA54" s="5" t="inlineStr">
        <is>
          <t>Requires Verification</t>
        </is>
      </c>
      <c r="AB54" s="5" t="inlineStr">
        <is>
          <t>https://wetherbytowncouncil.gov.uk/our-businesses/vape-centre/</t>
        </is>
      </c>
    </row>
    <row r="55">
      <c r="A55" s="10" t="inlineStr">
        <is>
          <t>WY-0032</t>
        </is>
      </c>
      <c r="B55" s="10" t="inlineStr">
        <is>
          <t>TOTALLYWIC-01</t>
        </is>
      </c>
      <c r="C55" s="10" t="inlineStr">
        <is>
          <t>Totally Wicked</t>
        </is>
      </c>
      <c r="D55" s="10" t="inlineStr">
        <is>
          <t>Totally Wicked</t>
        </is>
      </c>
      <c r="E55" s="10" t="inlineStr">
        <is>
          <t>Vape Shop</t>
        </is>
      </c>
      <c r="F55" s="10" t="inlineStr">
        <is>
          <t>E-cigarette and e-liquid chain store</t>
        </is>
      </c>
      <c r="G55" s="10" t="inlineStr">
        <is>
          <t>National Chain</t>
        </is>
      </c>
      <c r="H55" s="10" t="inlineStr"/>
      <c r="I55" s="10" t="inlineStr">
        <is>
          <t>53-55 Bethel Street</t>
        </is>
      </c>
      <c r="J55" s="10" t="inlineStr">
        <is>
          <t>Brighouse</t>
        </is>
      </c>
      <c r="K55" s="10" t="inlineStr">
        <is>
          <t>HD6 1JR</t>
        </is>
      </c>
      <c r="L55" s="10" t="inlineStr">
        <is>
          <t>01484 769431</t>
        </is>
      </c>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Core relevant category</t>
        </is>
      </c>
      <c r="X55" s="10" t="inlineStr">
        <is>
          <t>Verified directory</t>
        </is>
      </c>
      <c r="Y55" s="10" t="inlineStr">
        <is>
          <t>Not Found</t>
        </is>
      </c>
      <c r="Z55" s="10" t="inlineStr">
        <is>
          <t>Medium</t>
        </is>
      </c>
      <c r="AA55" s="10" t="inlineStr">
        <is>
          <t>Requires Verification</t>
        </is>
      </c>
      <c r="AB55" s="10" t="inlineStr">
        <is>
          <t>https://brighouse.cylex-uk.co.uk/vape-shops/</t>
        </is>
      </c>
    </row>
    <row r="56">
      <c r="A56" s="5" t="inlineStr">
        <is>
          <t>WY-0033</t>
        </is>
      </c>
      <c r="B56" s="5" t="inlineStr">
        <is>
          <t>TOTALLYWIC-02</t>
        </is>
      </c>
      <c r="C56" s="5" t="inlineStr">
        <is>
          <t>Totally Wicked</t>
        </is>
      </c>
      <c r="D56" s="5" t="inlineStr">
        <is>
          <t>Totally Wicked</t>
        </is>
      </c>
      <c r="E56" s="5" t="inlineStr">
        <is>
          <t>Vape Shop</t>
        </is>
      </c>
      <c r="F56" s="5" t="inlineStr">
        <is>
          <t>E-cigarette and e-liquid chain store</t>
        </is>
      </c>
      <c r="G56" s="5" t="inlineStr">
        <is>
          <t>National Chain</t>
        </is>
      </c>
      <c r="H56" s="5" t="inlineStr"/>
      <c r="I56" s="5" t="inlineStr">
        <is>
          <t>10 Commercial Street</t>
        </is>
      </c>
      <c r="J56" s="5" t="inlineStr">
        <is>
          <t>Halifax</t>
        </is>
      </c>
      <c r="K56" s="5" t="inlineStr">
        <is>
          <t>HX1 1TA</t>
        </is>
      </c>
      <c r="L56" s="5" t="inlineStr">
        <is>
          <t>01422 320223</t>
        </is>
      </c>
      <c r="M56" s="5" t="inlineStr"/>
      <c r="N56" s="5" t="inlineStr"/>
      <c r="O56" s="5" t="inlineStr">
        <is>
          <t>https://www.totallywicked-eliquid.co.uk/stores/halifax-e-cigs-e-liquid-shop</t>
        </is>
      </c>
      <c r="P56" s="5" t="inlineStr"/>
      <c r="Q56" s="5" t="inlineStr"/>
      <c r="R56" s="5" t="inlineStr"/>
      <c r="S56" s="5" t="inlineStr"/>
      <c r="T56" s="5" t="inlineStr"/>
      <c r="U56" s="5" t="inlineStr"/>
      <c r="V56" s="5" t="inlineStr">
        <is>
          <t>Medium</t>
        </is>
      </c>
      <c r="W56" s="5" t="inlineStr">
        <is>
          <t>Multi-site retailer; Core relevant category; Active website</t>
        </is>
      </c>
      <c r="X56" s="5" t="inlineStr">
        <is>
          <t>Verified directory</t>
        </is>
      </c>
      <c r="Y56" s="5" t="inlineStr">
        <is>
          <t>Website Found</t>
        </is>
      </c>
      <c r="Z56" s="5" t="inlineStr">
        <is>
          <t>Medium</t>
        </is>
      </c>
      <c r="AA56" s="5" t="inlineStr">
        <is>
          <t>Requires Verification</t>
        </is>
      </c>
      <c r="AB56" s="5" t="inlineStr">
        <is>
          <t>https://www.totallywicked-eliquid.co.uk/stores/halifax-e-cigs-e-liquid-shop</t>
        </is>
      </c>
    </row>
    <row r="57">
      <c r="A57" s="10" t="inlineStr">
        <is>
          <t>UK-000216</t>
        </is>
      </c>
      <c r="B57" s="10" t="inlineStr">
        <is>
          <t>VAPEXSTORE-01</t>
        </is>
      </c>
      <c r="C57" s="10" t="inlineStr">
        <is>
          <t>VAPEx Stores</t>
        </is>
      </c>
      <c r="D57" s="10" t="inlineStr">
        <is>
          <t>VAPEx Doncaster</t>
        </is>
      </c>
      <c r="E57" s="10" t="inlineStr">
        <is>
          <t>Vape Shop</t>
        </is>
      </c>
      <c r="F57" s="10" t="inlineStr">
        <is>
          <t>E-cigarette and vape shop</t>
        </is>
      </c>
      <c r="G57" s="10" t="inlineStr">
        <is>
          <t>Multi-Site Independent</t>
        </is>
      </c>
      <c r="H57" s="10" t="inlineStr">
        <is>
          <t>1</t>
        </is>
      </c>
      <c r="I57" s="10" t="inlineStr">
        <is>
          <t>61a Carr House Road</t>
        </is>
      </c>
      <c r="J57" s="10" t="inlineStr">
        <is>
          <t>Doncaster</t>
        </is>
      </c>
      <c r="K57" s="10" t="inlineStr">
        <is>
          <t>DN1 2BY</t>
        </is>
      </c>
      <c r="L57" s="10" t="inlineStr">
        <is>
          <t>01302 315051</t>
        </is>
      </c>
      <c r="M57" s="10" t="inlineStr"/>
      <c r="N57" s="10" t="inlineStr"/>
      <c r="O57" s="10" t="inlineStr">
        <is>
          <t>https://vapexstores.co.uk/dn1</t>
        </is>
      </c>
      <c r="P57" s="10" t="inlineStr">
        <is>
          <t>https://www.facebook.com/vapexdoncaster/</t>
        </is>
      </c>
      <c r="Q57" s="10" t="inlineStr"/>
      <c r="R57" s="10" t="inlineStr"/>
      <c r="S57" s="10" t="inlineStr"/>
      <c r="T57" s="10" t="inlineStr"/>
      <c r="U57" s="10" t="inlineStr"/>
      <c r="V57" s="10" t="inlineStr">
        <is>
          <t>High</t>
        </is>
      </c>
      <c r="W57" s="10" t="inlineStr">
        <is>
          <t>Multi-site retailer; Independent retailer; Core relevant category; Active website; Social presence</t>
        </is>
      </c>
      <c r="X57" s="10" t="inlineStr">
        <is>
          <t>Verified directory</t>
        </is>
      </c>
      <c r="Y57" s="10" t="inlineStr">
        <is>
          <t>Website Found</t>
        </is>
      </c>
      <c r="Z57" s="10" t="inlineStr">
        <is>
          <t>Medium</t>
        </is>
      </c>
      <c r="AA57" s="10" t="inlineStr">
        <is>
          <t>Requires Verification</t>
        </is>
      </c>
      <c r="AB57" s="10" t="inlineStr">
        <is>
          <t>https://directory.gazettelive.co.uk/company/38099bbaff0399ea2ed5ae56d12efd2e</t>
        </is>
      </c>
    </row>
    <row r="58">
      <c r="A58" s="5" t="inlineStr">
        <is>
          <t>UK-000217</t>
        </is>
      </c>
      <c r="B58" s="5" t="inlineStr">
        <is>
          <t>VALLIFOREC-01</t>
        </is>
      </c>
      <c r="C58" s="5" t="inlineStr">
        <is>
          <t>Valli Forecourts</t>
        </is>
      </c>
      <c r="D58" s="5" t="inlineStr">
        <is>
          <t>Valli Forecourts (Bawtry Road)</t>
        </is>
      </c>
      <c r="E58" s="5" t="inlineStr">
        <is>
          <t>Petrol Station / Forecourt</t>
        </is>
      </c>
      <c r="F58" s="5" t="inlineStr">
        <is>
          <t>Independent forecourt with convenience store</t>
        </is>
      </c>
      <c r="G58" s="5" t="inlineStr">
        <is>
          <t>Multi-Site Independent</t>
        </is>
      </c>
      <c r="H58" s="5" t="inlineStr">
        <is>
          <t>1</t>
        </is>
      </c>
      <c r="I58" s="5" t="inlineStr">
        <is>
          <t>Bawtry Road</t>
        </is>
      </c>
      <c r="J58" s="5" t="inlineStr">
        <is>
          <t>Doncaster</t>
        </is>
      </c>
      <c r="K58" s="5" t="inlineStr"/>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Independent retailer; Relevant category</t>
        </is>
      </c>
      <c r="X58" s="5" t="inlineStr">
        <is>
          <t>Not Found</t>
        </is>
      </c>
      <c r="Y58" s="5" t="inlineStr">
        <is>
          <t>Not Found</t>
        </is>
      </c>
      <c r="Z58" s="5" t="inlineStr">
        <is>
          <t>Low</t>
        </is>
      </c>
      <c r="AA58" s="5" t="inlineStr">
        <is>
          <t>Requires Verification</t>
        </is>
      </c>
      <c r="AB58" s="5" t="inlineStr">
        <is>
          <t>https://www.mylocalservices.co.uk/24+Hr+Petrol+Stations-Doncaster.html</t>
        </is>
      </c>
    </row>
    <row r="59">
      <c r="A59" s="10" t="inlineStr">
        <is>
          <t>WY-0034</t>
        </is>
      </c>
      <c r="B59" s="10" t="inlineStr">
        <is>
          <t>VALLIFOREC-01</t>
        </is>
      </c>
      <c r="C59" s="10" t="inlineStr">
        <is>
          <t>Valli Forecourts Ltd</t>
        </is>
      </c>
      <c r="D59" s="10" t="inlineStr">
        <is>
          <t>BP Gledhow Service Station (Valli Forecourts)</t>
        </is>
      </c>
      <c r="E59" s="10" t="inlineStr">
        <is>
          <t>Petrol Station / Forecourt</t>
        </is>
      </c>
      <c r="F59" s="10" t="inlineStr">
        <is>
          <t>BP-branded forecourt with convenience store</t>
        </is>
      </c>
      <c r="G59" s="10" t="inlineStr">
        <is>
          <t>Regional Chain</t>
        </is>
      </c>
      <c r="H59" s="10" t="inlineStr">
        <is>
          <t>16</t>
        </is>
      </c>
      <c r="I59" s="10" t="inlineStr"/>
      <c r="J59" s="10" t="inlineStr">
        <is>
          <t>Leeds</t>
        </is>
      </c>
      <c r="K59" s="10" t="inlineStr">
        <is>
          <t>LS8 4BU</t>
        </is>
      </c>
      <c r="L59" s="10" t="inlineStr"/>
      <c r="M59" s="10" t="inlineStr"/>
      <c r="N59" s="10" t="inlineStr"/>
      <c r="O59" s="10" t="inlineStr">
        <is>
          <t>https://valliforecourts.co.uk/</t>
        </is>
      </c>
      <c r="P59" s="10" t="inlineStr"/>
      <c r="Q59" s="10" t="inlineStr"/>
      <c r="R59" s="10" t="inlineStr"/>
      <c r="S59" s="10" t="inlineStr"/>
      <c r="T59" s="10" t="inlineStr"/>
      <c r="U59" s="10" t="inlineStr"/>
      <c r="V59" s="10" t="inlineStr">
        <is>
          <t>Medium</t>
        </is>
      </c>
      <c r="W59" s="10" t="inlineStr">
        <is>
          <t>Multi-site retailer; Relevant category; Active website</t>
        </is>
      </c>
      <c r="X59" s="10" t="inlineStr">
        <is>
          <t>Not Found</t>
        </is>
      </c>
      <c r="Y59" s="10" t="inlineStr">
        <is>
          <t>Website Found</t>
        </is>
      </c>
      <c r="Z59" s="10" t="inlineStr">
        <is>
          <t>Medium</t>
        </is>
      </c>
      <c r="AA59" s="10" t="inlineStr">
        <is>
          <t>Requires Verification</t>
        </is>
      </c>
      <c r="AB59" s="10" t="inlineStr">
        <is>
          <t>https://www.petrolprices.com/locations/huddersfield</t>
        </is>
      </c>
    </row>
    <row r="60">
      <c r="A60" s="5" t="inlineStr">
        <is>
          <t>WY-0035</t>
        </is>
      </c>
      <c r="B60" s="5" t="inlineStr">
        <is>
          <t>VALLIFOREC-02</t>
        </is>
      </c>
      <c r="C60" s="5" t="inlineStr">
        <is>
          <t>Valli Forecourts Ltd</t>
        </is>
      </c>
      <c r="D60" s="5" t="inlineStr">
        <is>
          <t>Valli Forecourts Ltd (Head Office)</t>
        </is>
      </c>
      <c r="E60" s="5" t="inlineStr">
        <is>
          <t>Petrol Station / Forecourt</t>
        </is>
      </c>
      <c r="F60" s="5" t="inlineStr">
        <is>
          <t>Independent forecourt group head office</t>
        </is>
      </c>
      <c r="G60" s="5" t="inlineStr">
        <is>
          <t>Regional Chain</t>
        </is>
      </c>
      <c r="H60" s="5" t="inlineStr">
        <is>
          <t>16</t>
        </is>
      </c>
      <c r="I60" s="5" t="inlineStr"/>
      <c r="J60" s="5" t="inlineStr">
        <is>
          <t>Leeds</t>
        </is>
      </c>
      <c r="K60" s="5" t="inlineStr"/>
      <c r="L60" s="5" t="inlineStr"/>
      <c r="M60" s="5" t="inlineStr"/>
      <c r="N60" s="5" t="inlineStr"/>
      <c r="O60" s="5" t="inlineStr">
        <is>
          <t>https://valliforecourts.co.uk/</t>
        </is>
      </c>
      <c r="P60" s="5" t="inlineStr"/>
      <c r="Q60" s="5" t="inlineStr"/>
      <c r="R60" s="5" t="inlineStr"/>
      <c r="S60" s="5" t="inlineStr"/>
      <c r="T60" s="5" t="inlineStr"/>
      <c r="U60" s="5" t="inlineStr"/>
      <c r="V60" s="5" t="inlineStr">
        <is>
          <t>Medium</t>
        </is>
      </c>
      <c r="W60" s="5" t="inlineStr">
        <is>
          <t>Multi-site retailer; Relevant category; Active website; Social presence</t>
        </is>
      </c>
      <c r="X60" s="5" t="inlineStr">
        <is>
          <t>Not Found</t>
        </is>
      </c>
      <c r="Y60" s="5" t="inlineStr">
        <is>
          <t>Website Found</t>
        </is>
      </c>
      <c r="Z60" s="5" t="inlineStr">
        <is>
          <t>Low</t>
        </is>
      </c>
      <c r="AA60" s="5" t="inlineStr">
        <is>
          <t>Requires Verification</t>
        </is>
      </c>
      <c r="AB60" s="5" t="inlineStr">
        <is>
          <t>https://www.yorkshire.com/moortown/transport/petrol-stations/valli-forecourts-ltd-head-office</t>
        </is>
      </c>
    </row>
    <row r="61">
      <c r="A61" s="10" t="inlineStr">
        <is>
          <t>WY-0036</t>
        </is>
      </c>
      <c r="B61" s="10" t="inlineStr">
        <is>
          <t>VAPARAMA-01</t>
        </is>
      </c>
      <c r="C61" s="10" t="inlineStr">
        <is>
          <t>Vaparama</t>
        </is>
      </c>
      <c r="D61" s="10" t="inlineStr">
        <is>
          <t>Vaparama (Featherstone)</t>
        </is>
      </c>
      <c r="E61" s="10" t="inlineStr">
        <is>
          <t>Vape Shop</t>
        </is>
      </c>
      <c r="F61" s="10" t="inlineStr">
        <is>
          <t>E-liquid specialist / vape retailer</t>
        </is>
      </c>
      <c r="G61" s="10" t="inlineStr">
        <is>
          <t>Regional Chain</t>
        </is>
      </c>
      <c r="H61" s="10" t="inlineStr">
        <is>
          <t>7</t>
        </is>
      </c>
      <c r="I61" s="10" t="inlineStr">
        <is>
          <t>73-75 Station Lane</t>
        </is>
      </c>
      <c r="J61" s="10" t="inlineStr">
        <is>
          <t>Featherstone</t>
        </is>
      </c>
      <c r="K61" s="10" t="inlineStr">
        <is>
          <t>WF7 5BJ</t>
        </is>
      </c>
      <c r="L61" s="10" t="inlineStr"/>
      <c r="M61" s="10" t="inlineStr"/>
      <c r="N61" s="10" t="inlineStr">
        <is>
          <t>shop@vaparama.co.uk</t>
        </is>
      </c>
      <c r="O61" s="10" t="inlineStr">
        <is>
          <t>https://www.vaparama.co.uk</t>
        </is>
      </c>
      <c r="P61" s="10" t="inlineStr">
        <is>
          <t>https://www.facebook.com/p/Vaparama-100063743672150/</t>
        </is>
      </c>
      <c r="Q61" s="10" t="inlineStr"/>
      <c r="R61" s="10" t="inlineStr"/>
      <c r="S61" s="10" t="inlineStr"/>
      <c r="T61" s="10" t="inlineStr">
        <is>
          <t>09736212</t>
        </is>
      </c>
      <c r="U61" s="10" t="inlineStr">
        <is>
          <t>Active</t>
        </is>
      </c>
      <c r="V61" s="10" t="inlineStr">
        <is>
          <t>High</t>
        </is>
      </c>
      <c r="W61" s="10" t="inlineStr">
        <is>
          <t>Multi-site retailer; Core relevant category; Public email available; Active website; Social presence</t>
        </is>
      </c>
      <c r="X61" s="10" t="inlineStr">
        <is>
          <t>Not Found</t>
        </is>
      </c>
      <c r="Y61" s="10" t="inlineStr">
        <is>
          <t>Publicly Listed</t>
        </is>
      </c>
      <c r="Z61" s="10" t="inlineStr">
        <is>
          <t>Medium</t>
        </is>
      </c>
      <c r="AA61" s="10" t="inlineStr">
        <is>
          <t>Partially Verified</t>
        </is>
      </c>
      <c r="AB61" s="10" t="inlineStr">
        <is>
          <t>https://www.vaparama.co.uk/contact/</t>
        </is>
      </c>
    </row>
    <row r="62">
      <c r="A62" s="5" t="inlineStr">
        <is>
          <t>WY-0037</t>
        </is>
      </c>
      <c r="B62" s="5" t="inlineStr">
        <is>
          <t>VAPARAMA-02</t>
        </is>
      </c>
      <c r="C62" s="5" t="inlineStr">
        <is>
          <t>Vaparama</t>
        </is>
      </c>
      <c r="D62" s="5" t="inlineStr">
        <is>
          <t>Vaparama (Pontefract)</t>
        </is>
      </c>
      <c r="E62" s="5" t="inlineStr">
        <is>
          <t>Vape Shop</t>
        </is>
      </c>
      <c r="F62" s="5" t="inlineStr">
        <is>
          <t>E-liquid specialist / vape retailer and wholesaler</t>
        </is>
      </c>
      <c r="G62" s="5" t="inlineStr">
        <is>
          <t>Regional Chain</t>
        </is>
      </c>
      <c r="H62" s="5" t="inlineStr">
        <is>
          <t>7</t>
        </is>
      </c>
      <c r="I62" s="5" t="inlineStr">
        <is>
          <t>13 Market Place</t>
        </is>
      </c>
      <c r="J62" s="5" t="inlineStr">
        <is>
          <t>Pontefract</t>
        </is>
      </c>
      <c r="K62" s="5" t="inlineStr">
        <is>
          <t>WF8 1AG</t>
        </is>
      </c>
      <c r="L62" s="5" t="inlineStr">
        <is>
          <t>01977 277170</t>
        </is>
      </c>
      <c r="M62" s="5" t="inlineStr">
        <is>
          <t>shop@vaparama.co.uk</t>
        </is>
      </c>
      <c r="N62" s="5" t="inlineStr"/>
      <c r="O62" s="5" t="inlineStr">
        <is>
          <t>https://www.vaparama.co.uk</t>
        </is>
      </c>
      <c r="P62" s="5" t="inlineStr">
        <is>
          <t>https://www.facebook.com/p/Vaparama-100063743672150/</t>
        </is>
      </c>
      <c r="Q62" s="5" t="inlineStr"/>
      <c r="R62" s="5" t="inlineStr"/>
      <c r="S62" s="5" t="inlineStr"/>
      <c r="T62" s="5" t="inlineStr">
        <is>
          <t>09736212</t>
        </is>
      </c>
      <c r="U62" s="5" t="inlineStr">
        <is>
          <t>Active</t>
        </is>
      </c>
      <c r="V62" s="5" t="inlineStr">
        <is>
          <t>High</t>
        </is>
      </c>
      <c r="W62" s="5" t="inlineStr">
        <is>
          <t>Multi-site retailer; Core relevant category; Public email available; Active website; Social presence</t>
        </is>
      </c>
      <c r="X62" s="5" t="inlineStr">
        <is>
          <t>Verified directory</t>
        </is>
      </c>
      <c r="Y62" s="5" t="inlineStr">
        <is>
          <t>Unverified</t>
        </is>
      </c>
      <c r="Z62" s="5" t="inlineStr">
        <is>
          <t>Medium</t>
        </is>
      </c>
      <c r="AA62" s="5" t="inlineStr">
        <is>
          <t>Partially Verified</t>
        </is>
      </c>
      <c r="AB62" s="5" t="inlineStr">
        <is>
          <t>https://find-and-update.company-information.service.gov.uk/company/09736212</t>
        </is>
      </c>
    </row>
    <row r="63">
      <c r="A63" s="10" t="inlineStr">
        <is>
          <t>WY-0038</t>
        </is>
      </c>
      <c r="B63" s="10" t="inlineStr">
        <is>
          <t>VAPARAMA-03</t>
        </is>
      </c>
      <c r="C63" s="10" t="inlineStr">
        <is>
          <t>Vaparama</t>
        </is>
      </c>
      <c r="D63" s="10" t="inlineStr">
        <is>
          <t>Vaparama (Wakefield)</t>
        </is>
      </c>
      <c r="E63" s="10" t="inlineStr">
        <is>
          <t>Vape Shop</t>
        </is>
      </c>
      <c r="F63" s="10" t="inlineStr">
        <is>
          <t>E-liquid specialist / vape retailer</t>
        </is>
      </c>
      <c r="G63" s="10" t="inlineStr">
        <is>
          <t>Regional Chain</t>
        </is>
      </c>
      <c r="H63" s="10" t="inlineStr">
        <is>
          <t>7</t>
        </is>
      </c>
      <c r="I63" s="10" t="inlineStr">
        <is>
          <t>Britannia House, 31 Warrengate</t>
        </is>
      </c>
      <c r="J63" s="10" t="inlineStr">
        <is>
          <t>Wakefield</t>
        </is>
      </c>
      <c r="K63" s="10" t="inlineStr"/>
      <c r="L63" s="10" t="inlineStr"/>
      <c r="M63" s="10" t="inlineStr"/>
      <c r="N63" s="10" t="inlineStr">
        <is>
          <t>shop@vaparama.co.uk</t>
        </is>
      </c>
      <c r="O63" s="10" t="inlineStr">
        <is>
          <t>https://www.vaparama.co.uk</t>
        </is>
      </c>
      <c r="P63" s="10" t="inlineStr">
        <is>
          <t>https://www.facebook.com/p/Vaparama-100063743672150/</t>
        </is>
      </c>
      <c r="Q63" s="10" t="inlineStr"/>
      <c r="R63" s="10" t="inlineStr"/>
      <c r="S63" s="10" t="inlineStr"/>
      <c r="T63" s="10" t="inlineStr">
        <is>
          <t>09736212</t>
        </is>
      </c>
      <c r="U63" s="10" t="inlineStr">
        <is>
          <t>Active</t>
        </is>
      </c>
      <c r="V63" s="10" t="inlineStr">
        <is>
          <t>High</t>
        </is>
      </c>
      <c r="W63" s="10" t="inlineStr">
        <is>
          <t>Multi-site retailer; Core relevant category; Public email available; Active website; Social presence</t>
        </is>
      </c>
      <c r="X63" s="10" t="inlineStr">
        <is>
          <t>Not Found</t>
        </is>
      </c>
      <c r="Y63" s="10" t="inlineStr">
        <is>
          <t>Publicly Listed</t>
        </is>
      </c>
      <c r="Z63" s="10" t="inlineStr">
        <is>
          <t>Medium</t>
        </is>
      </c>
      <c r="AA63" s="10" t="inlineStr">
        <is>
          <t>Partially Verified</t>
        </is>
      </c>
      <c r="AB63" s="10" t="inlineStr">
        <is>
          <t>https://www.vaparama.co.uk/contact/</t>
        </is>
      </c>
    </row>
    <row r="64">
      <c r="A64" s="5" t="inlineStr">
        <is>
          <t>UK-000218</t>
        </is>
      </c>
      <c r="B64" s="5" t="inlineStr">
        <is>
          <t>VAPESAFE-01</t>
        </is>
      </c>
      <c r="C64" s="5" t="inlineStr">
        <is>
          <t>Vape Safe</t>
        </is>
      </c>
      <c r="D64" s="5" t="inlineStr">
        <is>
          <t>Vape Safe Whitby</t>
        </is>
      </c>
      <c r="E64" s="5" t="inlineStr">
        <is>
          <t>Vape Shop</t>
        </is>
      </c>
      <c r="F64" s="5" t="inlineStr">
        <is>
          <t>Premium e-liquids, pods &amp; mods</t>
        </is>
      </c>
      <c r="G64" s="5" t="inlineStr">
        <is>
          <t>Multi-Site Independent</t>
        </is>
      </c>
      <c r="H64" s="5" t="inlineStr">
        <is>
          <t>2</t>
        </is>
      </c>
      <c r="I64" s="5" t="inlineStr">
        <is>
          <t>24 Baxtergate</t>
        </is>
      </c>
      <c r="J64" s="5" t="inlineStr">
        <is>
          <t>Whitby</t>
        </is>
      </c>
      <c r="K64" s="5" t="inlineStr">
        <is>
          <t>YO21 1BW</t>
        </is>
      </c>
      <c r="L64" s="5" t="inlineStr">
        <is>
          <t>01947 604873</t>
        </is>
      </c>
      <c r="M64" s="5" t="inlineStr"/>
      <c r="N64" s="5" t="inlineStr"/>
      <c r="O64" s="5" t="inlineStr">
        <is>
          <t>https://www.vapesafe.net/</t>
        </is>
      </c>
      <c r="P64" s="5" t="inlineStr"/>
      <c r="Q64" s="5" t="inlineStr"/>
      <c r="R64" s="5" t="inlineStr"/>
      <c r="S64" s="5" t="inlineStr"/>
      <c r="T64" s="5" t="inlineStr"/>
      <c r="U64" s="5" t="inlineStr"/>
      <c r="V64" s="5" t="inlineStr">
        <is>
          <t>High</t>
        </is>
      </c>
      <c r="W64" s="5" t="inlineStr">
        <is>
          <t>Multi-site retailer; Independent retailer; Core relevant category; Active website</t>
        </is>
      </c>
      <c r="X64" s="5" t="inlineStr">
        <is>
          <t>Verified directory</t>
        </is>
      </c>
      <c r="Y64" s="5" t="inlineStr">
        <is>
          <t>Not Found</t>
        </is>
      </c>
      <c r="Z64" s="5" t="inlineStr">
        <is>
          <t>Low</t>
        </is>
      </c>
      <c r="AA64" s="5" t="inlineStr">
        <is>
          <t>Requires Verification</t>
        </is>
      </c>
      <c r="AB64" s="5" t="inlineStr">
        <is>
          <t>https://www.vapesafe.net/</t>
        </is>
      </c>
    </row>
    <row r="65">
      <c r="A65" s="10" t="inlineStr">
        <is>
          <t>UK-000219</t>
        </is>
      </c>
      <c r="B65" s="10" t="inlineStr">
        <is>
          <t>VAPESAFE-02</t>
        </is>
      </c>
      <c r="C65" s="10" t="inlineStr">
        <is>
          <t>Vape Safe</t>
        </is>
      </c>
      <c r="D65" s="10" t="inlineStr">
        <is>
          <t>Vape Safe York</t>
        </is>
      </c>
      <c r="E65" s="10" t="inlineStr">
        <is>
          <t>Vape Shop</t>
        </is>
      </c>
      <c r="F65" s="10" t="inlineStr">
        <is>
          <t>Premium e-liquids, pods &amp; mods</t>
        </is>
      </c>
      <c r="G65" s="10" t="inlineStr">
        <is>
          <t>Multi-Site Independent</t>
        </is>
      </c>
      <c r="H65" s="10" t="inlineStr">
        <is>
          <t>2</t>
        </is>
      </c>
      <c r="I65" s="10" t="inlineStr">
        <is>
          <t>8 Stonegate</t>
        </is>
      </c>
      <c r="J65" s="10" t="inlineStr">
        <is>
          <t>York</t>
        </is>
      </c>
      <c r="K65" s="10" t="inlineStr">
        <is>
          <t>YO1 8AX</t>
        </is>
      </c>
      <c r="L65" s="10" t="inlineStr">
        <is>
          <t>01904 848488</t>
        </is>
      </c>
      <c r="M65" s="10" t="inlineStr"/>
      <c r="N65" s="10" t="inlineStr"/>
      <c r="O65" s="10" t="inlineStr">
        <is>
          <t>https://www.vapesafe.net/</t>
        </is>
      </c>
      <c r="P65" s="10" t="inlineStr"/>
      <c r="Q65" s="10" t="inlineStr"/>
      <c r="R65" s="10" t="inlineStr"/>
      <c r="S65" s="10" t="inlineStr"/>
      <c r="T65" s="10" t="inlineStr"/>
      <c r="U65" s="10" t="inlineStr"/>
      <c r="V65" s="10" t="inlineStr">
        <is>
          <t>High</t>
        </is>
      </c>
      <c r="W65" s="10" t="inlineStr">
        <is>
          <t>Multi-site retailer; Independent retailer; Core relevant category; Active website</t>
        </is>
      </c>
      <c r="X65" s="10" t="inlineStr">
        <is>
          <t>Verified directory</t>
        </is>
      </c>
      <c r="Y65" s="10" t="inlineStr">
        <is>
          <t>Website Found</t>
        </is>
      </c>
      <c r="Z65" s="10" t="inlineStr">
        <is>
          <t>Medium</t>
        </is>
      </c>
      <c r="AA65" s="10" t="inlineStr">
        <is>
          <t>Requires Verification</t>
        </is>
      </c>
      <c r="AB65" s="10" t="inlineStr">
        <is>
          <t>https://www.vapesafe.net/</t>
        </is>
      </c>
    </row>
    <row r="66">
      <c r="A66" s="5" t="inlineStr">
        <is>
          <t>UK-000220</t>
        </is>
      </c>
      <c r="B66" s="5" t="inlineStr">
        <is>
          <t>VAPESHACK-01</t>
        </is>
      </c>
      <c r="C66" s="5" t="inlineStr">
        <is>
          <t>Vape Shack</t>
        </is>
      </c>
      <c r="D66" s="5" t="inlineStr">
        <is>
          <t>The Vape Shack Beverley</t>
        </is>
      </c>
      <c r="E66" s="5" t="inlineStr">
        <is>
          <t>Vape Shop</t>
        </is>
      </c>
      <c r="F66" s="5" t="inlineStr">
        <is>
          <t>E-liquid and e-cigarette shop</t>
        </is>
      </c>
      <c r="G66" s="5" t="inlineStr">
        <is>
          <t>Multi-Site Independent</t>
        </is>
      </c>
      <c r="H66" s="5" t="inlineStr">
        <is>
          <t>2</t>
        </is>
      </c>
      <c r="I66" s="5" t="inlineStr">
        <is>
          <t>7 Sow Hill Road</t>
        </is>
      </c>
      <c r="J66" s="5" t="inlineStr">
        <is>
          <t>Beverley</t>
        </is>
      </c>
      <c r="K66" s="5" t="inlineStr">
        <is>
          <t>HU17 8BG</t>
        </is>
      </c>
      <c r="L66" s="5" t="inlineStr">
        <is>
          <t>07359 267997</t>
        </is>
      </c>
      <c r="M66" s="5" t="inlineStr"/>
      <c r="N66" s="5" t="inlineStr"/>
      <c r="O66" s="5" t="inlineStr">
        <is>
          <t>https://www.vape-shack.co.uk</t>
        </is>
      </c>
      <c r="P66" s="5" t="inlineStr">
        <is>
          <t>https://www.facebook.com/thevapeshackbeverley/</t>
        </is>
      </c>
      <c r="Q66" s="5" t="inlineStr"/>
      <c r="R66" s="5" t="inlineStr"/>
      <c r="S66" s="5" t="inlineStr"/>
      <c r="T66" s="5" t="inlineStr"/>
      <c r="U66" s="5" t="inlineStr"/>
      <c r="V66" s="5" t="inlineStr">
        <is>
          <t>High</t>
        </is>
      </c>
      <c r="W66" s="5" t="inlineStr">
        <is>
          <t>Multi-site retailer; Independent retailer; Core relevant category; Active website; Social presence</t>
        </is>
      </c>
      <c r="X66" s="5" t="inlineStr">
        <is>
          <t>Verified directory</t>
        </is>
      </c>
      <c r="Y66" s="5" t="inlineStr">
        <is>
          <t>Not Found</t>
        </is>
      </c>
      <c r="Z66" s="5" t="inlineStr">
        <is>
          <t>Medium</t>
        </is>
      </c>
      <c r="AA66" s="5" t="inlineStr">
        <is>
          <t>Partially Verified</t>
        </is>
      </c>
      <c r="AB66" s="5" t="inlineStr">
        <is>
          <t>https://www.vape-shack.co.uk/</t>
        </is>
      </c>
    </row>
    <row r="67">
      <c r="A67" s="10" t="inlineStr">
        <is>
          <t>UK-000221</t>
        </is>
      </c>
      <c r="B67" s="10" t="inlineStr">
        <is>
          <t>VAPESHACK-02</t>
        </is>
      </c>
      <c r="C67" s="10" t="inlineStr">
        <is>
          <t>Vape Shack</t>
        </is>
      </c>
      <c r="D67" s="10" t="inlineStr">
        <is>
          <t>Vape Shack Immingham</t>
        </is>
      </c>
      <c r="E67" s="10" t="inlineStr">
        <is>
          <t>Vape Shop</t>
        </is>
      </c>
      <c r="F67" s="10" t="inlineStr">
        <is>
          <t>Vape shop</t>
        </is>
      </c>
      <c r="G67" s="10" t="inlineStr">
        <is>
          <t>Multi-Site Independent</t>
        </is>
      </c>
      <c r="H67" s="10" t="inlineStr">
        <is>
          <t>2</t>
        </is>
      </c>
      <c r="I67" s="10" t="inlineStr">
        <is>
          <t>70 Pelham Road</t>
        </is>
      </c>
      <c r="J67" s="10" t="inlineStr">
        <is>
          <t>Immingham</t>
        </is>
      </c>
      <c r="K67" s="10" t="inlineStr"/>
      <c r="L67" s="10" t="inlineStr">
        <is>
          <t>01469 577493</t>
        </is>
      </c>
      <c r="M67" s="10" t="inlineStr"/>
      <c r="N67" s="10" t="inlineStr"/>
      <c r="O67" s="10" t="inlineStr"/>
      <c r="P67" s="10" t="inlineStr">
        <is>
          <t>https://www.facebook.com/vapeshackimmingham/</t>
        </is>
      </c>
      <c r="Q67" s="10" t="inlineStr"/>
      <c r="R67" s="10" t="inlineStr"/>
      <c r="S67" s="10" t="inlineStr"/>
      <c r="T67" s="10" t="inlineStr"/>
      <c r="U67" s="10" t="inlineStr"/>
      <c r="V67" s="10" t="inlineStr">
        <is>
          <t>High</t>
        </is>
      </c>
      <c r="W67" s="10" t="inlineStr">
        <is>
          <t>Multi-site retailer; Independent retailer; Core relevant category; Social presence</t>
        </is>
      </c>
      <c r="X67" s="10" t="inlineStr">
        <is>
          <t>Verified directory</t>
        </is>
      </c>
      <c r="Y67" s="10" t="inlineStr">
        <is>
          <t>Not Found</t>
        </is>
      </c>
      <c r="Z67" s="10" t="inlineStr">
        <is>
          <t>Low</t>
        </is>
      </c>
      <c r="AA67" s="10" t="inlineStr">
        <is>
          <t>Requires Verification</t>
        </is>
      </c>
      <c r="AB67" s="10" t="inlineStr">
        <is>
          <t>https://www.facebook.com/vapeshackimmingham/</t>
        </is>
      </c>
    </row>
    <row r="68">
      <c r="A68" s="5" t="inlineStr">
        <is>
          <t>UK-000222</t>
        </is>
      </c>
      <c r="B68" s="5" t="inlineStr">
        <is>
          <t>VAPESHOPGU-01</t>
        </is>
      </c>
      <c r="C68" s="5" t="inlineStr">
        <is>
          <t>Vape Shop Guy</t>
        </is>
      </c>
      <c r="D68" s="5" t="inlineStr">
        <is>
          <t>Vape Shop Guy Boroughbridge</t>
        </is>
      </c>
      <c r="E68" s="5" t="inlineStr">
        <is>
          <t>Vape Shop</t>
        </is>
      </c>
      <c r="F68" s="5" t="inlineStr">
        <is>
          <t>Vaping products &amp; e-liquids</t>
        </is>
      </c>
      <c r="G68" s="5" t="inlineStr">
        <is>
          <t>Multi-Site Independent</t>
        </is>
      </c>
      <c r="H68" s="5" t="inlineStr">
        <is>
          <t>4</t>
        </is>
      </c>
      <c r="I68" s="5" t="inlineStr">
        <is>
          <t>34 High Street</t>
        </is>
      </c>
      <c r="J68" s="5" t="inlineStr">
        <is>
          <t>Boroughbridge</t>
        </is>
      </c>
      <c r="K68" s="5" t="inlineStr"/>
      <c r="L68" s="5" t="inlineStr">
        <is>
          <t>01423 325924</t>
        </is>
      </c>
      <c r="M68" s="5" t="inlineStr"/>
      <c r="N68" s="5" t="inlineStr"/>
      <c r="O68" s="5" t="inlineStr">
        <is>
          <t>https://vapeshopguy.co.uk/</t>
        </is>
      </c>
      <c r="P68" s="5" t="inlineStr"/>
      <c r="Q68" s="5" t="inlineStr"/>
      <c r="R68" s="5" t="inlineStr"/>
      <c r="S68" s="5" t="inlineStr"/>
      <c r="T68" s="5" t="inlineStr"/>
      <c r="U68" s="5" t="inlineStr"/>
      <c r="V68" s="5" t="inlineStr">
        <is>
          <t>High</t>
        </is>
      </c>
      <c r="W68" s="5" t="inlineStr">
        <is>
          <t>Multi-site retailer; Independent retailer; Core relevant category; Active website; Phone verified on official website</t>
        </is>
      </c>
      <c r="X68" s="5" t="inlineStr">
        <is>
          <t>Verified on official website</t>
        </is>
      </c>
      <c r="Y68" s="5" t="inlineStr">
        <is>
          <t>Website Found</t>
        </is>
      </c>
      <c r="Z68" s="5" t="inlineStr">
        <is>
          <t>Medium</t>
        </is>
      </c>
      <c r="AA68" s="5" t="inlineStr">
        <is>
          <t>Requires Verification</t>
        </is>
      </c>
      <c r="AB68" s="5" t="inlineStr">
        <is>
          <t>https://vapeshopguy.co.uk/locations</t>
        </is>
      </c>
    </row>
    <row r="69">
      <c r="A69" s="10" t="inlineStr">
        <is>
          <t>UK-000223</t>
        </is>
      </c>
      <c r="B69" s="10" t="inlineStr">
        <is>
          <t>VAPESHOPGU-02</t>
        </is>
      </c>
      <c r="C69" s="10" t="inlineStr">
        <is>
          <t>Vape Shop Guy</t>
        </is>
      </c>
      <c r="D69" s="10" t="inlineStr">
        <is>
          <t>Vape Shop Guy Ripon</t>
        </is>
      </c>
      <c r="E69" s="10" t="inlineStr">
        <is>
          <t>Vape Shop</t>
        </is>
      </c>
      <c r="F69" s="10" t="inlineStr">
        <is>
          <t>Vaping products &amp; e-liquids</t>
        </is>
      </c>
      <c r="G69" s="10" t="inlineStr">
        <is>
          <t>Multi-Site Independent</t>
        </is>
      </c>
      <c r="H69" s="10" t="inlineStr">
        <is>
          <t>4</t>
        </is>
      </c>
      <c r="I69" s="10" t="inlineStr">
        <is>
          <t>4 North Street</t>
        </is>
      </c>
      <c r="J69" s="10" t="inlineStr">
        <is>
          <t>Ripon</t>
        </is>
      </c>
      <c r="K69" s="10" t="inlineStr"/>
      <c r="L69" s="10" t="inlineStr"/>
      <c r="M69" s="10" t="inlineStr"/>
      <c r="N69" s="10" t="inlineStr"/>
      <c r="O69" s="10" t="inlineStr">
        <is>
          <t>https://vapeshopguy.co.uk/</t>
        </is>
      </c>
      <c r="P69" s="10" t="inlineStr"/>
      <c r="Q69" s="10" t="inlineStr"/>
      <c r="R69" s="10" t="inlineStr"/>
      <c r="S69" s="10" t="inlineStr"/>
      <c r="T69" s="10" t="inlineStr">
        <is>
          <t>16398053</t>
        </is>
      </c>
      <c r="U69" s="10" t="inlineStr"/>
      <c r="V69" s="10" t="inlineStr">
        <is>
          <t>High</t>
        </is>
      </c>
      <c r="W69" s="10" t="inlineStr">
        <is>
          <t>Multi-site retailer; Independent retailer; Core relevant category; Active website</t>
        </is>
      </c>
      <c r="X69" s="10" t="inlineStr">
        <is>
          <t>Not Found</t>
        </is>
      </c>
      <c r="Y69" s="10" t="inlineStr">
        <is>
          <t>Website Found</t>
        </is>
      </c>
      <c r="Z69" s="10" t="inlineStr">
        <is>
          <t>Medium</t>
        </is>
      </c>
      <c r="AA69" s="10" t="inlineStr">
        <is>
          <t>Requires Verification</t>
        </is>
      </c>
      <c r="AB69" s="10" t="inlineStr">
        <is>
          <t>https://vapeshopguy.co.uk/locations</t>
        </is>
      </c>
    </row>
    <row r="70">
      <c r="A70" s="5" t="inlineStr">
        <is>
          <t>UK-000224</t>
        </is>
      </c>
      <c r="B70" s="5" t="inlineStr">
        <is>
          <t>VAPESHOPGU-03</t>
        </is>
      </c>
      <c r="C70" s="5" t="inlineStr">
        <is>
          <t>Vape Shop Guy</t>
        </is>
      </c>
      <c r="D70" s="5" t="inlineStr">
        <is>
          <t>Vape Shop Guy Thirsk</t>
        </is>
      </c>
      <c r="E70" s="5" t="inlineStr">
        <is>
          <t>Vape Shop</t>
        </is>
      </c>
      <c r="F70" s="5" t="inlineStr">
        <is>
          <t>Vaping products &amp; e-liquids</t>
        </is>
      </c>
      <c r="G70" s="5" t="inlineStr">
        <is>
          <t>Multi-Site Independent</t>
        </is>
      </c>
      <c r="H70" s="5" t="inlineStr">
        <is>
          <t>4</t>
        </is>
      </c>
      <c r="I70" s="5" t="inlineStr">
        <is>
          <t>2 Millgate</t>
        </is>
      </c>
      <c r="J70" s="5" t="inlineStr">
        <is>
          <t>Thirsk</t>
        </is>
      </c>
      <c r="K70" s="5" t="inlineStr"/>
      <c r="L70" s="5" t="inlineStr"/>
      <c r="M70" s="5" t="inlineStr"/>
      <c r="N70" s="5" t="inlineStr"/>
      <c r="O70" s="5" t="inlineStr">
        <is>
          <t>https://vapeshopguy.co.uk/</t>
        </is>
      </c>
      <c r="P70" s="5" t="inlineStr"/>
      <c r="Q70" s="5" t="inlineStr"/>
      <c r="R70" s="5" t="inlineStr"/>
      <c r="S70" s="5" t="inlineStr"/>
      <c r="T70" s="5" t="inlineStr">
        <is>
          <t>15869863</t>
        </is>
      </c>
      <c r="U70" s="5" t="inlineStr"/>
      <c r="V70" s="5" t="inlineStr">
        <is>
          <t>High</t>
        </is>
      </c>
      <c r="W70" s="5" t="inlineStr">
        <is>
          <t>Multi-site retailer; Independent retailer; Core relevant category; Active website</t>
        </is>
      </c>
      <c r="X70" s="5" t="inlineStr">
        <is>
          <t>Not Found</t>
        </is>
      </c>
      <c r="Y70" s="5" t="inlineStr">
        <is>
          <t>Website Found</t>
        </is>
      </c>
      <c r="Z70" s="5" t="inlineStr">
        <is>
          <t>Medium</t>
        </is>
      </c>
      <c r="AA70" s="5" t="inlineStr">
        <is>
          <t>Requires Verification</t>
        </is>
      </c>
      <c r="AB70" s="5" t="inlineStr">
        <is>
          <t>https://vapeshopguy.co.uk/locations</t>
        </is>
      </c>
    </row>
    <row r="71">
      <c r="A71" s="10" t="inlineStr">
        <is>
          <t>UK-000225</t>
        </is>
      </c>
      <c r="B71" s="10" t="inlineStr">
        <is>
          <t>VAPESHOPGU-04</t>
        </is>
      </c>
      <c r="C71" s="10" t="inlineStr">
        <is>
          <t>Vape Shop Guy</t>
        </is>
      </c>
      <c r="D71" s="10" t="inlineStr">
        <is>
          <t>Vapour Worx Knaresborough</t>
        </is>
      </c>
      <c r="E71" s="10" t="inlineStr">
        <is>
          <t>Vape Shop</t>
        </is>
      </c>
      <c r="F71" s="10" t="inlineStr">
        <is>
          <t>Vaping products &amp; e-liquids</t>
        </is>
      </c>
      <c r="G71" s="10" t="inlineStr">
        <is>
          <t>Multi-Site Independent</t>
        </is>
      </c>
      <c r="H71" s="10" t="inlineStr">
        <is>
          <t>4</t>
        </is>
      </c>
      <c r="I71" s="10" t="inlineStr">
        <is>
          <t>39a High Street</t>
        </is>
      </c>
      <c r="J71" s="10" t="inlineStr">
        <is>
          <t>Knaresborough</t>
        </is>
      </c>
      <c r="K71" s="10" t="inlineStr">
        <is>
          <t>HG5 0HB</t>
        </is>
      </c>
      <c r="L71" s="10" t="inlineStr">
        <is>
          <t>01423 610083</t>
        </is>
      </c>
      <c r="M71" s="10" t="inlineStr"/>
      <c r="N71" s="10" t="inlineStr"/>
      <c r="O71" s="10" t="inlineStr">
        <is>
          <t>https://vapeshopguy.co.uk/</t>
        </is>
      </c>
      <c r="P71" s="10" t="inlineStr"/>
      <c r="Q71" s="10" t="inlineStr"/>
      <c r="R71" s="10" t="inlineStr"/>
      <c r="S71" s="10" t="inlineStr"/>
      <c r="T71" s="10" t="inlineStr"/>
      <c r="U71" s="10" t="inlineStr"/>
      <c r="V71" s="10" t="inlineStr">
        <is>
          <t>High</t>
        </is>
      </c>
      <c r="W71" s="10" t="inlineStr">
        <is>
          <t>Multi-site retailer; Independent retailer; Core relevant category; Active website</t>
        </is>
      </c>
      <c r="X71" s="10" t="inlineStr">
        <is>
          <t>Verified directory</t>
        </is>
      </c>
      <c r="Y71" s="10" t="inlineStr">
        <is>
          <t>Website Found</t>
        </is>
      </c>
      <c r="Z71" s="10" t="inlineStr">
        <is>
          <t>Medium</t>
        </is>
      </c>
      <c r="AA71" s="10" t="inlineStr">
        <is>
          <t>Requires Verification</t>
        </is>
      </c>
      <c r="AB71" s="10" t="inlineStr">
        <is>
          <t>https://directory.crewechronicle.co.uk/company/1223189121957890</t>
        </is>
      </c>
    </row>
    <row r="72">
      <c r="A72" s="5" t="inlineStr">
        <is>
          <t>WY-0039</t>
        </is>
      </c>
      <c r="B72" s="5" t="inlineStr">
        <is>
          <t>WOWVAPE-01</t>
        </is>
      </c>
      <c r="C72" s="5" t="inlineStr">
        <is>
          <t>WOW Vape</t>
        </is>
      </c>
      <c r="D72" s="5" t="inlineStr">
        <is>
          <t>WOW Vape (Castleford)</t>
        </is>
      </c>
      <c r="E72" s="5" t="inlineStr">
        <is>
          <t>Vape Shop</t>
        </is>
      </c>
      <c r="F72" s="5" t="inlineStr">
        <is>
          <t>Vape retailer</t>
        </is>
      </c>
      <c r="G72" s="5" t="inlineStr">
        <is>
          <t>Multi-Site Independent</t>
        </is>
      </c>
      <c r="H72" s="5" t="inlineStr">
        <is>
          <t>2</t>
        </is>
      </c>
      <c r="I72" s="5" t="inlineStr">
        <is>
          <t>45 Carlton Street</t>
        </is>
      </c>
      <c r="J72" s="5" t="inlineStr">
        <is>
          <t>Castleford</t>
        </is>
      </c>
      <c r="K72" s="5" t="inlineStr">
        <is>
          <t>WF10 1BA</t>
        </is>
      </c>
      <c r="L72" s="5" t="inlineStr">
        <is>
          <t>01977 516062</t>
        </is>
      </c>
      <c r="M72" s="5" t="inlineStr"/>
      <c r="N72" s="5" t="inlineStr"/>
      <c r="O72" s="5" t="inlineStr">
        <is>
          <t>https://wow-vape.co.uk</t>
        </is>
      </c>
      <c r="P72" s="5" t="inlineStr">
        <is>
          <t>https://www.facebook.com/wowvapecas/</t>
        </is>
      </c>
      <c r="Q72" s="5" t="inlineStr">
        <is>
          <t>https://www.instagram.com/wow_vape_castleford/</t>
        </is>
      </c>
      <c r="R72" s="5" t="inlineStr"/>
      <c r="S72" s="5" t="inlineStr"/>
      <c r="T72" s="5" t="inlineStr"/>
      <c r="U72" s="5" t="inlineStr"/>
      <c r="V72" s="5" t="inlineStr">
        <is>
          <t>High</t>
        </is>
      </c>
      <c r="W72" s="5" t="inlineStr">
        <is>
          <t>Multi-site retailer; Independent retailer; Core relevant category; Active website; Social presence</t>
        </is>
      </c>
      <c r="X72" s="5" t="inlineStr">
        <is>
          <t>Verified directory</t>
        </is>
      </c>
      <c r="Y72" s="5" t="inlineStr">
        <is>
          <t>Not Found</t>
        </is>
      </c>
      <c r="Z72" s="5" t="inlineStr">
        <is>
          <t>Medium</t>
        </is>
      </c>
      <c r="AA72" s="5" t="inlineStr">
        <is>
          <t>Requires Verification</t>
        </is>
      </c>
      <c r="AB72" s="5" t="inlineStr">
        <is>
          <t>https://www.facebook.com/wowvapecas/</t>
        </is>
      </c>
    </row>
    <row r="73">
      <c r="A73" s="10" t="inlineStr">
        <is>
          <t>WY-0040</t>
        </is>
      </c>
      <c r="B73" s="10" t="inlineStr">
        <is>
          <t>WOWVAPE-02</t>
        </is>
      </c>
      <c r="C73" s="10" t="inlineStr">
        <is>
          <t>WOW Vape</t>
        </is>
      </c>
      <c r="D73" s="10" t="inlineStr">
        <is>
          <t>WOW Vape (Wakefield)</t>
        </is>
      </c>
      <c r="E73" s="10" t="inlineStr">
        <is>
          <t>Vape Shop</t>
        </is>
      </c>
      <c r="F73" s="10" t="inlineStr">
        <is>
          <t>Vape retailer</t>
        </is>
      </c>
      <c r="G73" s="10" t="inlineStr">
        <is>
          <t>Multi-Site Independent</t>
        </is>
      </c>
      <c r="H73" s="10" t="inlineStr">
        <is>
          <t>2</t>
        </is>
      </c>
      <c r="I73" s="10" t="inlineStr"/>
      <c r="J73" s="10" t="inlineStr">
        <is>
          <t>Wakefield</t>
        </is>
      </c>
      <c r="K73" s="10" t="inlineStr"/>
      <c r="L73" s="10" t="inlineStr"/>
      <c r="M73" s="10" t="inlineStr"/>
      <c r="N73" s="10" t="inlineStr"/>
      <c r="O73" s="10" t="inlineStr"/>
      <c r="P73" s="10" t="inlineStr"/>
      <c r="Q73" s="10" t="inlineStr">
        <is>
          <t>https://www.instagram.com/wowvapewakefield/</t>
        </is>
      </c>
      <c r="R73" s="10" t="inlineStr"/>
      <c r="S73" s="10" t="inlineStr"/>
      <c r="T73" s="10" t="inlineStr"/>
      <c r="U73" s="10" t="inlineStr"/>
      <c r="V73" s="10" t="inlineStr">
        <is>
          <t>High</t>
        </is>
      </c>
      <c r="W73" s="10" t="inlineStr">
        <is>
          <t>Multi-site retailer; Independent retailer; Core relevant category; Social presence</t>
        </is>
      </c>
      <c r="X73" s="10" t="inlineStr">
        <is>
          <t>Not Found</t>
        </is>
      </c>
      <c r="Y73" s="10" t="inlineStr">
        <is>
          <t>Not Found</t>
        </is>
      </c>
      <c r="Z73" s="10" t="inlineStr">
        <is>
          <t>Low</t>
        </is>
      </c>
      <c r="AA73" s="10" t="inlineStr">
        <is>
          <t>Requires Verification</t>
        </is>
      </c>
      <c r="AB73" s="10" t="inlineStr">
        <is>
          <t>https://www.instagram.com/wowvapewakefield/</t>
        </is>
      </c>
    </row>
    <row r="74">
      <c r="A74" s="5" t="inlineStr">
        <is>
          <t>WY-0041</t>
        </is>
      </c>
      <c r="B74" s="5" t="inlineStr">
        <is>
          <t>WEAREVAPES-01</t>
        </is>
      </c>
      <c r="C74" s="5" t="inlineStr">
        <is>
          <t>We Are Vapes</t>
        </is>
      </c>
      <c r="D74" s="5" t="inlineStr">
        <is>
          <t>We Are Vapes</t>
        </is>
      </c>
      <c r="E74" s="5" t="inlineStr">
        <is>
          <t>Vape Shop</t>
        </is>
      </c>
      <c r="F74" s="5" t="inlineStr">
        <is>
          <t>Vape kits, e-liquids &amp; accessories</t>
        </is>
      </c>
      <c r="G74" s="5" t="inlineStr">
        <is>
          <t>Multi-Site Independent</t>
        </is>
      </c>
      <c r="H74" s="5" t="inlineStr">
        <is>
          <t>3</t>
        </is>
      </c>
      <c r="I74" s="5" t="inlineStr">
        <is>
          <t>287 Tong Street</t>
        </is>
      </c>
      <c r="J74" s="5" t="inlineStr">
        <is>
          <t>Bradford</t>
        </is>
      </c>
      <c r="K74" s="5" t="inlineStr">
        <is>
          <t>BD4 9QJ</t>
        </is>
      </c>
      <c r="L74" s="5" t="inlineStr">
        <is>
          <t>01274 270773</t>
        </is>
      </c>
      <c r="M74" s="5" t="inlineStr"/>
      <c r="N74" s="5" t="inlineStr"/>
      <c r="O74" s="5" t="inlineStr">
        <is>
          <t>https://www.wearevapes.com/</t>
        </is>
      </c>
      <c r="P74" s="5" t="inlineStr"/>
      <c r="Q74" s="5" t="inlineStr"/>
      <c r="R74" s="5" t="inlineStr"/>
      <c r="S74" s="5" t="inlineStr"/>
      <c r="T74" s="5" t="inlineStr"/>
      <c r="U74" s="5" t="inlineStr"/>
      <c r="V74" s="5" t="inlineStr">
        <is>
          <t>High</t>
        </is>
      </c>
      <c r="W74" s="5" t="inlineStr">
        <is>
          <t>Multi-site retailer; Independent retailer; Core relevant category; Active website</t>
        </is>
      </c>
      <c r="X74" s="5" t="inlineStr">
        <is>
          <t>Verified directory</t>
        </is>
      </c>
      <c r="Y74" s="5" t="inlineStr">
        <is>
          <t>Website Found</t>
        </is>
      </c>
      <c r="Z74" s="5" t="inlineStr">
        <is>
          <t>Medium</t>
        </is>
      </c>
      <c r="AA74" s="5" t="inlineStr">
        <is>
          <t>Requires Verification</t>
        </is>
      </c>
      <c r="AB74" s="5" t="inlineStr">
        <is>
          <t>https://www.wearevapes.com/</t>
        </is>
      </c>
    </row>
    <row r="75">
      <c r="A75" s="10" t="inlineStr">
        <is>
          <t>WY-0042</t>
        </is>
      </c>
      <c r="B75" s="10" t="inlineStr">
        <is>
          <t>WEAREVAPES-02</t>
        </is>
      </c>
      <c r="C75" s="10" t="inlineStr">
        <is>
          <t>We Are Vapes</t>
        </is>
      </c>
      <c r="D75" s="10" t="inlineStr">
        <is>
          <t>We Are Vapes</t>
        </is>
      </c>
      <c r="E75" s="10" t="inlineStr">
        <is>
          <t>Vape Shop</t>
        </is>
      </c>
      <c r="F75" s="10" t="inlineStr">
        <is>
          <t>Vape kits, e-liquids &amp; accessories</t>
        </is>
      </c>
      <c r="G75" s="10" t="inlineStr">
        <is>
          <t>Multi-Site Independent</t>
        </is>
      </c>
      <c r="H75" s="10" t="inlineStr">
        <is>
          <t>3</t>
        </is>
      </c>
      <c r="I75" s="10" t="inlineStr">
        <is>
          <t>220 High Street</t>
        </is>
      </c>
      <c r="J75" s="10" t="inlineStr">
        <is>
          <t>Bradford</t>
        </is>
      </c>
      <c r="K75" s="10" t="inlineStr"/>
      <c r="L75" s="10" t="inlineStr">
        <is>
          <t>01274 634327</t>
        </is>
      </c>
      <c r="M75" s="10" t="inlineStr"/>
      <c r="N75" s="10" t="inlineStr"/>
      <c r="O75" s="10" t="inlineStr">
        <is>
          <t>https://www.wearevapes.com/</t>
        </is>
      </c>
      <c r="P75" s="10" t="inlineStr"/>
      <c r="Q75" s="10" t="inlineStr"/>
      <c r="R75" s="10" t="inlineStr"/>
      <c r="S75" s="10" t="inlineStr"/>
      <c r="T75" s="10" t="inlineStr"/>
      <c r="U75" s="10" t="inlineStr"/>
      <c r="V75" s="10" t="inlineStr">
        <is>
          <t>High</t>
        </is>
      </c>
      <c r="W75" s="10" t="inlineStr">
        <is>
          <t>Multi-site retailer; Independent retailer; Core relevant category; Active website</t>
        </is>
      </c>
      <c r="X75" s="10" t="inlineStr">
        <is>
          <t>Verified directory</t>
        </is>
      </c>
      <c r="Y75" s="10" t="inlineStr">
        <is>
          <t>Website Found</t>
        </is>
      </c>
      <c r="Z75" s="10" t="inlineStr">
        <is>
          <t>Medium</t>
        </is>
      </c>
      <c r="AA75" s="10" t="inlineStr">
        <is>
          <t>Requires Verification</t>
        </is>
      </c>
      <c r="AB75" s="10" t="inlineStr">
        <is>
          <t>https://www.wearevapes.com/</t>
        </is>
      </c>
    </row>
    <row r="76">
      <c r="A76" s="5" t="inlineStr">
        <is>
          <t>WY-0043</t>
        </is>
      </c>
      <c r="B76" s="5" t="inlineStr">
        <is>
          <t>WEAREVAPES-03</t>
        </is>
      </c>
      <c r="C76" s="5" t="inlineStr">
        <is>
          <t>We Are Vapes</t>
        </is>
      </c>
      <c r="D76" s="5" t="inlineStr">
        <is>
          <t>We Are Vapes</t>
        </is>
      </c>
      <c r="E76" s="5" t="inlineStr">
        <is>
          <t>Vape Shop</t>
        </is>
      </c>
      <c r="F76" s="5" t="inlineStr">
        <is>
          <t>Vape kits, e-liquids &amp; accessories</t>
        </is>
      </c>
      <c r="G76" s="5" t="inlineStr">
        <is>
          <t>Multi-Site Independent</t>
        </is>
      </c>
      <c r="H76" s="5" t="inlineStr">
        <is>
          <t>3</t>
        </is>
      </c>
      <c r="I76" s="5" t="inlineStr">
        <is>
          <t>446 Killinghall Road</t>
        </is>
      </c>
      <c r="J76" s="5" t="inlineStr">
        <is>
          <t>Bradford</t>
        </is>
      </c>
      <c r="K76" s="5" t="inlineStr"/>
      <c r="L76" s="5" t="inlineStr"/>
      <c r="M76" s="5" t="inlineStr"/>
      <c r="N76" s="5" t="inlineStr"/>
      <c r="O76" s="5" t="inlineStr">
        <is>
          <t>https://www.wearevapes.com/</t>
        </is>
      </c>
      <c r="P76" s="5" t="inlineStr"/>
      <c r="Q76" s="5" t="inlineStr"/>
      <c r="R76" s="5" t="inlineStr"/>
      <c r="S76" s="5" t="inlineStr"/>
      <c r="T76" s="5" t="inlineStr"/>
      <c r="U76" s="5" t="inlineStr"/>
      <c r="V76" s="5" t="inlineStr">
        <is>
          <t>High</t>
        </is>
      </c>
      <c r="W76" s="5" t="inlineStr">
        <is>
          <t>Multi-site retailer; Independent retailer; Core relevant category; Active website</t>
        </is>
      </c>
      <c r="X76" s="5" t="inlineStr">
        <is>
          <t>Not Found</t>
        </is>
      </c>
      <c r="Y76" s="5" t="inlineStr">
        <is>
          <t>Website Found</t>
        </is>
      </c>
      <c r="Z76" s="5" t="inlineStr">
        <is>
          <t>Low</t>
        </is>
      </c>
      <c r="AA76" s="5" t="inlineStr">
        <is>
          <t>Requires Verification</t>
        </is>
      </c>
      <c r="AB76" s="5" t="inlineStr">
        <is>
          <t>https://www.wearevapes.com/</t>
        </is>
      </c>
    </row>
    <row r="77">
      <c r="A77" s="10" t="inlineStr">
        <is>
          <t>WY-0044</t>
        </is>
      </c>
      <c r="B77" s="10" t="inlineStr">
        <is>
          <t>WORLDWIDEF-01</t>
        </is>
      </c>
      <c r="C77" s="10" t="inlineStr">
        <is>
          <t>Worldwide Foods Group</t>
        </is>
      </c>
      <c r="D77" s="10" t="inlineStr">
        <is>
          <t>Worldwide Foods Bradford (Great Horton Road)</t>
        </is>
      </c>
      <c r="E77" s="10" t="inlineStr">
        <is>
          <t>Independent Supermarket</t>
        </is>
      </c>
      <c r="F77" s="10" t="inlineStr">
        <is>
          <t>Halal / world food supermarket</t>
        </is>
      </c>
      <c r="G77" s="10" t="inlineStr">
        <is>
          <t>Regional Chain</t>
        </is>
      </c>
      <c r="H77" s="10" t="inlineStr"/>
      <c r="I77" s="10" t="inlineStr">
        <is>
          <t>607 Great Horton Road</t>
        </is>
      </c>
      <c r="J77" s="10" t="inlineStr">
        <is>
          <t>Bradford</t>
        </is>
      </c>
      <c r="K77" s="10" t="inlineStr">
        <is>
          <t>BD7 4ED</t>
        </is>
      </c>
      <c r="L77" s="10" t="inlineStr">
        <is>
          <t>01274 572661</t>
        </is>
      </c>
      <c r="M77" s="10" t="inlineStr">
        <is>
          <t>info@worldwidefoods.co.uk</t>
        </is>
      </c>
      <c r="N77" s="10" t="inlineStr"/>
      <c r="O77" s="10" t="inlineStr">
        <is>
          <t>https://worldwidefoods.co.uk/</t>
        </is>
      </c>
      <c r="P77" s="10" t="inlineStr">
        <is>
          <t>https://www.facebook.com/worldwidefoods/</t>
        </is>
      </c>
      <c r="Q77" s="10" t="inlineStr"/>
      <c r="R77" s="10" t="inlineStr"/>
      <c r="S77" s="10" t="inlineStr"/>
      <c r="T77" s="10" t="inlineStr">
        <is>
          <t>04179487</t>
        </is>
      </c>
      <c r="U77" s="10" t="inlineStr"/>
      <c r="V77" s="10" t="inlineStr">
        <is>
          <t>High</t>
        </is>
      </c>
      <c r="W77" s="10" t="inlineStr">
        <is>
          <t>Multi-site retailer; Relevant category; Public email available; Active website; Social presence</t>
        </is>
      </c>
      <c r="X77" s="10" t="inlineStr">
        <is>
          <t>Verified directory</t>
        </is>
      </c>
      <c r="Y77" s="10" t="inlineStr">
        <is>
          <t>Website Found</t>
        </is>
      </c>
      <c r="Z77" s="10" t="inlineStr">
        <is>
          <t>Medium</t>
        </is>
      </c>
      <c r="AA77" s="10" t="inlineStr">
        <is>
          <t>Partially Verified</t>
        </is>
      </c>
      <c r="AB77" s="10" t="inlineStr">
        <is>
          <t>https://worldwidefoods.co.uk/worldwide-bradford-great-horton-road/</t>
        </is>
      </c>
    </row>
    <row r="78">
      <c r="A78" s="5" t="inlineStr">
        <is>
          <t>WY-0045</t>
        </is>
      </c>
      <c r="B78" s="5" t="inlineStr">
        <is>
          <t>WORLDWIDEF-02</t>
        </is>
      </c>
      <c r="C78" s="5" t="inlineStr">
        <is>
          <t>Worldwide Foods Group</t>
        </is>
      </c>
      <c r="D78" s="5" t="inlineStr">
        <is>
          <t>Worldwide Foods Bradford (Leeds Road)</t>
        </is>
      </c>
      <c r="E78" s="5" t="inlineStr">
        <is>
          <t>Independent Supermarket</t>
        </is>
      </c>
      <c r="F78" s="5" t="inlineStr">
        <is>
          <t>Halal / world food supermarket (24 hours)</t>
        </is>
      </c>
      <c r="G78" s="5" t="inlineStr">
        <is>
          <t>Regional Chain</t>
        </is>
      </c>
      <c r="H78" s="5" t="inlineStr"/>
      <c r="I78" s="5" t="inlineStr">
        <is>
          <t>1001 Leeds Road</t>
        </is>
      </c>
      <c r="J78" s="5" t="inlineStr">
        <is>
          <t>Bradford</t>
        </is>
      </c>
      <c r="K78" s="5" t="inlineStr">
        <is>
          <t>BD3 7NH</t>
        </is>
      </c>
      <c r="L78" s="5" t="inlineStr">
        <is>
          <t>01274 656638</t>
        </is>
      </c>
      <c r="M78" s="5" t="inlineStr"/>
      <c r="N78" s="5" t="inlineStr"/>
      <c r="O78" s="5" t="inlineStr">
        <is>
          <t>https://worldwidefoods.co.uk/</t>
        </is>
      </c>
      <c r="P78" s="5" t="inlineStr">
        <is>
          <t>https://www.facebook.com/worldwidefoods/</t>
        </is>
      </c>
      <c r="Q78" s="5" t="inlineStr"/>
      <c r="R78" s="5" t="inlineStr"/>
      <c r="S78" s="5" t="inlineStr"/>
      <c r="T78" s="5" t="inlineStr">
        <is>
          <t>04179487</t>
        </is>
      </c>
      <c r="U78" s="5" t="inlineStr"/>
      <c r="V78" s="5" t="inlineStr">
        <is>
          <t>Medium</t>
        </is>
      </c>
      <c r="W78" s="5" t="inlineStr">
        <is>
          <t>Multi-site retailer; Relevant category; Active website; Social presence</t>
        </is>
      </c>
      <c r="X78" s="5" t="inlineStr">
        <is>
          <t>Verified directory</t>
        </is>
      </c>
      <c r="Y78" s="5" t="inlineStr">
        <is>
          <t>Website Found</t>
        </is>
      </c>
      <c r="Z78" s="5" t="inlineStr">
        <is>
          <t>Medium</t>
        </is>
      </c>
      <c r="AA78" s="5" t="inlineStr">
        <is>
          <t>Partially Verified</t>
        </is>
      </c>
      <c r="AB78" s="5" t="inlineStr">
        <is>
          <t>https://worldwidefoods.co.uk/worldwide-bradford-leeds-road/</t>
        </is>
      </c>
    </row>
    <row r="79">
      <c r="A79" s="10" t="inlineStr">
        <is>
          <t>WY-0046</t>
        </is>
      </c>
      <c r="B79" s="10" t="inlineStr">
        <is>
          <t>WORLDWIDEF-03</t>
        </is>
      </c>
      <c r="C79" s="10" t="inlineStr">
        <is>
          <t>Worldwide Foods Group</t>
        </is>
      </c>
      <c r="D79" s="10" t="inlineStr">
        <is>
          <t>Worldwide Foods Bradford (Woodhead Road)</t>
        </is>
      </c>
      <c r="E79" s="10" t="inlineStr">
        <is>
          <t>Independent Supermarket</t>
        </is>
      </c>
      <c r="F79" s="10" t="inlineStr">
        <is>
          <t>Halal / world food supermarket</t>
        </is>
      </c>
      <c r="G79" s="10" t="inlineStr">
        <is>
          <t>Regional Chain</t>
        </is>
      </c>
      <c r="H79" s="10" t="inlineStr"/>
      <c r="I79" s="10" t="inlineStr">
        <is>
          <t>Woodhead Road</t>
        </is>
      </c>
      <c r="J79" s="10" t="inlineStr">
        <is>
          <t>Bradford</t>
        </is>
      </c>
      <c r="K79" s="10" t="inlineStr"/>
      <c r="L79" s="10" t="inlineStr"/>
      <c r="M79" s="10" t="inlineStr"/>
      <c r="N79" s="10" t="inlineStr"/>
      <c r="O79" s="10" t="inlineStr">
        <is>
          <t>https://worldwidefoods.co.uk/</t>
        </is>
      </c>
      <c r="P79" s="10" t="inlineStr">
        <is>
          <t>https://www.facebook.com/worldwidefoods/</t>
        </is>
      </c>
      <c r="Q79" s="10" t="inlineStr"/>
      <c r="R79" s="10" t="inlineStr"/>
      <c r="S79" s="10" t="inlineStr"/>
      <c r="T79" s="10" t="inlineStr">
        <is>
          <t>04179487</t>
        </is>
      </c>
      <c r="U79" s="10" t="inlineStr"/>
      <c r="V79" s="10" t="inlineStr">
        <is>
          <t>Medium</t>
        </is>
      </c>
      <c r="W79" s="10" t="inlineStr">
        <is>
          <t>Multi-site retailer; Relevant category; Active website; Social presence</t>
        </is>
      </c>
      <c r="X79" s="10" t="inlineStr">
        <is>
          <t>Not Found</t>
        </is>
      </c>
      <c r="Y79" s="10" t="inlineStr">
        <is>
          <t>Website Found</t>
        </is>
      </c>
      <c r="Z79" s="10" t="inlineStr">
        <is>
          <t>Low</t>
        </is>
      </c>
      <c r="AA79" s="10" t="inlineStr">
        <is>
          <t>Partially Verified</t>
        </is>
      </c>
      <c r="AB79" s="10" t="inlineStr">
        <is>
          <t>https://worldwidefoods.co.uk/locations/</t>
        </is>
      </c>
    </row>
    <row r="80">
      <c r="A80" s="5" t="inlineStr">
        <is>
          <t>UK-000226</t>
        </is>
      </c>
      <c r="B80" s="5" t="inlineStr">
        <is>
          <t>YORKSHIREA-01</t>
        </is>
      </c>
      <c r="C80" s="5" t="inlineStr">
        <is>
          <t>Yorkshire Agricultural Society</t>
        </is>
      </c>
      <c r="D80" s="5" t="inlineStr">
        <is>
          <t>Fodder</t>
        </is>
      </c>
      <c r="E80" s="5" t="inlineStr">
        <is>
          <t>Independent Supermarket</t>
        </is>
      </c>
      <c r="F80" s="5" t="inlineStr">
        <is>
          <t>Farm shop, food hall &amp; cafe</t>
        </is>
      </c>
      <c r="G80" s="5" t="inlineStr">
        <is>
          <t>Independent</t>
        </is>
      </c>
      <c r="H80" s="5" t="inlineStr">
        <is>
          <t>1</t>
        </is>
      </c>
      <c r="I80" s="5" t="inlineStr">
        <is>
          <t>Great Yorkshire Showground</t>
        </is>
      </c>
      <c r="J80" s="5" t="inlineStr">
        <is>
          <t>Harrogate</t>
        </is>
      </c>
      <c r="K80" s="5" t="inlineStr">
        <is>
          <t>HG2 8NZ</t>
        </is>
      </c>
      <c r="L80" s="5" t="inlineStr">
        <is>
          <t>01423 546111</t>
        </is>
      </c>
      <c r="M80" s="5" t="inlineStr">
        <is>
          <t>enquiries@fodder.co.uk</t>
        </is>
      </c>
      <c r="N80" s="5" t="inlineStr"/>
      <c r="O80" s="5" t="inlineStr">
        <is>
          <t>https://fodder.co.uk/</t>
        </is>
      </c>
      <c r="P80" s="5" t="inlineStr"/>
      <c r="Q80" s="5" t="inlineStr"/>
      <c r="R80" s="5" t="inlineStr"/>
      <c r="S80" s="5" t="inlineStr"/>
      <c r="T80" s="5" t="inlineStr"/>
      <c r="U80" s="5" t="inlineStr"/>
      <c r="V80" s="5" t="inlineStr">
        <is>
          <t>High</t>
        </is>
      </c>
      <c r="W80" s="5" t="inlineStr">
        <is>
          <t>Multi-site retailer; Independent retailer; Relevant category; Public email available; Active website; Phone verified on official website</t>
        </is>
      </c>
      <c r="X80" s="5" t="inlineStr">
        <is>
          <t>Verified on official website</t>
        </is>
      </c>
      <c r="Y80" s="5" t="inlineStr">
        <is>
          <t>Publicly Listed</t>
        </is>
      </c>
      <c r="Z80" s="5" t="inlineStr">
        <is>
          <t>Medium</t>
        </is>
      </c>
      <c r="AA80" s="5" t="inlineStr">
        <is>
          <t>Requires Verification</t>
        </is>
      </c>
      <c r="AB80" s="5" t="inlineStr">
        <is>
          <t>https://fodder.co.uk/</t>
        </is>
      </c>
    </row>
    <row r="81">
      <c r="A81" s="10" t="inlineStr">
        <is>
          <t>UK-000227</t>
        </is>
      </c>
      <c r="B81" s="10" t="inlineStr">
        <is>
          <t>ECIGARETTE-01</t>
        </is>
      </c>
      <c r="C81" s="10" t="inlineStr">
        <is>
          <t>eCigarette Outlet</t>
        </is>
      </c>
      <c r="D81" s="10" t="inlineStr">
        <is>
          <t>eCigarette Outlet</t>
        </is>
      </c>
      <c r="E81" s="10" t="inlineStr">
        <is>
          <t>Vape Shop</t>
        </is>
      </c>
      <c r="F81" s="10" t="inlineStr">
        <is>
          <t>E-cigarette specialist chain</t>
        </is>
      </c>
      <c r="G81" s="10" t="inlineStr">
        <is>
          <t>Regional Chain</t>
        </is>
      </c>
      <c r="H81" s="10" t="inlineStr">
        <is>
          <t>6</t>
        </is>
      </c>
      <c r="I81" s="10" t="inlineStr">
        <is>
          <t>53 Jameson Street</t>
        </is>
      </c>
      <c r="J81" s="10" t="inlineStr">
        <is>
          <t>Kingston upon Hull</t>
        </is>
      </c>
      <c r="K81" s="10" t="inlineStr"/>
      <c r="L81" s="10" t="inlineStr"/>
      <c r="M81" s="10" t="inlineStr">
        <is>
          <t>customer.service@ecigaretteoutlet.co.uk</t>
        </is>
      </c>
      <c r="N81" s="10" t="inlineStr"/>
      <c r="O81" s="10" t="inlineStr">
        <is>
          <t>https://ecigaretteoutlet.co.uk</t>
        </is>
      </c>
      <c r="P81" s="10" t="inlineStr">
        <is>
          <t>https://www.facebook.com/EcigaretteoutletHull/</t>
        </is>
      </c>
      <c r="Q81" s="10" t="inlineStr"/>
      <c r="R81" s="10" t="inlineStr"/>
      <c r="S81" s="10" t="inlineStr"/>
      <c r="T81" s="10" t="inlineStr"/>
      <c r="U81" s="10" t="inlineStr"/>
      <c r="V81" s="10" t="inlineStr">
        <is>
          <t>High</t>
        </is>
      </c>
      <c r="W81" s="10" t="inlineStr">
        <is>
          <t>Multi-site retailer; Core relevant category; Public email available; Active website; Social presence</t>
        </is>
      </c>
      <c r="X81" s="10" t="inlineStr">
        <is>
          <t>Not Found</t>
        </is>
      </c>
      <c r="Y81" s="10" t="inlineStr">
        <is>
          <t>Publicly Listed</t>
        </is>
      </c>
      <c r="Z81" s="10" t="inlineStr">
        <is>
          <t>Medium</t>
        </is>
      </c>
      <c r="AA81" s="10" t="inlineStr">
        <is>
          <t>Partially Verified</t>
        </is>
      </c>
      <c r="AB81" s="10" t="inlineStr">
        <is>
          <t>https://www.facebook.com/EcigaretteoutletHull/</t>
        </is>
      </c>
    </row>
    <row r="82">
      <c r="A82" s="5" t="inlineStr">
        <is>
          <t>UK-000228</t>
        </is>
      </c>
      <c r="B82" s="5" t="inlineStr">
        <is>
          <t>ECIGARETTE-02</t>
        </is>
      </c>
      <c r="C82" s="5" t="inlineStr">
        <is>
          <t>eCigarette Outlet</t>
        </is>
      </c>
      <c r="D82" s="5" t="inlineStr">
        <is>
          <t>eCigarette Outlet Cleethorpes</t>
        </is>
      </c>
      <c r="E82" s="5" t="inlineStr">
        <is>
          <t>Vape Shop</t>
        </is>
      </c>
      <c r="F82" s="5" t="inlineStr">
        <is>
          <t>E-cigarette specialist chain</t>
        </is>
      </c>
      <c r="G82" s="5" t="inlineStr">
        <is>
          <t>Regional Chain</t>
        </is>
      </c>
      <c r="H82" s="5" t="inlineStr">
        <is>
          <t>1</t>
        </is>
      </c>
      <c r="I82" s="5" t="inlineStr">
        <is>
          <t>3 St Peter's Avenue</t>
        </is>
      </c>
      <c r="J82" s="5" t="inlineStr">
        <is>
          <t>Cleethorpes</t>
        </is>
      </c>
      <c r="K82" s="5" t="inlineStr">
        <is>
          <t>DN35 8HQ</t>
        </is>
      </c>
      <c r="L82" s="5" t="inlineStr">
        <is>
          <t>01472 694619</t>
        </is>
      </c>
      <c r="M82" s="5" t="inlineStr">
        <is>
          <t>customer.service@ecigaretteoutlet.co.uk</t>
        </is>
      </c>
      <c r="N82" s="5" t="inlineStr"/>
      <c r="O82" s="5" t="inlineStr">
        <is>
          <t>https://ecigaretteoutlet.co.uk</t>
        </is>
      </c>
      <c r="P82" s="5" t="inlineStr"/>
      <c r="Q82" s="5" t="inlineStr"/>
      <c r="R82" s="5" t="inlineStr"/>
      <c r="S82" s="5" t="inlineStr"/>
      <c r="T82" s="5" t="inlineStr"/>
      <c r="U82" s="5" t="inlineStr"/>
      <c r="V82" s="5" t="inlineStr">
        <is>
          <t>High</t>
        </is>
      </c>
      <c r="W82" s="5" t="inlineStr">
        <is>
          <t>Multi-site retailer; Core relevant category; Public email available; Active website</t>
        </is>
      </c>
      <c r="X82" s="5" t="inlineStr">
        <is>
          <t>Verified directory</t>
        </is>
      </c>
      <c r="Y82" s="5" t="inlineStr">
        <is>
          <t>Publicly Listed</t>
        </is>
      </c>
      <c r="Z82" s="5" t="inlineStr">
        <is>
          <t>Medium</t>
        </is>
      </c>
      <c r="AA82" s="5" t="inlineStr">
        <is>
          <t>Partially Verified</t>
        </is>
      </c>
      <c r="AB82" s="5" t="inlineStr">
        <is>
          <t>https://vapeshop-nearme.com/listing/ecigarette-outlet-cleethorpes/</t>
        </is>
      </c>
    </row>
    <row r="83">
      <c r="A83" s="10" t="inlineStr">
        <is>
          <t>UK-000229</t>
        </is>
      </c>
      <c r="B83" s="10" t="inlineStr">
        <is>
          <t>ECIGARETTE-03</t>
        </is>
      </c>
      <c r="C83" s="10" t="inlineStr">
        <is>
          <t>eCigarette Outlet</t>
        </is>
      </c>
      <c r="D83" s="10" t="inlineStr">
        <is>
          <t>eCigarette Outlet Scunthorpe</t>
        </is>
      </c>
      <c r="E83" s="10" t="inlineStr">
        <is>
          <t>Vape Shop</t>
        </is>
      </c>
      <c r="F83" s="10" t="inlineStr">
        <is>
          <t>E-cigarette specialist chain</t>
        </is>
      </c>
      <c r="G83" s="10" t="inlineStr">
        <is>
          <t>Regional Chain</t>
        </is>
      </c>
      <c r="H83" s="10" t="inlineStr">
        <is>
          <t>1</t>
        </is>
      </c>
      <c r="I83" s="10" t="inlineStr">
        <is>
          <t>14 Laneham Street</t>
        </is>
      </c>
      <c r="J83" s="10" t="inlineStr">
        <is>
          <t>Scunthorpe</t>
        </is>
      </c>
      <c r="K83" s="10" t="inlineStr">
        <is>
          <t>DN15 6LJ</t>
        </is>
      </c>
      <c r="L83" s="10" t="inlineStr"/>
      <c r="M83" s="10" t="inlineStr">
        <is>
          <t>customer.service@ecigaretteoutlet.co.uk</t>
        </is>
      </c>
      <c r="N83" s="10" t="inlineStr"/>
      <c r="O83" s="10" t="inlineStr">
        <is>
          <t>https://ecigaretteoutlet.co.uk</t>
        </is>
      </c>
      <c r="P83" s="10" t="inlineStr">
        <is>
          <t>https://www.facebook.com/Ecigaretteoutlet/</t>
        </is>
      </c>
      <c r="Q83" s="10" t="inlineStr"/>
      <c r="R83" s="10" t="inlineStr"/>
      <c r="S83" s="10" t="inlineStr"/>
      <c r="T83" s="10" t="inlineStr"/>
      <c r="U83" s="10" t="inlineStr"/>
      <c r="V83" s="10" t="inlineStr">
        <is>
          <t>High</t>
        </is>
      </c>
      <c r="W83" s="10" t="inlineStr">
        <is>
          <t>Multi-site retailer; Core relevant category; Public email available; Active website; Social presence</t>
        </is>
      </c>
      <c r="X83" s="10" t="inlineStr">
        <is>
          <t>Not Found</t>
        </is>
      </c>
      <c r="Y83" s="10" t="inlineStr">
        <is>
          <t>Publicly Listed</t>
        </is>
      </c>
      <c r="Z83" s="10" t="inlineStr">
        <is>
          <t>Medium</t>
        </is>
      </c>
      <c r="AA83" s="10" t="inlineStr">
        <is>
          <t>Partially Verified</t>
        </is>
      </c>
      <c r="AB83" s="10" t="inlineStr">
        <is>
          <t>https://www.facebook.com/Ecigaretteoutlet/</t>
        </is>
      </c>
    </row>
    <row r="84">
      <c r="A84" s="5" t="inlineStr">
        <is>
          <t>UK-000230</t>
        </is>
      </c>
      <c r="B84" s="5" t="inlineStr">
        <is>
          <t>IVAPESTORE-01</t>
        </is>
      </c>
      <c r="C84" s="5" t="inlineStr">
        <is>
          <t>iVape Store</t>
        </is>
      </c>
      <c r="D84" s="5" t="inlineStr">
        <is>
          <t>iVape Harrogate</t>
        </is>
      </c>
      <c r="E84" s="5" t="inlineStr">
        <is>
          <t>Vape Shop</t>
        </is>
      </c>
      <c r="F84" s="5" t="inlineStr">
        <is>
          <t>Disposables, e-liquids &amp; devices</t>
        </is>
      </c>
      <c r="G84" s="5" t="inlineStr">
        <is>
          <t>Regional Chain</t>
        </is>
      </c>
      <c r="H84" s="5" t="inlineStr"/>
      <c r="I84" s="5" t="inlineStr">
        <is>
          <t>8 Beulah Street</t>
        </is>
      </c>
      <c r="J84" s="5" t="inlineStr">
        <is>
          <t>Harrogate</t>
        </is>
      </c>
      <c r="K84" s="5" t="inlineStr">
        <is>
          <t>HG1 1QQ</t>
        </is>
      </c>
      <c r="L84" s="5" t="inlineStr">
        <is>
          <t>01423 509009</t>
        </is>
      </c>
      <c r="M84" s="5" t="inlineStr"/>
      <c r="N84" s="5" t="inlineStr"/>
      <c r="O84" s="5" t="inlineStr">
        <is>
          <t>https://ivapestore.co.uk/stores/ivape-harrogate</t>
        </is>
      </c>
      <c r="P84" s="5" t="inlineStr">
        <is>
          <t>https://www.facebook.com/iVapeHarrogateUK/</t>
        </is>
      </c>
      <c r="Q84" s="5" t="inlineStr"/>
      <c r="R84" s="5" t="inlineStr"/>
      <c r="S84" s="5" t="inlineStr"/>
      <c r="T84" s="5" t="inlineStr"/>
      <c r="U84" s="5" t="inlineStr"/>
      <c r="V84" s="5" t="inlineStr">
        <is>
          <t>High</t>
        </is>
      </c>
      <c r="W84" s="5" t="inlineStr">
        <is>
          <t>Multi-site retailer; Core relevant category; Active website; Social presence</t>
        </is>
      </c>
      <c r="X84" s="5" t="inlineStr">
        <is>
          <t>Verified directory</t>
        </is>
      </c>
      <c r="Y84" s="5" t="inlineStr">
        <is>
          <t>Website Found</t>
        </is>
      </c>
      <c r="Z84" s="5" t="inlineStr">
        <is>
          <t>Medium</t>
        </is>
      </c>
      <c r="AA84" s="5" t="inlineStr">
        <is>
          <t>Requires Verification</t>
        </is>
      </c>
      <c r="AB84" s="5" t="inlineStr">
        <is>
          <t>https://ivapestore.co.uk/stores/ivape-harrogate</t>
        </is>
      </c>
    </row>
    <row r="85">
      <c r="A85" s="10" t="inlineStr">
        <is>
          <t>WY-0185</t>
        </is>
      </c>
      <c r="B85" s="10" t="inlineStr">
        <is>
          <t>WY-0185-01</t>
        </is>
      </c>
      <c r="C85" s="10" t="inlineStr"/>
      <c r="D85" s="10" t="inlineStr">
        <is>
          <t>Wakefield Road Service Station (Featherstone)</t>
        </is>
      </c>
      <c r="E85" s="10" t="inlineStr">
        <is>
          <t>Petrol Station / Forecourt</t>
        </is>
      </c>
      <c r="F85" s="10" t="inlineStr">
        <is>
          <t>Forecourt with convenience store</t>
        </is>
      </c>
      <c r="G85" s="10" t="inlineStr">
        <is>
          <t>Multi-Site Independent</t>
        </is>
      </c>
      <c r="H85" s="10" t="inlineStr">
        <is>
          <t>3</t>
        </is>
      </c>
      <c r="I85" s="10" t="inlineStr">
        <is>
          <t>Wakefield Road</t>
        </is>
      </c>
      <c r="J85" s="10" t="inlineStr">
        <is>
          <t>Featherstone</t>
        </is>
      </c>
      <c r="K85" s="10" t="inlineStr"/>
      <c r="L85" s="10" t="inlineStr"/>
      <c r="M85" s="10" t="inlineStr"/>
      <c r="N85" s="10" t="inlineStr"/>
      <c r="O85" s="10" t="inlineStr"/>
      <c r="P85" s="10" t="inlineStr"/>
      <c r="Q85" s="10" t="inlineStr"/>
      <c r="R85" s="10" t="inlineStr">
        <is>
          <t>Saqib Javaid; Zeeshan Ali</t>
        </is>
      </c>
      <c r="S85" s="10" t="inlineStr">
        <is>
          <t>Owners / Operators</t>
        </is>
      </c>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https://forecourttrader.co.uk/latest-news/forecourt-operator-duo-add-wakefield-road-service-station-to-portfolio/708047.article</t>
        </is>
      </c>
    </row>
  </sheetData>
  <autoFilter ref="A1:AB8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15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UK-000195</t>
        </is>
      </c>
      <c r="B6" s="5" t="inlineStr">
        <is>
          <t>COSTCUTTER-01</t>
        </is>
      </c>
      <c r="C6" s="5" t="inlineStr">
        <is>
          <t>Costcutter</t>
        </is>
      </c>
      <c r="D6" s="5" t="inlineStr">
        <is>
          <t>Costcutter Tadcaster</t>
        </is>
      </c>
      <c r="E6" s="5" t="inlineStr">
        <is>
          <t>Convenience Store</t>
        </is>
      </c>
      <c r="F6" s="5" t="inlineStr">
        <is>
          <t>Symbol-group convenience store</t>
        </is>
      </c>
      <c r="G6" s="5" t="inlineStr">
        <is>
          <t>Franchise / Symbol Group</t>
        </is>
      </c>
      <c r="H6" s="5" t="inlineStr">
        <is>
          <t>1</t>
        </is>
      </c>
      <c r="I6" s="5" t="inlineStr"/>
      <c r="J6" s="5" t="inlineStr">
        <is>
          <t>Tadcaster</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https://www.yorkshire.com/tadcaster/shopping/corner-shops/costcutter-16</t>
        </is>
      </c>
    </row>
    <row r="7">
      <c r="A7" s="10" t="inlineStr">
        <is>
          <t>UK-000196</t>
        </is>
      </c>
      <c r="B7" s="10" t="inlineStr">
        <is>
          <t>ELECTRICVA-01</t>
        </is>
      </c>
      <c r="C7" s="10" t="inlineStr">
        <is>
          <t>Electric Vape</t>
        </is>
      </c>
      <c r="D7" s="10" t="inlineStr">
        <is>
          <t>Electric Vape Rotherham</t>
        </is>
      </c>
      <c r="E7" s="10" t="inlineStr">
        <is>
          <t>Vape Shop</t>
        </is>
      </c>
      <c r="F7" s="10" t="inlineStr">
        <is>
          <t>Market-stall vape shop</t>
        </is>
      </c>
      <c r="G7" s="10" t="inlineStr">
        <is>
          <t>Multi-Site Independent</t>
        </is>
      </c>
      <c r="H7" s="10" t="inlineStr">
        <is>
          <t>1</t>
        </is>
      </c>
      <c r="I7" s="10" t="inlineStr">
        <is>
          <t>Units 53 and 55, Rotherham Centenary Indoor Market (Ground Floor)</t>
        </is>
      </c>
      <c r="J7" s="10" t="inlineStr">
        <is>
          <t>Rotherham</t>
        </is>
      </c>
      <c r="K7" s="10" t="inlineStr">
        <is>
          <t>S65 1EL</t>
        </is>
      </c>
      <c r="L7" s="10" t="inlineStr"/>
      <c r="M7" s="10" t="inlineStr"/>
      <c r="N7" s="10" t="inlineStr"/>
      <c r="O7" s="10" t="inlineStr">
        <is>
          <t>https://www.electricvape.co.uk/rotherham-shop</t>
        </is>
      </c>
      <c r="P7" s="10" t="inlineStr"/>
      <c r="Q7" s="10" t="inlineStr"/>
      <c r="R7" s="10" t="inlineStr"/>
      <c r="S7" s="10" t="inlineStr"/>
      <c r="T7" s="10" t="inlineStr"/>
      <c r="U7" s="10" t="inlineStr"/>
      <c r="V7" s="10" t="inlineStr">
        <is>
          <t>High</t>
        </is>
      </c>
      <c r="W7" s="10" t="inlineStr">
        <is>
          <t>Multi-site retailer; Independent retailer; Core relevant category; Active website</t>
        </is>
      </c>
      <c r="X7" s="10" t="inlineStr">
        <is>
          <t>Not Found</t>
        </is>
      </c>
      <c r="Y7" s="10" t="inlineStr">
        <is>
          <t>Website Found</t>
        </is>
      </c>
      <c r="Z7" s="10" t="inlineStr">
        <is>
          <t>Medium</t>
        </is>
      </c>
      <c r="AA7" s="10" t="inlineStr">
        <is>
          <t>Requires Verification</t>
        </is>
      </c>
      <c r="AB7" s="10" t="inlineStr">
        <is>
          <t>https://www.electricvape.co.uk/rotherham-shop</t>
        </is>
      </c>
    </row>
    <row r="8">
      <c r="A8" s="5" t="inlineStr">
        <is>
          <t>UK-000197</t>
        </is>
      </c>
      <c r="B8" s="5" t="inlineStr">
        <is>
          <t>ELECTRICVA-02</t>
        </is>
      </c>
      <c r="C8" s="5" t="inlineStr">
        <is>
          <t>Electric Vape</t>
        </is>
      </c>
      <c r="D8" s="5" t="inlineStr">
        <is>
          <t>Electric Vaper Barnsley</t>
        </is>
      </c>
      <c r="E8" s="5" t="inlineStr">
        <is>
          <t>Vape Shop</t>
        </is>
      </c>
      <c r="F8" s="5" t="inlineStr">
        <is>
          <t>Vape shop</t>
        </is>
      </c>
      <c r="G8" s="5" t="inlineStr">
        <is>
          <t>Multi-Site Independent</t>
        </is>
      </c>
      <c r="H8" s="5" t="inlineStr">
        <is>
          <t>1</t>
        </is>
      </c>
      <c r="I8" s="5" t="inlineStr">
        <is>
          <t>11 May Day Green Arcade</t>
        </is>
      </c>
      <c r="J8" s="5" t="inlineStr">
        <is>
          <t>Barnsley</t>
        </is>
      </c>
      <c r="K8" s="5" t="inlineStr"/>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Core relevant category</t>
        </is>
      </c>
      <c r="X8" s="5" t="inlineStr">
        <is>
          <t>Not Found</t>
        </is>
      </c>
      <c r="Y8" s="5" t="inlineStr">
        <is>
          <t>Not Found</t>
        </is>
      </c>
      <c r="Z8" s="5" t="inlineStr">
        <is>
          <t>Low</t>
        </is>
      </c>
      <c r="AA8" s="5" t="inlineStr">
        <is>
          <t>Requires Verification</t>
        </is>
      </c>
      <c r="AB8" s="5" t="inlineStr">
        <is>
          <t>https://ecigdirectory.co.uk/vape-shop/listing/electric-vaper-barnsley</t>
        </is>
      </c>
    </row>
    <row r="9">
      <c r="A9" s="10" t="inlineStr">
        <is>
          <t>UK-000199</t>
        </is>
      </c>
      <c r="B9" s="10" t="inlineStr">
        <is>
          <t>FOODPLUS-01</t>
        </is>
      </c>
      <c r="C9" s="10" t="inlineStr">
        <is>
          <t>Food Plus</t>
        </is>
      </c>
      <c r="D9" s="10" t="inlineStr">
        <is>
          <t>Food Plus Hexthorpe (Polski Sklep)</t>
        </is>
      </c>
      <c r="E9" s="10" t="inlineStr">
        <is>
          <t>Independent Supermarket</t>
        </is>
      </c>
      <c r="F9" s="10" t="inlineStr">
        <is>
          <t>Polish / European grocery store</t>
        </is>
      </c>
      <c r="G9" s="10" t="inlineStr">
        <is>
          <t>Franchise / Symbol Group</t>
        </is>
      </c>
      <c r="H9" s="10" t="inlineStr">
        <is>
          <t>1</t>
        </is>
      </c>
      <c r="I9" s="10" t="inlineStr"/>
      <c r="J9" s="10" t="inlineStr">
        <is>
          <t>Doncaster</t>
        </is>
      </c>
      <c r="K9" s="10" t="inlineStr">
        <is>
          <t>DN4 0BD</t>
        </is>
      </c>
      <c r="L9" s="10" t="inlineStr"/>
      <c r="M9" s="10" t="inlineStr"/>
      <c r="N9" s="10" t="inlineStr"/>
      <c r="O9" s="10" t="inlineStr">
        <is>
          <t>https://www.foodplus.eu/</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Website Found</t>
        </is>
      </c>
      <c r="Z9" s="10" t="inlineStr">
        <is>
          <t>Low</t>
        </is>
      </c>
      <c r="AA9" s="10" t="inlineStr">
        <is>
          <t>Requires Verification</t>
        </is>
      </c>
      <c r="AB9" s="10" t="inlineStr">
        <is>
          <t>https://www.foodplus.eu/en/map/food-plus-polski-sklep-hexthorpe-dn4-0bd-doncaster</t>
        </is>
      </c>
    </row>
    <row r="10">
      <c r="A10" s="5" t="inlineStr">
        <is>
          <t>UK-000200</t>
        </is>
      </c>
      <c r="B10" s="5" t="inlineStr">
        <is>
          <t>FOODPLUS-02</t>
        </is>
      </c>
      <c r="C10" s="5" t="inlineStr">
        <is>
          <t>Food Plus</t>
        </is>
      </c>
      <c r="D10" s="5" t="inlineStr">
        <is>
          <t>Food Plus Rotherham (Polski Sklep)</t>
        </is>
      </c>
      <c r="E10" s="5" t="inlineStr">
        <is>
          <t>Independent Supermarket</t>
        </is>
      </c>
      <c r="F10" s="5" t="inlineStr">
        <is>
          <t>Polish / European grocery store</t>
        </is>
      </c>
      <c r="G10" s="5" t="inlineStr">
        <is>
          <t>Franchise / Symbol Group</t>
        </is>
      </c>
      <c r="H10" s="5" t="inlineStr">
        <is>
          <t>1</t>
        </is>
      </c>
      <c r="I10" s="5" t="inlineStr"/>
      <c r="J10" s="5" t="inlineStr">
        <is>
          <t>Rotherham</t>
        </is>
      </c>
      <c r="K10" s="5" t="inlineStr"/>
      <c r="L10" s="5" t="inlineStr"/>
      <c r="M10" s="5" t="inlineStr"/>
      <c r="N10" s="5" t="inlineStr"/>
      <c r="O10" s="5" t="inlineStr">
        <is>
          <t>https://www.foodplus.eu/</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Not Found</t>
        </is>
      </c>
      <c r="Y10" s="5" t="inlineStr">
        <is>
          <t>Website Found</t>
        </is>
      </c>
      <c r="Z10" s="5" t="inlineStr">
        <is>
          <t>Low</t>
        </is>
      </c>
      <c r="AA10" s="5" t="inlineStr">
        <is>
          <t>Requires Verification</t>
        </is>
      </c>
      <c r="AB10" s="5" t="inlineStr">
        <is>
          <t>https://www.yorkshire.com/rotherham/shopping/grocers</t>
        </is>
      </c>
    </row>
    <row r="11">
      <c r="A11" s="10" t="inlineStr">
        <is>
          <t>WY-0016</t>
        </is>
      </c>
      <c r="B11" s="10" t="inlineStr">
        <is>
          <t>KARANRETAI-01</t>
        </is>
      </c>
      <c r="C11" s="10" t="inlineStr">
        <is>
          <t>Karan Retail Ltd</t>
        </is>
      </c>
      <c r="D11" s="10" t="inlineStr">
        <is>
          <t>Chidswell Service Station (Karan Retail)</t>
        </is>
      </c>
      <c r="E11" s="10" t="inlineStr">
        <is>
          <t>Petrol Station / Forecourt</t>
        </is>
      </c>
      <c r="F11" s="10" t="inlineStr">
        <is>
          <t>Forecourt with convenience store</t>
        </is>
      </c>
      <c r="G11" s="10" t="inlineStr">
        <is>
          <t>Multi-Site Independent</t>
        </is>
      </c>
      <c r="H11" s="10" t="inlineStr"/>
      <c r="I11" s="10" t="inlineStr">
        <is>
          <t>Off A653 (Chidswell)</t>
        </is>
      </c>
      <c r="J11" s="10" t="inlineStr">
        <is>
          <t>Dewsbury</t>
        </is>
      </c>
      <c r="K11" s="10" t="inlineStr"/>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https://www.asiantrader.biz/karan-retail-chidswell-service-station-acquisition</t>
        </is>
      </c>
    </row>
    <row r="12">
      <c r="A12" s="5" t="inlineStr">
        <is>
          <t>WY-0020</t>
        </is>
      </c>
      <c r="B12" s="5" t="inlineStr">
        <is>
          <t>MULLACO-02</t>
        </is>
      </c>
      <c r="C12" s="5" t="inlineStr">
        <is>
          <t>Mullaco</t>
        </is>
      </c>
      <c r="D12" s="5" t="inlineStr">
        <is>
          <t>Mullaco Minimarket (Dewsbury)</t>
        </is>
      </c>
      <c r="E12" s="5" t="inlineStr">
        <is>
          <t>Convenience Store</t>
        </is>
      </c>
      <c r="F12" s="5" t="inlineStr">
        <is>
          <t>World foods minimarket</t>
        </is>
      </c>
      <c r="G12" s="5" t="inlineStr">
        <is>
          <t>Regional Chain</t>
        </is>
      </c>
      <c r="H12" s="5" t="inlineStr">
        <is>
          <t>3</t>
        </is>
      </c>
      <c r="I12" s="5" t="inlineStr"/>
      <c r="J12" s="5" t="inlineStr">
        <is>
          <t>Dewsbury</t>
        </is>
      </c>
      <c r="K12" s="5" t="inlineStr">
        <is>
          <t>WF12 9LX</t>
        </is>
      </c>
      <c r="L12" s="5" t="inlineStr"/>
      <c r="M12" s="5" t="inlineStr"/>
      <c r="N12" s="5" t="inlineStr"/>
      <c r="O12" s="5" t="inlineStr">
        <is>
          <t>https://mullaco.co.uk/</t>
        </is>
      </c>
      <c r="P12" s="5" t="inlineStr">
        <is>
          <t>https://www.facebook.com/mullaco.supermarket/</t>
        </is>
      </c>
      <c r="Q12" s="5" t="inlineStr"/>
      <c r="R12" s="5" t="inlineStr"/>
      <c r="S12" s="5" t="inlineStr"/>
      <c r="T12" s="5" t="inlineStr"/>
      <c r="U12" s="5" t="inlineStr"/>
      <c r="V12" s="5" t="inlineStr">
        <is>
          <t>Medium</t>
        </is>
      </c>
      <c r="W12" s="5" t="inlineStr">
        <is>
          <t>Multi-site retailer; Relevant category; Active website; Social presence</t>
        </is>
      </c>
      <c r="X12" s="5" t="inlineStr">
        <is>
          <t>Not Found</t>
        </is>
      </c>
      <c r="Y12" s="5" t="inlineStr">
        <is>
          <t>Website Found</t>
        </is>
      </c>
      <c r="Z12" s="5" t="inlineStr">
        <is>
          <t>Medium</t>
        </is>
      </c>
      <c r="AA12" s="5" t="inlineStr">
        <is>
          <t>Requires Verification</t>
        </is>
      </c>
      <c r="AB12" s="5" t="inlineStr">
        <is>
          <t>https://www.facebook.com/mullaco.supermarket/</t>
        </is>
      </c>
    </row>
    <row r="13">
      <c r="A13" s="10" t="inlineStr">
        <is>
          <t>UK-000201</t>
        </is>
      </c>
      <c r="B13" s="10" t="inlineStr">
        <is>
          <t>NISA-01</t>
        </is>
      </c>
      <c r="C13" s="10" t="inlineStr">
        <is>
          <t>Nisa</t>
        </is>
      </c>
      <c r="D13" s="10" t="inlineStr">
        <is>
          <t>Nisa Express Grimsby (Victor Street)</t>
        </is>
      </c>
      <c r="E13" s="10" t="inlineStr">
        <is>
          <t>Convenience Store</t>
        </is>
      </c>
      <c r="F13" s="10" t="inlineStr">
        <is>
          <t>Symbol-group convenience store</t>
        </is>
      </c>
      <c r="G13" s="10" t="inlineStr">
        <is>
          <t>Franchise / Symbol Group</t>
        </is>
      </c>
      <c r="H13" s="10" t="inlineStr">
        <is>
          <t>1</t>
        </is>
      </c>
      <c r="I13" s="10" t="inlineStr">
        <is>
          <t>129 Victor Street</t>
        </is>
      </c>
      <c r="J13" s="10" t="inlineStr">
        <is>
          <t>Grimsby</t>
        </is>
      </c>
      <c r="K13" s="10" t="inlineStr"/>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https://www.nisalocally.co.uk/stores/north-east-lincs/grimsby/129-victor-st</t>
        </is>
      </c>
    </row>
    <row r="14">
      <c r="A14" s="5" t="inlineStr">
        <is>
          <t>UK-000202</t>
        </is>
      </c>
      <c r="B14" s="5" t="inlineStr">
        <is>
          <t>NISA-02</t>
        </is>
      </c>
      <c r="C14" s="5" t="inlineStr">
        <is>
          <t>Nisa</t>
        </is>
      </c>
      <c r="D14" s="5" t="inlineStr">
        <is>
          <t>Nisa Local Cleethorpes (Grimsby Road)</t>
        </is>
      </c>
      <c r="E14" s="5" t="inlineStr">
        <is>
          <t>Convenience Store</t>
        </is>
      </c>
      <c r="F14" s="5" t="inlineStr">
        <is>
          <t>Symbol-group convenience store</t>
        </is>
      </c>
      <c r="G14" s="5" t="inlineStr">
        <is>
          <t>Franchise / Symbol Group</t>
        </is>
      </c>
      <c r="H14" s="5" t="inlineStr">
        <is>
          <t>1</t>
        </is>
      </c>
      <c r="I14" s="5" t="inlineStr">
        <is>
          <t>29-31 Grimsby Road</t>
        </is>
      </c>
      <c r="J14" s="5" t="inlineStr">
        <is>
          <t>Cleethorpes</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https://ratings.food.gov.uk/business/1631635/nisa-local-grimsby-local-store</t>
        </is>
      </c>
    </row>
    <row r="15">
      <c r="A15" s="10" t="inlineStr">
        <is>
          <t>UK-000203</t>
        </is>
      </c>
      <c r="B15" s="10" t="inlineStr">
        <is>
          <t>PARFETTSTH-01</t>
        </is>
      </c>
      <c r="C15" s="10" t="inlineStr">
        <is>
          <t>Parfetts / The Local</t>
        </is>
      </c>
      <c r="D15" s="10" t="inlineStr">
        <is>
          <t>The Local (Marfleet Lane)</t>
        </is>
      </c>
      <c r="E15" s="10" t="inlineStr">
        <is>
          <t>Convenience Store</t>
        </is>
      </c>
      <c r="F15" s="10" t="inlineStr">
        <is>
          <t>Symbol-group convenience store</t>
        </is>
      </c>
      <c r="G15" s="10" t="inlineStr">
        <is>
          <t>Franchise / Symbol Group</t>
        </is>
      </c>
      <c r="H15" s="10" t="inlineStr">
        <is>
          <t>1</t>
        </is>
      </c>
      <c r="I15" s="10" t="inlineStr">
        <is>
          <t>Marfleet Lane</t>
        </is>
      </c>
      <c r="J15" s="10" t="inlineStr">
        <is>
          <t>Kingston upon Hull</t>
        </is>
      </c>
      <c r="K15" s="10" t="inlineStr"/>
      <c r="L15" s="10" t="inlineStr"/>
      <c r="M15" s="10" t="inlineStr"/>
      <c r="N15" s="10" t="inlineStr"/>
      <c r="O15" s="10" t="inlineStr"/>
      <c r="P15" s="10" t="inlineStr"/>
      <c r="Q15" s="10" t="inlineStr"/>
      <c r="R15" s="10" t="inlineStr">
        <is>
          <t>Prasath Balakrishnan</t>
        </is>
      </c>
      <c r="S15" s="10" t="inlineStr">
        <is>
          <t>Owner</t>
        </is>
      </c>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Medium</t>
        </is>
      </c>
      <c r="AA15" s="10" t="inlineStr">
        <is>
          <t>Requires Verification</t>
        </is>
      </c>
      <c r="AB15" s="10" t="inlineStr">
        <is>
          <t>https://wholesalemanager.co.uk/new-the-local-store-opens-in-hull/</t>
        </is>
      </c>
    </row>
    <row r="16">
      <c r="A16" s="5" t="inlineStr">
        <is>
          <t>UK-000204</t>
        </is>
      </c>
      <c r="B16" s="5" t="inlineStr">
        <is>
          <t>PREMIERBOO-01</t>
        </is>
      </c>
      <c r="C16" s="5" t="inlineStr">
        <is>
          <t>Premier (Booker Group)</t>
        </is>
      </c>
      <c r="D16" s="5" t="inlineStr">
        <is>
          <t>Premier Stores Ripon</t>
        </is>
      </c>
      <c r="E16" s="5" t="inlineStr">
        <is>
          <t>Convenience Store</t>
        </is>
      </c>
      <c r="F16" s="5" t="inlineStr">
        <is>
          <t>Symbol-group convenience store</t>
        </is>
      </c>
      <c r="G16" s="5" t="inlineStr">
        <is>
          <t>Franchise / Symbol Group</t>
        </is>
      </c>
      <c r="H16" s="5" t="inlineStr">
        <is>
          <t>1</t>
        </is>
      </c>
      <c r="I16" s="5" t="inlineStr">
        <is>
          <t>64 Bondgate</t>
        </is>
      </c>
      <c r="J16" s="5" t="inlineStr">
        <is>
          <t>Ripon</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https://www.localstore.co.uk/store/394275/premier-stores/ripon/</t>
        </is>
      </c>
    </row>
    <row r="17">
      <c r="A17" s="10" t="inlineStr">
        <is>
          <t>UK-000205</t>
        </is>
      </c>
      <c r="B17" s="10" t="inlineStr">
        <is>
          <t>PREMIERBOO-01</t>
        </is>
      </c>
      <c r="C17" s="10" t="inlineStr">
        <is>
          <t>Premier (Booker)</t>
        </is>
      </c>
      <c r="D17" s="10" t="inlineStr">
        <is>
          <t>Firth Park Convenience Store</t>
        </is>
      </c>
      <c r="E17" s="10" t="inlineStr">
        <is>
          <t>Convenience Store</t>
        </is>
      </c>
      <c r="F17" s="10" t="inlineStr">
        <is>
          <t>Convenience store (symbol group)</t>
        </is>
      </c>
      <c r="G17" s="10" t="inlineStr">
        <is>
          <t>Franchise / Symbol Group</t>
        </is>
      </c>
      <c r="H17" s="10" t="inlineStr">
        <is>
          <t>1</t>
        </is>
      </c>
      <c r="I17" s="10" t="inlineStr">
        <is>
          <t>11-13 Stubbin Lane</t>
        </is>
      </c>
      <c r="J17" s="10" t="inlineStr">
        <is>
          <t>Sheffield</t>
        </is>
      </c>
      <c r="K17" s="10" t="inlineStr">
        <is>
          <t>S5 6QG</t>
        </is>
      </c>
      <c r="L17" s="10" t="inlineStr"/>
      <c r="M17" s="10" t="inlineStr"/>
      <c r="N17" s="10" t="inlineStr"/>
      <c r="O17" s="10" t="inlineStr">
        <is>
          <t>https://www.premier-stores.co.uk/our-stores/firth-park-convenience-store</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Not Found</t>
        </is>
      </c>
      <c r="Z17" s="10" t="inlineStr">
        <is>
          <t>Low</t>
        </is>
      </c>
      <c r="AA17" s="10" t="inlineStr">
        <is>
          <t>Requires Verification</t>
        </is>
      </c>
      <c r="AB17" s="10" t="inlineStr">
        <is>
          <t>https://www.premier-stores.co.uk/our-stores/firth-park-convenience-store</t>
        </is>
      </c>
    </row>
    <row r="18">
      <c r="A18" s="5" t="inlineStr">
        <is>
          <t>UK-000206</t>
        </is>
      </c>
      <c r="B18" s="5" t="inlineStr">
        <is>
          <t>PREMIERBOO-02</t>
        </is>
      </c>
      <c r="C18" s="5" t="inlineStr">
        <is>
          <t>Premier (Booker)</t>
        </is>
      </c>
      <c r="D18" s="5" t="inlineStr">
        <is>
          <t>Premier (Grimsby Road, Cleethorpes)</t>
        </is>
      </c>
      <c r="E18" s="5" t="inlineStr">
        <is>
          <t>Convenience Store</t>
        </is>
      </c>
      <c r="F18" s="5" t="inlineStr">
        <is>
          <t>Symbol-group convenience store</t>
        </is>
      </c>
      <c r="G18" s="5" t="inlineStr">
        <is>
          <t>Franchise / Symbol Group</t>
        </is>
      </c>
      <c r="H18" s="5" t="inlineStr">
        <is>
          <t>1</t>
        </is>
      </c>
      <c r="I18" s="5" t="inlineStr">
        <is>
          <t>141-143 Grimsby Road</t>
        </is>
      </c>
      <c r="J18" s="5" t="inlineStr">
        <is>
          <t>Cleethorpes</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https://www.premier-stores.co.uk/our-stores/grimsby-road</t>
        </is>
      </c>
    </row>
    <row r="19">
      <c r="A19" s="10" t="inlineStr">
        <is>
          <t>UK-000208</t>
        </is>
      </c>
      <c r="B19" s="10" t="inlineStr">
        <is>
          <t>PREMIERBOO-04</t>
        </is>
      </c>
      <c r="C19" s="10" t="inlineStr">
        <is>
          <t>Premier (Booker)</t>
        </is>
      </c>
      <c r="D19" s="10" t="inlineStr">
        <is>
          <t>Premier Super Convenience Store Barnsley</t>
        </is>
      </c>
      <c r="E19" s="10" t="inlineStr">
        <is>
          <t>Convenience Store</t>
        </is>
      </c>
      <c r="F19" s="10" t="inlineStr">
        <is>
          <t>Convenience store (symbol group)</t>
        </is>
      </c>
      <c r="G19" s="10" t="inlineStr">
        <is>
          <t>Franchise / Symbol Group</t>
        </is>
      </c>
      <c r="H19" s="10" t="inlineStr">
        <is>
          <t>1</t>
        </is>
      </c>
      <c r="I19" s="10" t="inlineStr">
        <is>
          <t>38-40 Dodworth Road</t>
        </is>
      </c>
      <c r="J19" s="10" t="inlineStr">
        <is>
          <t>Barnsley</t>
        </is>
      </c>
      <c r="K19" s="10" t="inlineStr"/>
      <c r="L19" s="10" t="inlineStr"/>
      <c r="M19" s="10" t="inlineStr"/>
      <c r="N19" s="10" t="inlineStr"/>
      <c r="O19" s="10" t="inlineStr"/>
      <c r="P19" s="10" t="inlineStr">
        <is>
          <t>https://web.facebook.com/premier3840/</t>
        </is>
      </c>
      <c r="Q19" s="10" t="inlineStr"/>
      <c r="R19" s="10" t="inlineStr"/>
      <c r="S19" s="10" t="inlineStr"/>
      <c r="T19" s="10" t="inlineStr"/>
      <c r="U19" s="10" t="inlineStr"/>
      <c r="V19" s="10" t="inlineStr">
        <is>
          <t>Medium</t>
        </is>
      </c>
      <c r="W19" s="10" t="inlineStr">
        <is>
          <t>Multi-site retailer; Independent retailer; Relevant category; Social presence</t>
        </is>
      </c>
      <c r="X19" s="10" t="inlineStr">
        <is>
          <t>Not Found</t>
        </is>
      </c>
      <c r="Y19" s="10" t="inlineStr">
        <is>
          <t>Not Found</t>
        </is>
      </c>
      <c r="Z19" s="10" t="inlineStr">
        <is>
          <t>Low</t>
        </is>
      </c>
      <c r="AA19" s="10" t="inlineStr">
        <is>
          <t>Requires Verification</t>
        </is>
      </c>
      <c r="AB19" s="10" t="inlineStr">
        <is>
          <t>https://web.facebook.com/premier3840/</t>
        </is>
      </c>
    </row>
    <row r="20">
      <c r="A20" s="5" t="inlineStr">
        <is>
          <t>UK-000209</t>
        </is>
      </c>
      <c r="B20" s="5" t="inlineStr">
        <is>
          <t>PREMIERBOO-05</t>
        </is>
      </c>
      <c r="C20" s="5" t="inlineStr">
        <is>
          <t>Premier (Booker)</t>
        </is>
      </c>
      <c r="D20" s="5" t="inlineStr">
        <is>
          <t>Premier Wombwell Convenience Store</t>
        </is>
      </c>
      <c r="E20" s="5" t="inlineStr">
        <is>
          <t>Convenience Store</t>
        </is>
      </c>
      <c r="F20" s="5" t="inlineStr">
        <is>
          <t>Convenience store (symbol group)</t>
        </is>
      </c>
      <c r="G20" s="5" t="inlineStr">
        <is>
          <t>Franchise / Symbol Group</t>
        </is>
      </c>
      <c r="H20" s="5" t="inlineStr">
        <is>
          <t>1</t>
        </is>
      </c>
      <c r="I20" s="5" t="inlineStr">
        <is>
          <t>2 Pearson Crescent</t>
        </is>
      </c>
      <c r="J20" s="5" t="inlineStr">
        <is>
          <t>Barnsley</t>
        </is>
      </c>
      <c r="K20" s="5" t="inlineStr">
        <is>
          <t>S73 8SN</t>
        </is>
      </c>
      <c r="L20" s="5" t="inlineStr"/>
      <c r="M20" s="5" t="inlineStr"/>
      <c r="N20" s="5" t="inlineStr"/>
      <c r="O20" s="5" t="inlineStr">
        <is>
          <t>https://www.premier-stores.co.uk/our-stores/wombwell-convenience-store</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Not Found</t>
        </is>
      </c>
      <c r="Y20" s="5" t="inlineStr">
        <is>
          <t>Not Found</t>
        </is>
      </c>
      <c r="Z20" s="5" t="inlineStr">
        <is>
          <t>Low</t>
        </is>
      </c>
      <c r="AA20" s="5" t="inlineStr">
        <is>
          <t>Requires Verification</t>
        </is>
      </c>
      <c r="AB20" s="5" t="inlineStr">
        <is>
          <t>https://www.premier-stores.co.uk/our-stores/wombwell-convenience-store</t>
        </is>
      </c>
    </row>
    <row r="21">
      <c r="A21" s="10" t="inlineStr">
        <is>
          <t>UK-000210</t>
        </is>
      </c>
      <c r="B21" s="10" t="inlineStr">
        <is>
          <t>PREMIERBOO-06</t>
        </is>
      </c>
      <c r="C21" s="10" t="inlineStr">
        <is>
          <t>Premier (Booker)</t>
        </is>
      </c>
      <c r="D21" s="10" t="inlineStr">
        <is>
          <t>Sheffield Road Premier Convenience Store</t>
        </is>
      </c>
      <c r="E21" s="10" t="inlineStr">
        <is>
          <t>Convenience Store</t>
        </is>
      </c>
      <c r="F21" s="10" t="inlineStr">
        <is>
          <t>Convenience store (symbol group)</t>
        </is>
      </c>
      <c r="G21" s="10" t="inlineStr">
        <is>
          <t>Franchise / Symbol Group</t>
        </is>
      </c>
      <c r="H21" s="10" t="inlineStr">
        <is>
          <t>1</t>
        </is>
      </c>
      <c r="I21" s="10" t="inlineStr">
        <is>
          <t>110-112 Sheffield Road</t>
        </is>
      </c>
      <c r="J21" s="10" t="inlineStr">
        <is>
          <t>Barnsley</t>
        </is>
      </c>
      <c r="K21" s="10" t="inlineStr">
        <is>
          <t>S70 1JB</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https://www.barnsley.gov.uk/services/licences-and-permissions/premises-licences/pending-premises-licence-applications/sheffield-road-premier-convenience-store-application-for-a-new-premises-licence</t>
        </is>
      </c>
    </row>
    <row r="22">
      <c r="A22" s="5" t="inlineStr">
        <is>
          <t>UK-000211</t>
        </is>
      </c>
      <c r="B22" s="5" t="inlineStr">
        <is>
          <t>SMKD-04</t>
        </is>
      </c>
      <c r="C22" s="5" t="inlineStr">
        <is>
          <t>SMKD</t>
        </is>
      </c>
      <c r="D22" s="5" t="inlineStr">
        <is>
          <t>SMKD Barnsley</t>
        </is>
      </c>
      <c r="E22" s="5" t="inlineStr">
        <is>
          <t>Vape Shop</t>
        </is>
      </c>
      <c r="F22" s="5" t="inlineStr">
        <is>
          <t>E-cigarette and vape shop</t>
        </is>
      </c>
      <c r="G22" s="5" t="inlineStr">
        <is>
          <t>Regional Chain</t>
        </is>
      </c>
      <c r="H22" s="5" t="inlineStr">
        <is>
          <t>2</t>
        </is>
      </c>
      <c r="I22" s="5" t="inlineStr">
        <is>
          <t>New Street</t>
        </is>
      </c>
      <c r="J22" s="5" t="inlineStr">
        <is>
          <t>Barnsley</t>
        </is>
      </c>
      <c r="K22" s="5" t="inlineStr"/>
      <c r="L22" s="5" t="inlineStr"/>
      <c r="M22" s="5" t="inlineStr"/>
      <c r="N22" s="5" t="inlineStr"/>
      <c r="O22" s="5" t="inlineStr">
        <is>
          <t>https://smkd.com/</t>
        </is>
      </c>
      <c r="P22" s="5" t="inlineStr"/>
      <c r="Q22" s="5" t="inlineStr"/>
      <c r="R22" s="5" t="inlineStr"/>
      <c r="S22" s="5" t="inlineStr"/>
      <c r="T22" s="5" t="inlineStr"/>
      <c r="U22" s="5" t="inlineStr"/>
      <c r="V22" s="5" t="inlineStr">
        <is>
          <t>Medium</t>
        </is>
      </c>
      <c r="W22" s="5" t="inlineStr">
        <is>
          <t>Multi-site retailer; Core relevant category; Active website</t>
        </is>
      </c>
      <c r="X22" s="5" t="inlineStr">
        <is>
          <t>Not Found</t>
        </is>
      </c>
      <c r="Y22" s="5" t="inlineStr">
        <is>
          <t>Website Found</t>
        </is>
      </c>
      <c r="Z22" s="5" t="inlineStr">
        <is>
          <t>Low</t>
        </is>
      </c>
      <c r="AA22" s="5" t="inlineStr">
        <is>
          <t>Requires Verification</t>
        </is>
      </c>
      <c r="AB22" s="5" t="inlineStr">
        <is>
          <t>https://smkd.com/vape-shop-locator/smkd-barnsley-vape-shop-new-street/</t>
        </is>
      </c>
    </row>
    <row r="23">
      <c r="A23" s="10" t="inlineStr">
        <is>
          <t>UK-000213</t>
        </is>
      </c>
      <c r="B23" s="10" t="inlineStr">
        <is>
          <t>SPAR-01</t>
        </is>
      </c>
      <c r="C23" s="10" t="inlineStr">
        <is>
          <t>SPAR</t>
        </is>
      </c>
      <c r="D23" s="10" t="inlineStr">
        <is>
          <t>SPAR Barnsley Road</t>
        </is>
      </c>
      <c r="E23" s="10" t="inlineStr">
        <is>
          <t>Convenience Store</t>
        </is>
      </c>
      <c r="F23" s="10" t="inlineStr">
        <is>
          <t>Convenience store (symbol group)</t>
        </is>
      </c>
      <c r="G23" s="10" t="inlineStr">
        <is>
          <t>Franchise / Symbol Group</t>
        </is>
      </c>
      <c r="H23" s="10" t="inlineStr">
        <is>
          <t>1</t>
        </is>
      </c>
      <c r="I23" s="10" t="inlineStr">
        <is>
          <t>Barnsley Road</t>
        </is>
      </c>
      <c r="J23" s="10" t="inlineStr">
        <is>
          <t>Barnsley</t>
        </is>
      </c>
      <c r="K23" s="10" t="inlineStr"/>
      <c r="L23" s="10" t="inlineStr"/>
      <c r="M23" s="10" t="inlineStr"/>
      <c r="N23" s="10" t="inlineStr"/>
      <c r="O23" s="10" t="inlineStr">
        <is>
          <t>https://www.spar.co.uk/store-locator/afb31700-spar-barnsley-road</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Not Found</t>
        </is>
      </c>
      <c r="Y23" s="10" t="inlineStr">
        <is>
          <t>Not Found</t>
        </is>
      </c>
      <c r="Z23" s="10" t="inlineStr">
        <is>
          <t>Low</t>
        </is>
      </c>
      <c r="AA23" s="10" t="inlineStr">
        <is>
          <t>Requires Verification</t>
        </is>
      </c>
      <c r="AB23" s="10" t="inlineStr">
        <is>
          <t>https://www.spar.co.uk/store-locator/afb31700-spar-barnsley-road</t>
        </is>
      </c>
    </row>
    <row r="24">
      <c r="A24" s="5" t="inlineStr">
        <is>
          <t>WY-0025</t>
        </is>
      </c>
      <c r="B24" s="5" t="inlineStr">
        <is>
          <t>SAVILEPETR-01</t>
        </is>
      </c>
      <c r="C24" s="5" t="inlineStr">
        <is>
          <t>Savile Petroleum Limited</t>
        </is>
      </c>
      <c r="D24" s="5" t="inlineStr">
        <is>
          <t>Dewsbury Service Station (Savile Petroleum)</t>
        </is>
      </c>
      <c r="E24" s="5" t="inlineStr">
        <is>
          <t>Petrol Station / Forecourt</t>
        </is>
      </c>
      <c r="F24" s="5" t="inlineStr">
        <is>
          <t>BP-branded independent forecourt with convenience store</t>
        </is>
      </c>
      <c r="G24" s="5" t="inlineStr">
        <is>
          <t>Independent</t>
        </is>
      </c>
      <c r="H24" s="5" t="inlineStr">
        <is>
          <t>1</t>
        </is>
      </c>
      <c r="I24" s="5" t="inlineStr">
        <is>
          <t>Savile Road</t>
        </is>
      </c>
      <c r="J24" s="5" t="inlineStr">
        <is>
          <t>Dewsbury</t>
        </is>
      </c>
      <c r="K24" s="5" t="inlineStr">
        <is>
          <t>WF12 9LR</t>
        </is>
      </c>
      <c r="L24" s="5" t="inlineStr"/>
      <c r="M24" s="5" t="inlineStr"/>
      <c r="N24" s="5" t="inlineStr"/>
      <c r="O24" s="5" t="inlineStr"/>
      <c r="P24" s="5" t="inlineStr"/>
      <c r="Q24" s="5" t="inlineStr"/>
      <c r="R24" s="5" t="inlineStr"/>
      <c r="S24" s="5" t="inlineStr"/>
      <c r="T24" s="5" t="inlineStr">
        <is>
          <t>05197700</t>
        </is>
      </c>
      <c r="U24" s="5" t="inlineStr">
        <is>
          <t>Active</t>
        </is>
      </c>
      <c r="V24" s="5" t="inlineStr">
        <is>
          <t>Medium</t>
        </is>
      </c>
      <c r="W24" s="5" t="inlineStr">
        <is>
          <t>Multi-site retailer; Independent retailer; Relevant category</t>
        </is>
      </c>
      <c r="X24" s="5" t="inlineStr">
        <is>
          <t>Not Found</t>
        </is>
      </c>
      <c r="Y24" s="5" t="inlineStr">
        <is>
          <t>Not Found</t>
        </is>
      </c>
      <c r="Z24" s="5" t="inlineStr">
        <is>
          <t>Medium</t>
        </is>
      </c>
      <c r="AA24" s="5" t="inlineStr">
        <is>
          <t>Partially Verified</t>
        </is>
      </c>
      <c r="AB24" s="5" t="inlineStr">
        <is>
          <t>https://find-and-update.company-information.service.gov.uk/company/05197700</t>
        </is>
      </c>
    </row>
    <row r="25">
      <c r="A25" s="10" t="inlineStr">
        <is>
          <t>WY-0027</t>
        </is>
      </c>
      <c r="B25" s="10" t="inlineStr">
        <is>
          <t>SINGKEEFOO-02</t>
        </is>
      </c>
      <c r="C25" s="10" t="inlineStr">
        <is>
          <t>Sing Kee Foods (Sing-Ying Group)</t>
        </is>
      </c>
      <c r="D25" s="10" t="inlineStr">
        <is>
          <t>Sing Kee Oriental Supermarket (Merrion Centre)</t>
        </is>
      </c>
      <c r="E25" s="10" t="inlineStr">
        <is>
          <t>Independent Supermarket</t>
        </is>
      </c>
      <c r="F25" s="10" t="inlineStr">
        <is>
          <t>Chinese / Oriental supermarket</t>
        </is>
      </c>
      <c r="G25" s="10" t="inlineStr">
        <is>
          <t>Multi-Site Independent</t>
        </is>
      </c>
      <c r="H25" s="10" t="inlineStr">
        <is>
          <t>2</t>
        </is>
      </c>
      <c r="I25" s="10" t="inlineStr">
        <is>
          <t>26-28 Woodhouse Lane, Merrion Centre</t>
        </is>
      </c>
      <c r="J25" s="10" t="inlineStr">
        <is>
          <t>Leeds</t>
        </is>
      </c>
      <c r="K25" s="10" t="inlineStr">
        <is>
          <t>LS2 8LX</t>
        </is>
      </c>
      <c r="L25" s="10" t="inlineStr"/>
      <c r="M25" s="10" t="inlineStr"/>
      <c r="N25" s="10" t="inlineStr"/>
      <c r="O25" s="10" t="inlineStr">
        <is>
          <t>https://singkeefoods.co.uk/gb/</t>
        </is>
      </c>
      <c r="P25" s="10" t="inlineStr">
        <is>
          <t>https://www.facebook.com/SingKeeLeedsCentre/</t>
        </is>
      </c>
      <c r="Q25" s="10" t="inlineStr"/>
      <c r="R25" s="10" t="inlineStr"/>
      <c r="S25" s="10" t="inlineStr"/>
      <c r="T25" s="10" t="inlineStr"/>
      <c r="U25" s="10" t="inlineStr"/>
      <c r="V25" s="10" t="inlineStr">
        <is>
          <t>High</t>
        </is>
      </c>
      <c r="W25" s="10" t="inlineStr">
        <is>
          <t>Multi-site retailer; Independent retailer; Relevant category; Active website; Social presence</t>
        </is>
      </c>
      <c r="X25" s="10" t="inlineStr">
        <is>
          <t>Not Found</t>
        </is>
      </c>
      <c r="Y25" s="10" t="inlineStr">
        <is>
          <t>Website Found</t>
        </is>
      </c>
      <c r="Z25" s="10" t="inlineStr">
        <is>
          <t>Medium</t>
        </is>
      </c>
      <c r="AA25" s="10" t="inlineStr">
        <is>
          <t>Requires Verification</t>
        </is>
      </c>
      <c r="AB25" s="10" t="inlineStr">
        <is>
          <t>https://singkeefoods.co.uk/gb/stores</t>
        </is>
      </c>
    </row>
    <row r="26">
      <c r="A26" s="5" t="inlineStr">
        <is>
          <t>UK-000214</t>
        </is>
      </c>
      <c r="B26" s="5" t="inlineStr">
        <is>
          <t>SPAR-01</t>
        </is>
      </c>
      <c r="C26" s="5" t="inlineStr">
        <is>
          <t>Spar</t>
        </is>
      </c>
      <c r="D26" s="5" t="inlineStr">
        <is>
          <t>Spar (Trinity Road, Cleethorpes)</t>
        </is>
      </c>
      <c r="E26" s="5" t="inlineStr">
        <is>
          <t>Convenience Store</t>
        </is>
      </c>
      <c r="F26" s="5" t="inlineStr">
        <is>
          <t>Symbol-group convenience store</t>
        </is>
      </c>
      <c r="G26" s="5" t="inlineStr">
        <is>
          <t>Franchise / Symbol Group</t>
        </is>
      </c>
      <c r="H26" s="5" t="inlineStr">
        <is>
          <t>1</t>
        </is>
      </c>
      <c r="I26" s="5" t="inlineStr">
        <is>
          <t>52 Trinity Road</t>
        </is>
      </c>
      <c r="J26" s="5" t="inlineStr">
        <is>
          <t>Cleethorpes</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https://www.192.com/atoz/business/dn35/convenience--stores/</t>
        </is>
      </c>
    </row>
    <row r="27">
      <c r="A27" s="10" t="inlineStr">
        <is>
          <t>UK-000217</t>
        </is>
      </c>
      <c r="B27" s="10" t="inlineStr">
        <is>
          <t>VALLIFOREC-01</t>
        </is>
      </c>
      <c r="C27" s="10" t="inlineStr">
        <is>
          <t>Valli Forecourts</t>
        </is>
      </c>
      <c r="D27" s="10" t="inlineStr">
        <is>
          <t>Valli Forecourts (Bawtry Road)</t>
        </is>
      </c>
      <c r="E27" s="10" t="inlineStr">
        <is>
          <t>Petrol Station / Forecourt</t>
        </is>
      </c>
      <c r="F27" s="10" t="inlineStr">
        <is>
          <t>Independent forecourt with convenience store</t>
        </is>
      </c>
      <c r="G27" s="10" t="inlineStr">
        <is>
          <t>Multi-Site Independent</t>
        </is>
      </c>
      <c r="H27" s="10" t="inlineStr">
        <is>
          <t>1</t>
        </is>
      </c>
      <c r="I27" s="10" t="inlineStr">
        <is>
          <t>Bawtry Road</t>
        </is>
      </c>
      <c r="J27" s="10" t="inlineStr">
        <is>
          <t>Doncaster</t>
        </is>
      </c>
      <c r="K27" s="10" t="inlineStr"/>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https://www.mylocalservices.co.uk/24+Hr+Petrol+Stations-Doncaster.html</t>
        </is>
      </c>
    </row>
    <row r="28">
      <c r="A28" s="5" t="inlineStr">
        <is>
          <t>WY-0034</t>
        </is>
      </c>
      <c r="B28" s="5" t="inlineStr">
        <is>
          <t>VALLIFOREC-01</t>
        </is>
      </c>
      <c r="C28" s="5" t="inlineStr">
        <is>
          <t>Valli Forecourts Ltd</t>
        </is>
      </c>
      <c r="D28" s="5" t="inlineStr">
        <is>
          <t>BP Gledhow Service Station (Valli Forecourts)</t>
        </is>
      </c>
      <c r="E28" s="5" t="inlineStr">
        <is>
          <t>Petrol Station / Forecourt</t>
        </is>
      </c>
      <c r="F28" s="5" t="inlineStr">
        <is>
          <t>BP-branded forecourt with convenience store</t>
        </is>
      </c>
      <c r="G28" s="5" t="inlineStr">
        <is>
          <t>Regional Chain</t>
        </is>
      </c>
      <c r="H28" s="5" t="inlineStr">
        <is>
          <t>16</t>
        </is>
      </c>
      <c r="I28" s="5" t="inlineStr"/>
      <c r="J28" s="5" t="inlineStr">
        <is>
          <t>Leeds</t>
        </is>
      </c>
      <c r="K28" s="5" t="inlineStr">
        <is>
          <t>LS8 4BU</t>
        </is>
      </c>
      <c r="L28" s="5" t="inlineStr"/>
      <c r="M28" s="5" t="inlineStr"/>
      <c r="N28" s="5" t="inlineStr"/>
      <c r="O28" s="5" t="inlineStr">
        <is>
          <t>https://valliforecourts.co.uk/</t>
        </is>
      </c>
      <c r="P28" s="5" t="inlineStr"/>
      <c r="Q28" s="5" t="inlineStr"/>
      <c r="R28" s="5" t="inlineStr"/>
      <c r="S28" s="5" t="inlineStr"/>
      <c r="T28" s="5" t="inlineStr"/>
      <c r="U28" s="5" t="inlineStr"/>
      <c r="V28" s="5" t="inlineStr">
        <is>
          <t>Medium</t>
        </is>
      </c>
      <c r="W28" s="5" t="inlineStr">
        <is>
          <t>Multi-site retailer; Relevant category; Active website</t>
        </is>
      </c>
      <c r="X28" s="5" t="inlineStr">
        <is>
          <t>Not Found</t>
        </is>
      </c>
      <c r="Y28" s="5" t="inlineStr">
        <is>
          <t>Website Found</t>
        </is>
      </c>
      <c r="Z28" s="5" t="inlineStr">
        <is>
          <t>Medium</t>
        </is>
      </c>
      <c r="AA28" s="5" t="inlineStr">
        <is>
          <t>Requires Verification</t>
        </is>
      </c>
      <c r="AB28" s="5" t="inlineStr">
        <is>
          <t>https://www.petrolprices.com/locations/huddersfield</t>
        </is>
      </c>
    </row>
    <row r="29">
      <c r="A29" s="10" t="inlineStr">
        <is>
          <t>WY-0035</t>
        </is>
      </c>
      <c r="B29" s="10" t="inlineStr">
        <is>
          <t>VALLIFOREC-02</t>
        </is>
      </c>
      <c r="C29" s="10" t="inlineStr">
        <is>
          <t>Valli Forecourts Ltd</t>
        </is>
      </c>
      <c r="D29" s="10" t="inlineStr">
        <is>
          <t>Valli Forecourts Ltd (Head Office)</t>
        </is>
      </c>
      <c r="E29" s="10" t="inlineStr">
        <is>
          <t>Petrol Station / Forecourt</t>
        </is>
      </c>
      <c r="F29" s="10" t="inlineStr">
        <is>
          <t>Independent forecourt group head office</t>
        </is>
      </c>
      <c r="G29" s="10" t="inlineStr">
        <is>
          <t>Regional Chain</t>
        </is>
      </c>
      <c r="H29" s="10" t="inlineStr">
        <is>
          <t>16</t>
        </is>
      </c>
      <c r="I29" s="10" t="inlineStr"/>
      <c r="J29" s="10" t="inlineStr">
        <is>
          <t>Leeds</t>
        </is>
      </c>
      <c r="K29" s="10" t="inlineStr"/>
      <c r="L29" s="10" t="inlineStr"/>
      <c r="M29" s="10" t="inlineStr"/>
      <c r="N29" s="10" t="inlineStr"/>
      <c r="O29" s="10" t="inlineStr">
        <is>
          <t>https://valliforecourts.co.uk/</t>
        </is>
      </c>
      <c r="P29" s="10" t="inlineStr"/>
      <c r="Q29" s="10" t="inlineStr"/>
      <c r="R29" s="10" t="inlineStr"/>
      <c r="S29" s="10" t="inlineStr"/>
      <c r="T29" s="10" t="inlineStr"/>
      <c r="U29" s="10" t="inlineStr"/>
      <c r="V29" s="10" t="inlineStr">
        <is>
          <t>Medium</t>
        </is>
      </c>
      <c r="W29" s="10" t="inlineStr">
        <is>
          <t>Multi-site retailer; Relevant category; Active website; Social presence</t>
        </is>
      </c>
      <c r="X29" s="10" t="inlineStr">
        <is>
          <t>Not Found</t>
        </is>
      </c>
      <c r="Y29" s="10" t="inlineStr">
        <is>
          <t>Website Found</t>
        </is>
      </c>
      <c r="Z29" s="10" t="inlineStr">
        <is>
          <t>Low</t>
        </is>
      </c>
      <c r="AA29" s="10" t="inlineStr">
        <is>
          <t>Requires Verification</t>
        </is>
      </c>
      <c r="AB29" s="10" t="inlineStr">
        <is>
          <t>https://www.yorkshire.com/moortown/transport/petrol-stations/valli-forecourts-ltd-head-office</t>
        </is>
      </c>
    </row>
    <row r="30">
      <c r="A30" s="5" t="inlineStr">
        <is>
          <t>UK-000223</t>
        </is>
      </c>
      <c r="B30" s="5" t="inlineStr">
        <is>
          <t>VAPESHOPGU-02</t>
        </is>
      </c>
      <c r="C30" s="5" t="inlineStr">
        <is>
          <t>Vape Shop Guy</t>
        </is>
      </c>
      <c r="D30" s="5" t="inlineStr">
        <is>
          <t>Vape Shop Guy Ripon</t>
        </is>
      </c>
      <c r="E30" s="5" t="inlineStr">
        <is>
          <t>Vape Shop</t>
        </is>
      </c>
      <c r="F30" s="5" t="inlineStr">
        <is>
          <t>Vaping products &amp; e-liquids</t>
        </is>
      </c>
      <c r="G30" s="5" t="inlineStr">
        <is>
          <t>Multi-Site Independent</t>
        </is>
      </c>
      <c r="H30" s="5" t="inlineStr">
        <is>
          <t>4</t>
        </is>
      </c>
      <c r="I30" s="5" t="inlineStr">
        <is>
          <t>4 North Street</t>
        </is>
      </c>
      <c r="J30" s="5" t="inlineStr">
        <is>
          <t>Ripon</t>
        </is>
      </c>
      <c r="K30" s="5" t="inlineStr"/>
      <c r="L30" s="5" t="inlineStr"/>
      <c r="M30" s="5" t="inlineStr"/>
      <c r="N30" s="5" t="inlineStr"/>
      <c r="O30" s="5" t="inlineStr">
        <is>
          <t>https://vapeshopguy.co.uk/</t>
        </is>
      </c>
      <c r="P30" s="5" t="inlineStr"/>
      <c r="Q30" s="5" t="inlineStr"/>
      <c r="R30" s="5" t="inlineStr"/>
      <c r="S30" s="5" t="inlineStr"/>
      <c r="T30" s="5" t="inlineStr">
        <is>
          <t>16398053</t>
        </is>
      </c>
      <c r="U30" s="5" t="inlineStr"/>
      <c r="V30" s="5" t="inlineStr">
        <is>
          <t>High</t>
        </is>
      </c>
      <c r="W30" s="5" t="inlineStr">
        <is>
          <t>Multi-site retailer; Independent retailer; Core relevant category; Active website</t>
        </is>
      </c>
      <c r="X30" s="5" t="inlineStr">
        <is>
          <t>Not Found</t>
        </is>
      </c>
      <c r="Y30" s="5" t="inlineStr">
        <is>
          <t>Website Found</t>
        </is>
      </c>
      <c r="Z30" s="5" t="inlineStr">
        <is>
          <t>Medium</t>
        </is>
      </c>
      <c r="AA30" s="5" t="inlineStr">
        <is>
          <t>Requires Verification</t>
        </is>
      </c>
      <c r="AB30" s="5" t="inlineStr">
        <is>
          <t>https://vapeshopguy.co.uk/locations</t>
        </is>
      </c>
    </row>
    <row r="31">
      <c r="A31" s="10" t="inlineStr">
        <is>
          <t>UK-000224</t>
        </is>
      </c>
      <c r="B31" s="10" t="inlineStr">
        <is>
          <t>VAPESHOPGU-03</t>
        </is>
      </c>
      <c r="C31" s="10" t="inlineStr">
        <is>
          <t>Vape Shop Guy</t>
        </is>
      </c>
      <c r="D31" s="10" t="inlineStr">
        <is>
          <t>Vape Shop Guy Thirsk</t>
        </is>
      </c>
      <c r="E31" s="10" t="inlineStr">
        <is>
          <t>Vape Shop</t>
        </is>
      </c>
      <c r="F31" s="10" t="inlineStr">
        <is>
          <t>Vaping products &amp; e-liquids</t>
        </is>
      </c>
      <c r="G31" s="10" t="inlineStr">
        <is>
          <t>Multi-Site Independent</t>
        </is>
      </c>
      <c r="H31" s="10" t="inlineStr">
        <is>
          <t>4</t>
        </is>
      </c>
      <c r="I31" s="10" t="inlineStr">
        <is>
          <t>2 Millgate</t>
        </is>
      </c>
      <c r="J31" s="10" t="inlineStr">
        <is>
          <t>Thirsk</t>
        </is>
      </c>
      <c r="K31" s="10" t="inlineStr"/>
      <c r="L31" s="10" t="inlineStr"/>
      <c r="M31" s="10" t="inlineStr"/>
      <c r="N31" s="10" t="inlineStr"/>
      <c r="O31" s="10" t="inlineStr">
        <is>
          <t>https://vapeshopguy.co.uk/</t>
        </is>
      </c>
      <c r="P31" s="10" t="inlineStr"/>
      <c r="Q31" s="10" t="inlineStr"/>
      <c r="R31" s="10" t="inlineStr"/>
      <c r="S31" s="10" t="inlineStr"/>
      <c r="T31" s="10" t="inlineStr">
        <is>
          <t>15869863</t>
        </is>
      </c>
      <c r="U31" s="10" t="inlineStr"/>
      <c r="V31" s="10" t="inlineStr">
        <is>
          <t>High</t>
        </is>
      </c>
      <c r="W31" s="10" t="inlineStr">
        <is>
          <t>Multi-site retailer; Independent retailer; Core relevant category; Active website</t>
        </is>
      </c>
      <c r="X31" s="10" t="inlineStr">
        <is>
          <t>Not Found</t>
        </is>
      </c>
      <c r="Y31" s="10" t="inlineStr">
        <is>
          <t>Website Found</t>
        </is>
      </c>
      <c r="Z31" s="10" t="inlineStr">
        <is>
          <t>Medium</t>
        </is>
      </c>
      <c r="AA31" s="10" t="inlineStr">
        <is>
          <t>Requires Verification</t>
        </is>
      </c>
      <c r="AB31" s="10" t="inlineStr">
        <is>
          <t>https://vapeshopguy.co.uk/locations</t>
        </is>
      </c>
    </row>
    <row r="32">
      <c r="A32" s="5" t="inlineStr">
        <is>
          <t>WY-0040</t>
        </is>
      </c>
      <c r="B32" s="5" t="inlineStr">
        <is>
          <t>WOWVAPE-02</t>
        </is>
      </c>
      <c r="C32" s="5" t="inlineStr">
        <is>
          <t>WOW Vape</t>
        </is>
      </c>
      <c r="D32" s="5" t="inlineStr">
        <is>
          <t>WOW Vape (Wakefield)</t>
        </is>
      </c>
      <c r="E32" s="5" t="inlineStr">
        <is>
          <t>Vape Shop</t>
        </is>
      </c>
      <c r="F32" s="5" t="inlineStr">
        <is>
          <t>Vape retailer</t>
        </is>
      </c>
      <c r="G32" s="5" t="inlineStr">
        <is>
          <t>Multi-Site Independent</t>
        </is>
      </c>
      <c r="H32" s="5" t="inlineStr">
        <is>
          <t>2</t>
        </is>
      </c>
      <c r="I32" s="5" t="inlineStr"/>
      <c r="J32" s="5" t="inlineStr">
        <is>
          <t>Wakefield</t>
        </is>
      </c>
      <c r="K32" s="5" t="inlineStr"/>
      <c r="L32" s="5" t="inlineStr"/>
      <c r="M32" s="5" t="inlineStr"/>
      <c r="N32" s="5" t="inlineStr"/>
      <c r="O32" s="5" t="inlineStr"/>
      <c r="P32" s="5" t="inlineStr"/>
      <c r="Q32" s="5" t="inlineStr">
        <is>
          <t>https://www.instagram.com/wowvapewakefield/</t>
        </is>
      </c>
      <c r="R32" s="5" t="inlineStr"/>
      <c r="S32" s="5" t="inlineStr"/>
      <c r="T32" s="5" t="inlineStr"/>
      <c r="U32" s="5" t="inlineStr"/>
      <c r="V32" s="5" t="inlineStr">
        <is>
          <t>High</t>
        </is>
      </c>
      <c r="W32" s="5" t="inlineStr">
        <is>
          <t>Multi-site retailer; Independent retailer; Core relevant category; Social presence</t>
        </is>
      </c>
      <c r="X32" s="5" t="inlineStr">
        <is>
          <t>Not Found</t>
        </is>
      </c>
      <c r="Y32" s="5" t="inlineStr">
        <is>
          <t>Not Found</t>
        </is>
      </c>
      <c r="Z32" s="5" t="inlineStr">
        <is>
          <t>Low</t>
        </is>
      </c>
      <c r="AA32" s="5" t="inlineStr">
        <is>
          <t>Requires Verification</t>
        </is>
      </c>
      <c r="AB32" s="5" t="inlineStr">
        <is>
          <t>https://www.instagram.com/wowvapewakefield/</t>
        </is>
      </c>
    </row>
    <row r="33">
      <c r="A33" s="10" t="inlineStr">
        <is>
          <t>WY-0043</t>
        </is>
      </c>
      <c r="B33" s="10" t="inlineStr">
        <is>
          <t>WEAREVAPES-03</t>
        </is>
      </c>
      <c r="C33" s="10" t="inlineStr">
        <is>
          <t>We Are Vapes</t>
        </is>
      </c>
      <c r="D33" s="10" t="inlineStr">
        <is>
          <t>We Are Vapes</t>
        </is>
      </c>
      <c r="E33" s="10" t="inlineStr">
        <is>
          <t>Vape Shop</t>
        </is>
      </c>
      <c r="F33" s="10" t="inlineStr">
        <is>
          <t>Vape kits, e-liquids &amp; accessories</t>
        </is>
      </c>
      <c r="G33" s="10" t="inlineStr">
        <is>
          <t>Multi-Site Independent</t>
        </is>
      </c>
      <c r="H33" s="10" t="inlineStr">
        <is>
          <t>3</t>
        </is>
      </c>
      <c r="I33" s="10" t="inlineStr">
        <is>
          <t>446 Killinghall Road</t>
        </is>
      </c>
      <c r="J33" s="10" t="inlineStr">
        <is>
          <t>Bradford</t>
        </is>
      </c>
      <c r="K33" s="10" t="inlineStr"/>
      <c r="L33" s="10" t="inlineStr"/>
      <c r="M33" s="10" t="inlineStr"/>
      <c r="N33" s="10" t="inlineStr"/>
      <c r="O33" s="10" t="inlineStr">
        <is>
          <t>https://www.wearevapes.com/</t>
        </is>
      </c>
      <c r="P33" s="10" t="inlineStr"/>
      <c r="Q33" s="10" t="inlineStr"/>
      <c r="R33" s="10" t="inlineStr"/>
      <c r="S33" s="10" t="inlineStr"/>
      <c r="T33" s="10" t="inlineStr"/>
      <c r="U33" s="10" t="inlineStr"/>
      <c r="V33" s="10" t="inlineStr">
        <is>
          <t>High</t>
        </is>
      </c>
      <c r="W33" s="10" t="inlineStr">
        <is>
          <t>Multi-site retailer; Independent retailer; Core relevant category; Active website</t>
        </is>
      </c>
      <c r="X33" s="10" t="inlineStr">
        <is>
          <t>Not Found</t>
        </is>
      </c>
      <c r="Y33" s="10" t="inlineStr">
        <is>
          <t>Website Found</t>
        </is>
      </c>
      <c r="Z33" s="10" t="inlineStr">
        <is>
          <t>Low</t>
        </is>
      </c>
      <c r="AA33" s="10" t="inlineStr">
        <is>
          <t>Requires Verification</t>
        </is>
      </c>
      <c r="AB33" s="10" t="inlineStr">
        <is>
          <t>https://www.wearevapes.com/</t>
        </is>
      </c>
    </row>
    <row r="34">
      <c r="A34" s="5" t="inlineStr">
        <is>
          <t>WY-0046</t>
        </is>
      </c>
      <c r="B34" s="5" t="inlineStr">
        <is>
          <t>WORLDWIDEF-03</t>
        </is>
      </c>
      <c r="C34" s="5" t="inlineStr">
        <is>
          <t>Worldwide Foods Group</t>
        </is>
      </c>
      <c r="D34" s="5" t="inlineStr">
        <is>
          <t>Worldwide Foods Bradford (Woodhead Road)</t>
        </is>
      </c>
      <c r="E34" s="5" t="inlineStr">
        <is>
          <t>Independent Supermarket</t>
        </is>
      </c>
      <c r="F34" s="5" t="inlineStr">
        <is>
          <t>Halal / world food supermarket</t>
        </is>
      </c>
      <c r="G34" s="5" t="inlineStr">
        <is>
          <t>Regional Chain</t>
        </is>
      </c>
      <c r="H34" s="5" t="inlineStr"/>
      <c r="I34" s="5" t="inlineStr">
        <is>
          <t>Woodhead Road</t>
        </is>
      </c>
      <c r="J34" s="5" t="inlineStr">
        <is>
          <t>Bradford</t>
        </is>
      </c>
      <c r="K34" s="5" t="inlineStr"/>
      <c r="L34" s="5" t="inlineStr"/>
      <c r="M34" s="5" t="inlineStr"/>
      <c r="N34" s="5" t="inlineStr"/>
      <c r="O34" s="5" t="inlineStr">
        <is>
          <t>https://worldwidefoods.co.uk/</t>
        </is>
      </c>
      <c r="P34" s="5" t="inlineStr">
        <is>
          <t>https://www.facebook.com/worldwidefoods/</t>
        </is>
      </c>
      <c r="Q34" s="5" t="inlineStr"/>
      <c r="R34" s="5" t="inlineStr"/>
      <c r="S34" s="5" t="inlineStr"/>
      <c r="T34" s="5" t="inlineStr">
        <is>
          <t>04179487</t>
        </is>
      </c>
      <c r="U34" s="5" t="inlineStr"/>
      <c r="V34" s="5" t="inlineStr">
        <is>
          <t>Medium</t>
        </is>
      </c>
      <c r="W34" s="5" t="inlineStr">
        <is>
          <t>Multi-site retailer; Relevant category; Active website; Social presence</t>
        </is>
      </c>
      <c r="X34" s="5" t="inlineStr">
        <is>
          <t>Not Found</t>
        </is>
      </c>
      <c r="Y34" s="5" t="inlineStr">
        <is>
          <t>Website Found</t>
        </is>
      </c>
      <c r="Z34" s="5" t="inlineStr">
        <is>
          <t>Low</t>
        </is>
      </c>
      <c r="AA34" s="5" t="inlineStr">
        <is>
          <t>Partially Verified</t>
        </is>
      </c>
      <c r="AB34" s="5" t="inlineStr">
        <is>
          <t>https://worldwidefoods.co.uk/locations/</t>
        </is>
      </c>
    </row>
    <row r="35">
      <c r="A35" s="10" t="inlineStr">
        <is>
          <t>WY-0047</t>
        </is>
      </c>
      <c r="B35" s="10" t="inlineStr">
        <is>
          <t>WY-0047-01</t>
        </is>
      </c>
      <c r="C35" s="10" t="inlineStr"/>
      <c r="D35" s="10" t="inlineStr">
        <is>
          <t>A &amp; B Stores</t>
        </is>
      </c>
      <c r="E35" s="10" t="inlineStr">
        <is>
          <t>Off-Licence</t>
        </is>
      </c>
      <c r="F35" s="10" t="inlineStr">
        <is>
          <t>Off-licence / convenience</t>
        </is>
      </c>
      <c r="G35" s="10" t="inlineStr">
        <is>
          <t>Independent</t>
        </is>
      </c>
      <c r="H35" s="10" t="inlineStr">
        <is>
          <t>1</t>
        </is>
      </c>
      <c r="I35" s="10" t="inlineStr"/>
      <c r="J35" s="10" t="inlineStr">
        <is>
          <t>Bingley</t>
        </is>
      </c>
      <c r="K35" s="10" t="inlineStr"/>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https://www.yorkshire.com/bingley/shopping/off-license/a-b-stores</t>
        </is>
      </c>
    </row>
    <row r="36">
      <c r="A36" s="5" t="inlineStr">
        <is>
          <t>UK-000232</t>
        </is>
      </c>
      <c r="B36" s="5" t="inlineStr">
        <is>
          <t>UK-000232-01</t>
        </is>
      </c>
      <c r="C36" s="5" t="inlineStr"/>
      <c r="D36" s="5" t="inlineStr">
        <is>
          <t>AA Off Licence</t>
        </is>
      </c>
      <c r="E36" s="5" t="inlineStr">
        <is>
          <t>Off-Licence</t>
        </is>
      </c>
      <c r="F36" s="5" t="inlineStr">
        <is>
          <t>Off-licence / convenience</t>
        </is>
      </c>
      <c r="G36" s="5" t="inlineStr">
        <is>
          <t>Independent</t>
        </is>
      </c>
      <c r="H36" s="5" t="inlineStr">
        <is>
          <t>1</t>
        </is>
      </c>
      <c r="I36" s="5" t="inlineStr">
        <is>
          <t>Hessle Road</t>
        </is>
      </c>
      <c r="J36" s="5" t="inlineStr">
        <is>
          <t>Kingston upon Hull</t>
        </is>
      </c>
      <c r="K36" s="5" t="inlineStr"/>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https://www.yorkshire.com/hull/shopping/off-license/aa-off-licence</t>
        </is>
      </c>
    </row>
    <row r="37">
      <c r="A37" s="10" t="inlineStr">
        <is>
          <t>WY-0048</t>
        </is>
      </c>
      <c r="B37" s="10" t="inlineStr">
        <is>
          <t>WY-0048-01</t>
        </is>
      </c>
      <c r="C37" s="10" t="inlineStr"/>
      <c r="D37" s="10" t="inlineStr">
        <is>
          <t>AV &amp; JI Stores</t>
        </is>
      </c>
      <c r="E37" s="10" t="inlineStr">
        <is>
          <t>Convenience Store</t>
        </is>
      </c>
      <c r="F37" s="10" t="inlineStr">
        <is>
          <t>Premier symbol group convenience store and off-licence</t>
        </is>
      </c>
      <c r="G37" s="10" t="inlineStr">
        <is>
          <t>Franchise / Symbol Group</t>
        </is>
      </c>
      <c r="H37" s="10" t="inlineStr">
        <is>
          <t>1</t>
        </is>
      </c>
      <c r="I37" s="10" t="inlineStr">
        <is>
          <t>12 Albert Road</t>
        </is>
      </c>
      <c r="J37" s="10" t="inlineStr">
        <is>
          <t>Sowerby Bridge</t>
        </is>
      </c>
      <c r="K37" s="10" t="inlineStr">
        <is>
          <t>HX6 2PA</t>
        </is>
      </c>
      <c r="L37" s="10" t="inlineStr"/>
      <c r="M37" s="10" t="inlineStr"/>
      <c r="N37" s="10" t="inlineStr"/>
      <c r="O37" s="10" t="inlineStr"/>
      <c r="P37" s="10" t="inlineStr">
        <is>
          <t>https://www.facebook.com/people/Premier-AV-JI-Stores/61567311514140/</t>
        </is>
      </c>
      <c r="Q37" s="10" t="inlineStr"/>
      <c r="R37" s="10" t="inlineStr"/>
      <c r="S37" s="10" t="inlineStr"/>
      <c r="T37" s="10" t="inlineStr"/>
      <c r="U37" s="10" t="inlineStr"/>
      <c r="V37" s="10" t="inlineStr">
        <is>
          <t>Medium</t>
        </is>
      </c>
      <c r="W37" s="10" t="inlineStr">
        <is>
          <t>Independent retailer; Relevant category; Social presence</t>
        </is>
      </c>
      <c r="X37" s="10" t="inlineStr">
        <is>
          <t>Not Found</t>
        </is>
      </c>
      <c r="Y37" s="10" t="inlineStr">
        <is>
          <t>Not Found</t>
        </is>
      </c>
      <c r="Z37" s="10" t="inlineStr">
        <is>
          <t>Medium</t>
        </is>
      </c>
      <c r="AA37" s="10" t="inlineStr">
        <is>
          <t>Requires Verification</t>
        </is>
      </c>
      <c r="AB37" s="10" t="inlineStr">
        <is>
          <t>https://www.facebook.com/people/Premier-AV-JI-Stores/61567311514140/</t>
        </is>
      </c>
    </row>
    <row r="38">
      <c r="A38" s="5" t="inlineStr">
        <is>
          <t>UK-000233</t>
        </is>
      </c>
      <c r="B38" s="5" t="inlineStr">
        <is>
          <t>UK-000233-01</t>
        </is>
      </c>
      <c r="C38" s="5" t="inlineStr"/>
      <c r="D38" s="5" t="inlineStr">
        <is>
          <t>Agha Lounge</t>
        </is>
      </c>
      <c r="E38" s="5" t="inlineStr">
        <is>
          <t>Smoke / Shisha Shop</t>
        </is>
      </c>
      <c r="F38" s="5" t="inlineStr">
        <is>
          <t>Shisha bar and restaurant</t>
        </is>
      </c>
      <c r="G38" s="5" t="inlineStr">
        <is>
          <t>Independent</t>
        </is>
      </c>
      <c r="H38" s="5" t="inlineStr">
        <is>
          <t>1</t>
        </is>
      </c>
      <c r="I38" s="5" t="inlineStr">
        <is>
          <t>5 North Bank</t>
        </is>
      </c>
      <c r="J38" s="5" t="inlineStr">
        <is>
          <t>Sheffield</t>
        </is>
      </c>
      <c r="K38" s="5" t="inlineStr"/>
      <c r="L38" s="5" t="inlineStr"/>
      <c r="M38" s="5" t="inlineStr"/>
      <c r="N38" s="5" t="inlineStr"/>
      <c r="O38" s="5" t="inlineStr">
        <is>
          <t>https://aghalounge.com/</t>
        </is>
      </c>
      <c r="P38" s="5" t="inlineStr"/>
      <c r="Q38" s="5" t="inlineStr"/>
      <c r="R38" s="5" t="inlineStr"/>
      <c r="S38" s="5" t="inlineStr"/>
      <c r="T38" s="5" t="inlineStr"/>
      <c r="U38" s="5" t="inlineStr"/>
      <c r="V38" s="5" t="inlineStr">
        <is>
          <t>Medium</t>
        </is>
      </c>
      <c r="W38" s="5" t="inlineStr">
        <is>
          <t>Independent retailer; Core relevant category; Active website</t>
        </is>
      </c>
      <c r="X38" s="5" t="inlineStr">
        <is>
          <t>Not Found</t>
        </is>
      </c>
      <c r="Y38" s="5" t="inlineStr">
        <is>
          <t>Website Found</t>
        </is>
      </c>
      <c r="Z38" s="5" t="inlineStr">
        <is>
          <t>Low</t>
        </is>
      </c>
      <c r="AA38" s="5" t="inlineStr">
        <is>
          <t>Requires Verification</t>
        </is>
      </c>
      <c r="AB38" s="5" t="inlineStr">
        <is>
          <t>https://aghalounge.com/about-us/</t>
        </is>
      </c>
    </row>
    <row r="39">
      <c r="A39" s="10" t="inlineStr">
        <is>
          <t>WY-0049</t>
        </is>
      </c>
      <c r="B39" s="10" t="inlineStr">
        <is>
          <t>WY-0049-01</t>
        </is>
      </c>
      <c r="C39" s="10" t="inlineStr"/>
      <c r="D39" s="10" t="inlineStr">
        <is>
          <t>Al-Falah Supermarket</t>
        </is>
      </c>
      <c r="E39" s="10" t="inlineStr">
        <is>
          <t>Independent Supermarket</t>
        </is>
      </c>
      <c r="F39" s="10" t="inlineStr">
        <is>
          <t>Halal / international supermarket</t>
        </is>
      </c>
      <c r="G39" s="10" t="inlineStr">
        <is>
          <t>Independent</t>
        </is>
      </c>
      <c r="H39" s="10" t="inlineStr">
        <is>
          <t>1</t>
        </is>
      </c>
      <c r="I39" s="10" t="inlineStr">
        <is>
          <t>150 Manningham Lane</t>
        </is>
      </c>
      <c r="J39" s="10" t="inlineStr">
        <is>
          <t>Bradford</t>
        </is>
      </c>
      <c r="K39" s="10" t="inlineStr"/>
      <c r="L39" s="10" t="inlineStr"/>
      <c r="M39" s="10" t="inlineStr"/>
      <c r="N39" s="10" t="inlineStr"/>
      <c r="O39" s="10" t="inlineStr"/>
      <c r="P39" s="10" t="inlineStr">
        <is>
          <t>https://www.facebook.com/alfalahbradford/</t>
        </is>
      </c>
      <c r="Q39" s="10" t="inlineStr"/>
      <c r="R39" s="10" t="inlineStr"/>
      <c r="S39" s="10" t="inlineStr"/>
      <c r="T39" s="10" t="inlineStr"/>
      <c r="U39" s="10" t="inlineStr"/>
      <c r="V39" s="10" t="inlineStr">
        <is>
          <t>Medium</t>
        </is>
      </c>
      <c r="W39" s="10" t="inlineStr">
        <is>
          <t>Independent retailer; Relevant category; Social presence</t>
        </is>
      </c>
      <c r="X39" s="10" t="inlineStr">
        <is>
          <t>Not Found</t>
        </is>
      </c>
      <c r="Y39" s="10" t="inlineStr">
        <is>
          <t>Not Found</t>
        </is>
      </c>
      <c r="Z39" s="10" t="inlineStr">
        <is>
          <t>Medium</t>
        </is>
      </c>
      <c r="AA39" s="10" t="inlineStr">
        <is>
          <t>Requires Verification</t>
        </is>
      </c>
      <c r="AB39" s="10" t="inlineStr">
        <is>
          <t>https://www.facebook.com/alfalahbradford/</t>
        </is>
      </c>
    </row>
    <row r="40">
      <c r="A40" s="5" t="inlineStr">
        <is>
          <t>UK-000235</t>
        </is>
      </c>
      <c r="B40" s="5" t="inlineStr">
        <is>
          <t>UK-000235-01</t>
        </is>
      </c>
      <c r="C40" s="5" t="inlineStr"/>
      <c r="D40" s="5" t="inlineStr">
        <is>
          <t>Alchemist Vape Shop Parkgate</t>
        </is>
      </c>
      <c r="E40" s="5" t="inlineStr">
        <is>
          <t>Vape Shop</t>
        </is>
      </c>
      <c r="F40" s="5" t="inlineStr">
        <is>
          <t>Vape, e-liquid and CBD shop</t>
        </is>
      </c>
      <c r="G40" s="5" t="inlineStr">
        <is>
          <t>Independent</t>
        </is>
      </c>
      <c r="H40" s="5" t="inlineStr">
        <is>
          <t>1</t>
        </is>
      </c>
      <c r="I40" s="5" t="inlineStr"/>
      <c r="J40" s="5" t="inlineStr">
        <is>
          <t>Rotherham</t>
        </is>
      </c>
      <c r="K40" s="5" t="inlineStr"/>
      <c r="L40" s="5" t="inlineStr"/>
      <c r="M40" s="5" t="inlineStr"/>
      <c r="N40" s="5" t="inlineStr"/>
      <c r="O40" s="5" t="inlineStr"/>
      <c r="P40" s="5" t="inlineStr">
        <is>
          <t>https://www.facebook.com/AlchemistParkgate/</t>
        </is>
      </c>
      <c r="Q40" s="5" t="inlineStr"/>
      <c r="R40" s="5" t="inlineStr"/>
      <c r="S40" s="5" t="inlineStr"/>
      <c r="T40" s="5" t="inlineStr"/>
      <c r="U40" s="5" t="inlineStr"/>
      <c r="V40" s="5" t="inlineStr">
        <is>
          <t>Medium</t>
        </is>
      </c>
      <c r="W40" s="5" t="inlineStr">
        <is>
          <t>Independent retailer; Core relevant category; Social presence</t>
        </is>
      </c>
      <c r="X40" s="5" t="inlineStr">
        <is>
          <t>Not Found</t>
        </is>
      </c>
      <c r="Y40" s="5" t="inlineStr">
        <is>
          <t>Not Found</t>
        </is>
      </c>
      <c r="Z40" s="5" t="inlineStr">
        <is>
          <t>Low</t>
        </is>
      </c>
      <c r="AA40" s="5" t="inlineStr">
        <is>
          <t>Requires Verification</t>
        </is>
      </c>
      <c r="AB40" s="5" t="inlineStr">
        <is>
          <t>https://www.facebook.com/AlchemistParkgate/</t>
        </is>
      </c>
    </row>
    <row r="41">
      <c r="A41" s="10" t="inlineStr">
        <is>
          <t>WY-0051</t>
        </is>
      </c>
      <c r="B41" s="10" t="inlineStr">
        <is>
          <t>WY-0051-01</t>
        </is>
      </c>
      <c r="C41" s="10" t="inlineStr"/>
      <c r="D41" s="10" t="inlineStr">
        <is>
          <t>Armley Ridge Road Convenience Store &amp; Off-Licence</t>
        </is>
      </c>
      <c r="E41" s="10" t="inlineStr">
        <is>
          <t>Convenience Store</t>
        </is>
      </c>
      <c r="F41" s="10" t="inlineStr">
        <is>
          <t>Convenience store with off-licence</t>
        </is>
      </c>
      <c r="G41" s="10" t="inlineStr">
        <is>
          <t>Independent</t>
        </is>
      </c>
      <c r="H41" s="10" t="inlineStr">
        <is>
          <t>1</t>
        </is>
      </c>
      <c r="I41" s="10" t="inlineStr">
        <is>
          <t>Armley Ridge Road</t>
        </is>
      </c>
      <c r="J41" s="10" t="inlineStr">
        <is>
          <t>Leeds</t>
        </is>
      </c>
      <c r="K41" s="10" t="inlineStr"/>
      <c r="L41" s="10" t="inlineStr"/>
      <c r="M41" s="10" t="inlineStr"/>
      <c r="N41" s="10" t="inlineStr"/>
      <c r="O41" s="10" t="inlineStr"/>
      <c r="P41" s="10" t="inlineStr">
        <is>
          <t>https://www.facebook.com/NoProblemArmley/</t>
        </is>
      </c>
      <c r="Q41" s="10" t="inlineStr"/>
      <c r="R41" s="10" t="inlineStr"/>
      <c r="S41" s="10" t="inlineStr"/>
      <c r="T41" s="10" t="inlineStr"/>
      <c r="U41" s="10" t="inlineStr"/>
      <c r="V41" s="10" t="inlineStr">
        <is>
          <t>Medium</t>
        </is>
      </c>
      <c r="W41" s="10" t="inlineStr">
        <is>
          <t>Independent retailer; Relevant category; Social presence</t>
        </is>
      </c>
      <c r="X41" s="10" t="inlineStr">
        <is>
          <t>Not Found</t>
        </is>
      </c>
      <c r="Y41" s="10" t="inlineStr">
        <is>
          <t>Not Found</t>
        </is>
      </c>
      <c r="Z41" s="10" t="inlineStr">
        <is>
          <t>Low</t>
        </is>
      </c>
      <c r="AA41" s="10" t="inlineStr">
        <is>
          <t>Requires Verification</t>
        </is>
      </c>
      <c r="AB41" s="10" t="inlineStr">
        <is>
          <t>https://www.facebook.com/NoProblemArmley/</t>
        </is>
      </c>
    </row>
    <row r="42">
      <c r="A42" s="5" t="inlineStr">
        <is>
          <t>WY-0054</t>
        </is>
      </c>
      <c r="B42" s="5" t="inlineStr">
        <is>
          <t>WY-0054-01</t>
        </is>
      </c>
      <c r="C42" s="5" t="inlineStr"/>
      <c r="D42" s="5" t="inlineStr">
        <is>
          <t>Azeem's Vape Shop</t>
        </is>
      </c>
      <c r="E42" s="5" t="inlineStr">
        <is>
          <t>Vape Shop</t>
        </is>
      </c>
      <c r="F42" s="5" t="inlineStr"/>
      <c r="G42" s="5" t="inlineStr">
        <is>
          <t>Independent</t>
        </is>
      </c>
      <c r="H42" s="5" t="inlineStr">
        <is>
          <t>1</t>
        </is>
      </c>
      <c r="I42" s="5" t="inlineStr"/>
      <c r="J42" s="5" t="inlineStr">
        <is>
          <t>Todmorden</t>
        </is>
      </c>
      <c r="K42" s="5" t="inlineStr"/>
      <c r="L42" s="5" t="inlineStr"/>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Not Found</t>
        </is>
      </c>
      <c r="Y42" s="5" t="inlineStr">
        <is>
          <t>Not Found</t>
        </is>
      </c>
      <c r="Z42" s="5" t="inlineStr">
        <is>
          <t>Low</t>
        </is>
      </c>
      <c r="AA42" s="5" t="inlineStr">
        <is>
          <t>Requires Verification</t>
        </is>
      </c>
      <c r="AB42" s="5" t="inlineStr">
        <is>
          <t>https://tobaccoshops.co.uk/05958051/Azeem%E2%80%99s_vape_shop</t>
        </is>
      </c>
    </row>
    <row r="43">
      <c r="A43" s="10" t="inlineStr">
        <is>
          <t>WY-0056</t>
        </is>
      </c>
      <c r="B43" s="10" t="inlineStr">
        <is>
          <t>WY-0056-01</t>
        </is>
      </c>
      <c r="C43" s="10" t="inlineStr"/>
      <c r="D43" s="10" t="inlineStr">
        <is>
          <t>Baildon Green Convenience Store</t>
        </is>
      </c>
      <c r="E43" s="10" t="inlineStr">
        <is>
          <t>Convenience Store</t>
        </is>
      </c>
      <c r="F43" s="10" t="inlineStr">
        <is>
          <t>Neighbourhood convenience store</t>
        </is>
      </c>
      <c r="G43" s="10" t="inlineStr">
        <is>
          <t>Independent</t>
        </is>
      </c>
      <c r="H43" s="10" t="inlineStr">
        <is>
          <t>1</t>
        </is>
      </c>
      <c r="I43" s="10" t="inlineStr">
        <is>
          <t>Cliffe Lane West</t>
        </is>
      </c>
      <c r="J43" s="10" t="inlineStr">
        <is>
          <t>Shipley</t>
        </is>
      </c>
      <c r="K43" s="10" t="inlineStr"/>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Low</t>
        </is>
      </c>
      <c r="AA43" s="10" t="inlineStr">
        <is>
          <t>Requires Verification</t>
        </is>
      </c>
      <c r="AB43" s="10" t="inlineStr">
        <is>
          <t>https://www.yorkshire.com/shipley/shopping/corner-shops/baildon-green-convenience-store</t>
        </is>
      </c>
    </row>
    <row r="44">
      <c r="A44" s="5" t="inlineStr">
        <is>
          <t>WY-0057</t>
        </is>
      </c>
      <c r="B44" s="5" t="inlineStr">
        <is>
          <t>WY-0057-01</t>
        </is>
      </c>
      <c r="C44" s="5" t="inlineStr"/>
      <c r="D44" s="5" t="inlineStr">
        <is>
          <t>Baildon Off Licence</t>
        </is>
      </c>
      <c r="E44" s="5" t="inlineStr">
        <is>
          <t>Off-Licence</t>
        </is>
      </c>
      <c r="F44" s="5" t="inlineStr">
        <is>
          <t>Neighbourhood off-licence</t>
        </is>
      </c>
      <c r="G44" s="5" t="inlineStr">
        <is>
          <t>Independent</t>
        </is>
      </c>
      <c r="H44" s="5" t="inlineStr">
        <is>
          <t>1</t>
        </is>
      </c>
      <c r="I44" s="5" t="inlineStr">
        <is>
          <t>Coach Road</t>
        </is>
      </c>
      <c r="J44" s="5" t="inlineStr">
        <is>
          <t>Shipley</t>
        </is>
      </c>
      <c r="K44" s="5" t="inlineStr"/>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https://www.yorkshire.com/saltaire/shopping/off-license/baildon-off-licence</t>
        </is>
      </c>
    </row>
    <row r="45">
      <c r="A45" s="10" t="inlineStr">
        <is>
          <t>WY-0058</t>
        </is>
      </c>
      <c r="B45" s="10" t="inlineStr">
        <is>
          <t>WY-0058-01</t>
        </is>
      </c>
      <c r="C45" s="10" t="inlineStr"/>
      <c r="D45" s="10" t="inlineStr">
        <is>
          <t>Bar Market</t>
        </is>
      </c>
      <c r="E45" s="10" t="inlineStr">
        <is>
          <t>Off-Licence</t>
        </is>
      </c>
      <c r="F45" s="10" t="inlineStr">
        <is>
          <t>24-hour off-licence</t>
        </is>
      </c>
      <c r="G45" s="10" t="inlineStr">
        <is>
          <t>Independent</t>
        </is>
      </c>
      <c r="H45" s="10" t="inlineStr">
        <is>
          <t>1</t>
        </is>
      </c>
      <c r="I45" s="10" t="inlineStr">
        <is>
          <t>Crown Street</t>
        </is>
      </c>
      <c r="J45" s="10" t="inlineStr">
        <is>
          <t>Halifax</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https://www.yorkshire.com/halifax/shopping/off-license/bar-market-ltd</t>
        </is>
      </c>
    </row>
    <row r="46">
      <c r="A46" s="5" t="inlineStr">
        <is>
          <t>UK-000237</t>
        </is>
      </c>
      <c r="B46" s="5" t="inlineStr">
        <is>
          <t>UK-000237-01</t>
        </is>
      </c>
      <c r="C46" s="5" t="inlineStr"/>
      <c r="D46" s="5" t="inlineStr">
        <is>
          <t>Bargains Cash &amp; Carry Ltd</t>
        </is>
      </c>
      <c r="E46" s="5" t="inlineStr">
        <is>
          <t>Cash &amp; Carry</t>
        </is>
      </c>
      <c r="F46" s="5" t="inlineStr">
        <is>
          <t>Cash &amp; carry wholesaler</t>
        </is>
      </c>
      <c r="G46" s="5" t="inlineStr">
        <is>
          <t>Independent</t>
        </is>
      </c>
      <c r="H46" s="5" t="inlineStr">
        <is>
          <t>1</t>
        </is>
      </c>
      <c r="I46" s="5" t="inlineStr"/>
      <c r="J46" s="5" t="inlineStr">
        <is>
          <t>Sheffield</t>
        </is>
      </c>
      <c r="K46" s="5" t="inlineStr"/>
      <c r="L46" s="5" t="inlineStr"/>
      <c r="M46" s="5" t="inlineStr"/>
      <c r="N46" s="5" t="inlineStr"/>
      <c r="O46" s="5" t="inlineStr"/>
      <c r="P46" s="5" t="inlineStr"/>
      <c r="Q46" s="5" t="inlineStr"/>
      <c r="R46" s="5" t="inlineStr"/>
      <c r="S46" s="5" t="inlineStr"/>
      <c r="T46" s="5" t="inlineStr"/>
      <c r="U46" s="5" t="inlineStr"/>
      <c r="V46" s="5" t="inlineStr">
        <is>
          <t>Medium</t>
        </is>
      </c>
      <c r="W46" s="5" t="inlineStr">
        <is>
          <t>Independent retailer; Core relevant category</t>
        </is>
      </c>
      <c r="X46" s="5" t="inlineStr">
        <is>
          <t>Not Found</t>
        </is>
      </c>
      <c r="Y46" s="5" t="inlineStr">
        <is>
          <t>Not Found</t>
        </is>
      </c>
      <c r="Z46" s="5" t="inlineStr">
        <is>
          <t>Low</t>
        </is>
      </c>
      <c r="AA46" s="5" t="inlineStr">
        <is>
          <t>Requires Verification</t>
        </is>
      </c>
      <c r="AB46" s="5" t="inlineStr">
        <is>
          <t>https://sheffield.cylex-uk.co.uk/company/bargains-cash---carry-ltd-27419816.html</t>
        </is>
      </c>
    </row>
    <row r="47">
      <c r="A47" s="10" t="inlineStr">
        <is>
          <t>WY-0062</t>
        </is>
      </c>
      <c r="B47" s="10" t="inlineStr">
        <is>
          <t>WY-0062-01</t>
        </is>
      </c>
      <c r="C47" s="10" t="inlineStr"/>
      <c r="D47" s="10" t="inlineStr">
        <is>
          <t>Bespoke Shisha</t>
        </is>
      </c>
      <c r="E47" s="10" t="inlineStr">
        <is>
          <t>Smoke / Shisha Shop</t>
        </is>
      </c>
      <c r="F47" s="10" t="inlineStr">
        <is>
          <t>Shisha supplies</t>
        </is>
      </c>
      <c r="G47" s="10" t="inlineStr">
        <is>
          <t>Independent</t>
        </is>
      </c>
      <c r="H47" s="10" t="inlineStr">
        <is>
          <t>1</t>
        </is>
      </c>
      <c r="I47" s="10" t="inlineStr">
        <is>
          <t>40 Low Road</t>
        </is>
      </c>
      <c r="J47" s="10" t="inlineStr">
        <is>
          <t>Dewsbury</t>
        </is>
      </c>
      <c r="K47" s="10" t="inlineStr">
        <is>
          <t>WF13 3PP</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Not Found</t>
        </is>
      </c>
      <c r="Y47" s="10" t="inlineStr">
        <is>
          <t>Not Found</t>
        </is>
      </c>
      <c r="Z47" s="10" t="inlineStr">
        <is>
          <t>Low</t>
        </is>
      </c>
      <c r="AA47" s="10" t="inlineStr">
        <is>
          <t>Requires Verification</t>
        </is>
      </c>
      <c r="AB47" s="10" t="inlineStr">
        <is>
          <t>https://suitableforvegetarian.com/business/detail/bespoke-shisha</t>
        </is>
      </c>
    </row>
    <row r="48">
      <c r="A48" s="5" t="inlineStr">
        <is>
          <t>UK-000238</t>
        </is>
      </c>
      <c r="B48" s="5" t="inlineStr">
        <is>
          <t>UK-000238-01</t>
        </is>
      </c>
      <c r="C48" s="5" t="inlineStr"/>
      <c r="D48" s="5" t="inlineStr">
        <is>
          <t>Beverley International Foods</t>
        </is>
      </c>
      <c r="E48" s="5" t="inlineStr">
        <is>
          <t>Independent Supermarket</t>
        </is>
      </c>
      <c r="F48" s="5" t="inlineStr">
        <is>
          <t>International / Polish foods supermarket</t>
        </is>
      </c>
      <c r="G48" s="5" t="inlineStr">
        <is>
          <t>Independent</t>
        </is>
      </c>
      <c r="H48" s="5" t="inlineStr">
        <is>
          <t>1</t>
        </is>
      </c>
      <c r="I48" s="5" t="inlineStr">
        <is>
          <t>Beverley Road</t>
        </is>
      </c>
      <c r="J48" s="5" t="inlineStr">
        <is>
          <t>Kingston upon Hull</t>
        </is>
      </c>
      <c r="K48" s="5" t="inlineStr"/>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https://www.yorkshire.com/hull/shopping/supermarkets/beverley-international-foods</t>
        </is>
      </c>
    </row>
    <row r="49">
      <c r="A49" s="10" t="inlineStr">
        <is>
          <t>WY-0066</t>
        </is>
      </c>
      <c r="B49" s="10" t="inlineStr">
        <is>
          <t>WY-0066-01</t>
        </is>
      </c>
      <c r="C49" s="10" t="inlineStr"/>
      <c r="D49" s="10" t="inlineStr">
        <is>
          <t>Boothtown Post Office &amp; Off-Licence</t>
        </is>
      </c>
      <c r="E49" s="10" t="inlineStr">
        <is>
          <t>Off-Licence</t>
        </is>
      </c>
      <c r="F49" s="10" t="inlineStr">
        <is>
          <t>Off-licence with post office counter</t>
        </is>
      </c>
      <c r="G49" s="10" t="inlineStr">
        <is>
          <t>Independent</t>
        </is>
      </c>
      <c r="H49" s="10" t="inlineStr">
        <is>
          <t>1</t>
        </is>
      </c>
      <c r="I49" s="10" t="inlineStr"/>
      <c r="J49" s="10" t="inlineStr">
        <is>
          <t>Halifax</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https://findit.halifaxcourier.co.uk/search/halifax/off-licence</t>
        </is>
      </c>
    </row>
    <row r="50">
      <c r="A50" s="5" t="inlineStr">
        <is>
          <t>WY-0067</t>
        </is>
      </c>
      <c r="B50" s="5" t="inlineStr">
        <is>
          <t>WY-0067-01</t>
        </is>
      </c>
      <c r="C50" s="5" t="inlineStr"/>
      <c r="D50" s="5" t="inlineStr">
        <is>
          <t>Booze Express</t>
        </is>
      </c>
      <c r="E50" s="5" t="inlineStr">
        <is>
          <t>Off-Licence</t>
        </is>
      </c>
      <c r="F50" s="5" t="inlineStr"/>
      <c r="G50" s="5" t="inlineStr">
        <is>
          <t>Independent</t>
        </is>
      </c>
      <c r="H50" s="5" t="inlineStr">
        <is>
          <t>1</t>
        </is>
      </c>
      <c r="I50" s="5" t="inlineStr">
        <is>
          <t>520 Gibbet Street</t>
        </is>
      </c>
      <c r="J50" s="5" t="inlineStr">
        <is>
          <t>Halifax</t>
        </is>
      </c>
      <c r="K50" s="5" t="inlineStr">
        <is>
          <t>HX2 0AH</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Independent retailer; Relevant category; Social presence</t>
        </is>
      </c>
      <c r="X50" s="5" t="inlineStr">
        <is>
          <t>Not Found</t>
        </is>
      </c>
      <c r="Y50" s="5" t="inlineStr">
        <is>
          <t>Not Found</t>
        </is>
      </c>
      <c r="Z50" s="5" t="inlineStr">
        <is>
          <t>Low</t>
        </is>
      </c>
      <c r="AA50" s="5" t="inlineStr">
        <is>
          <t>Partially Verified</t>
        </is>
      </c>
      <c r="AB50" s="5" t="inlineStr">
        <is>
          <t>https://find-and-update.company-information.service.gov.uk/company/10264056</t>
        </is>
      </c>
    </row>
    <row r="51">
      <c r="A51" s="10" t="inlineStr">
        <is>
          <t>WY-0068</t>
        </is>
      </c>
      <c r="B51" s="10" t="inlineStr">
        <is>
          <t>WY-0068-01</t>
        </is>
      </c>
      <c r="C51" s="10" t="inlineStr"/>
      <c r="D51" s="10" t="inlineStr">
        <is>
          <t>Bottle and Bean</t>
        </is>
      </c>
      <c r="E51" s="10" t="inlineStr">
        <is>
          <t>Off-Licence</t>
        </is>
      </c>
      <c r="F51" s="10" t="inlineStr">
        <is>
          <t>Wine, craft beer and coffee shop</t>
        </is>
      </c>
      <c r="G51" s="10" t="inlineStr">
        <is>
          <t>Independent</t>
        </is>
      </c>
      <c r="H51" s="10" t="inlineStr">
        <is>
          <t>1</t>
        </is>
      </c>
      <c r="I51" s="10" t="inlineStr"/>
      <c r="J51" s="10" t="inlineStr">
        <is>
          <t>Wetherby</t>
        </is>
      </c>
      <c r="K51" s="10" t="inlineStr"/>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Not Found</t>
        </is>
      </c>
      <c r="Y51" s="10" t="inlineStr">
        <is>
          <t>Not Found</t>
        </is>
      </c>
      <c r="Z51" s="10" t="inlineStr">
        <is>
          <t>Low</t>
        </is>
      </c>
      <c r="AA51" s="10" t="inlineStr">
        <is>
          <t>Requires Verification</t>
        </is>
      </c>
      <c r="AB51" s="10" t="inlineStr">
        <is>
          <t>https://www.yorkshire.com/wetherby/shopping/off-license/bottle-and-bean</t>
        </is>
      </c>
    </row>
    <row r="52">
      <c r="A52" s="5" t="inlineStr">
        <is>
          <t>WY-0069</t>
        </is>
      </c>
      <c r="B52" s="5" t="inlineStr">
        <is>
          <t>WY-0069-01</t>
        </is>
      </c>
      <c r="C52" s="5" t="inlineStr"/>
      <c r="D52" s="5" t="inlineStr">
        <is>
          <t>Bridge Off Licence Convenience Store</t>
        </is>
      </c>
      <c r="E52" s="5" t="inlineStr">
        <is>
          <t>Off-Licence</t>
        </is>
      </c>
      <c r="F52" s="5" t="inlineStr">
        <is>
          <t>Off-licence and convenience store</t>
        </is>
      </c>
      <c r="G52" s="5" t="inlineStr">
        <is>
          <t>Independent</t>
        </is>
      </c>
      <c r="H52" s="5" t="inlineStr">
        <is>
          <t>1</t>
        </is>
      </c>
      <c r="I52" s="5" t="inlineStr"/>
      <c r="J52" s="5" t="inlineStr">
        <is>
          <t>Sowerby Bridge</t>
        </is>
      </c>
      <c r="K52" s="5" t="inlineStr"/>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https://www.yorkshire.com/sowerby-bridge/shopping/off-license/bridge-off-licence-convenience-store</t>
        </is>
      </c>
    </row>
    <row r="53">
      <c r="A53" s="10" t="inlineStr">
        <is>
          <t>WY-0071</t>
        </is>
      </c>
      <c r="B53" s="10" t="inlineStr">
        <is>
          <t>WY-0071-01</t>
        </is>
      </c>
      <c r="C53" s="10" t="inlineStr"/>
      <c r="D53" s="10" t="inlineStr">
        <is>
          <t>C Booth and Son</t>
        </is>
      </c>
      <c r="E53" s="10" t="inlineStr">
        <is>
          <t>Tobacco Specialist</t>
        </is>
      </c>
      <c r="F53" s="10" t="inlineStr">
        <is>
          <t>Hardware store and specialist tobacconist</t>
        </is>
      </c>
      <c r="G53" s="10" t="inlineStr">
        <is>
          <t>Independent</t>
        </is>
      </c>
      <c r="H53" s="10" t="inlineStr">
        <is>
          <t>1</t>
        </is>
      </c>
      <c r="I53" s="10" t="inlineStr">
        <is>
          <t>Cross Church Street</t>
        </is>
      </c>
      <c r="J53" s="10" t="inlineStr">
        <is>
          <t>Huddersfield</t>
        </is>
      </c>
      <c r="K53" s="10" t="inlineStr"/>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Independent retailer; Core relevant category</t>
        </is>
      </c>
      <c r="X53" s="10" t="inlineStr">
        <is>
          <t>Not Found</t>
        </is>
      </c>
      <c r="Y53" s="10" t="inlineStr">
        <is>
          <t>Not Found</t>
        </is>
      </c>
      <c r="Z53" s="10" t="inlineStr">
        <is>
          <t>Low</t>
        </is>
      </c>
      <c r="AA53" s="10" t="inlineStr">
        <is>
          <t>Requires Verification</t>
        </is>
      </c>
      <c r="AB53" s="10" t="inlineStr">
        <is>
          <t>https://www.examinerlive.co.uk/news/west-yorkshire-news/the-shop-sells-everything-c-9967957</t>
        </is>
      </c>
    </row>
    <row r="54">
      <c r="A54" s="5" t="inlineStr">
        <is>
          <t>UK-000239</t>
        </is>
      </c>
      <c r="B54" s="5" t="inlineStr">
        <is>
          <t>UK-000239-01</t>
        </is>
      </c>
      <c r="C54" s="5" t="inlineStr"/>
      <c r="D54" s="5" t="inlineStr">
        <is>
          <t>CK Fast Food Suppliers</t>
        </is>
      </c>
      <c r="E54" s="5" t="inlineStr">
        <is>
          <t>Cash &amp; Carry</t>
        </is>
      </c>
      <c r="F54" s="5" t="inlineStr">
        <is>
          <t>Foodservice wholesale</t>
        </is>
      </c>
      <c r="G54" s="5" t="inlineStr">
        <is>
          <t>Independent</t>
        </is>
      </c>
      <c r="H54" s="5" t="inlineStr">
        <is>
          <t>1</t>
        </is>
      </c>
      <c r="I54" s="5" t="inlineStr">
        <is>
          <t>70 Northumberland Avenue</t>
        </is>
      </c>
      <c r="J54" s="5" t="inlineStr">
        <is>
          <t>Kingston upon Hull</t>
        </is>
      </c>
      <c r="K54" s="5" t="inlineStr"/>
      <c r="L54" s="5" t="inlineStr"/>
      <c r="M54" s="5" t="inlineStr"/>
      <c r="N54" s="5" t="inlineStr"/>
      <c r="O54" s="5" t="inlineStr">
        <is>
          <t>https://www.ckfastfoods.com</t>
        </is>
      </c>
      <c r="P54" s="5" t="inlineStr"/>
      <c r="Q54" s="5" t="inlineStr"/>
      <c r="R54" s="5" t="inlineStr"/>
      <c r="S54" s="5" t="inlineStr"/>
      <c r="T54" s="5" t="inlineStr"/>
      <c r="U54" s="5" t="inlineStr"/>
      <c r="V54" s="5" t="inlineStr">
        <is>
          <t>Medium</t>
        </is>
      </c>
      <c r="W54" s="5" t="inlineStr">
        <is>
          <t>Independent retailer; Core relevant category; Active website</t>
        </is>
      </c>
      <c r="X54" s="5" t="inlineStr">
        <is>
          <t>Not Found</t>
        </is>
      </c>
      <c r="Y54" s="5" t="inlineStr">
        <is>
          <t>Not Found</t>
        </is>
      </c>
      <c r="Z54" s="5" t="inlineStr">
        <is>
          <t>Low</t>
        </is>
      </c>
      <c r="AA54" s="5" t="inlineStr">
        <is>
          <t>Partially Verified</t>
        </is>
      </c>
      <c r="AB54" s="5" t="inlineStr">
        <is>
          <t>https://www.ckfastfoods.com/categories</t>
        </is>
      </c>
    </row>
    <row r="55">
      <c r="A55" s="10" t="inlineStr">
        <is>
          <t>UK-000240</t>
        </is>
      </c>
      <c r="B55" s="10" t="inlineStr">
        <is>
          <t>UK-000240-01</t>
        </is>
      </c>
      <c r="C55" s="10" t="inlineStr"/>
      <c r="D55" s="10" t="inlineStr">
        <is>
          <t>Chong Wah Oriental Supermarket</t>
        </is>
      </c>
      <c r="E55" s="10" t="inlineStr">
        <is>
          <t>Independent Supermarket</t>
        </is>
      </c>
      <c r="F55" s="10" t="inlineStr">
        <is>
          <t>Asian / oriental supermarket</t>
        </is>
      </c>
      <c r="G55" s="10" t="inlineStr">
        <is>
          <t>Independent</t>
        </is>
      </c>
      <c r="H55" s="10" t="inlineStr">
        <is>
          <t>1</t>
        </is>
      </c>
      <c r="I55" s="10" t="inlineStr">
        <is>
          <t>Union Street</t>
        </is>
      </c>
      <c r="J55" s="10" t="inlineStr">
        <is>
          <t>Kingston upon Hull</t>
        </is>
      </c>
      <c r="K55" s="10" t="inlineStr"/>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https://www.yorkshire.com/hull/shopping/supermarkets/chong-wah-oriental-supermarket</t>
        </is>
      </c>
    </row>
    <row r="56">
      <c r="A56" s="5" t="inlineStr">
        <is>
          <t>UK-000241</t>
        </is>
      </c>
      <c r="B56" s="5" t="inlineStr">
        <is>
          <t>UK-000241-01</t>
        </is>
      </c>
      <c r="C56" s="5" t="inlineStr"/>
      <c r="D56" s="5" t="inlineStr">
        <is>
          <t>Cirrus Vape Hull</t>
        </is>
      </c>
      <c r="E56" s="5" t="inlineStr">
        <is>
          <t>Vape Shop</t>
        </is>
      </c>
      <c r="F56" s="5" t="inlineStr">
        <is>
          <t>E-cigarette shop</t>
        </is>
      </c>
      <c r="G56" s="5" t="inlineStr">
        <is>
          <t>Independent</t>
        </is>
      </c>
      <c r="H56" s="5" t="inlineStr">
        <is>
          <t>1</t>
        </is>
      </c>
      <c r="I56" s="5" t="inlineStr"/>
      <c r="J56" s="5" t="inlineStr">
        <is>
          <t>Kingston upon Hull</t>
        </is>
      </c>
      <c r="K56" s="5" t="inlineStr"/>
      <c r="L56" s="5" t="inlineStr"/>
      <c r="M56" s="5" t="inlineStr"/>
      <c r="N56" s="5" t="inlineStr"/>
      <c r="O56" s="5" t="inlineStr"/>
      <c r="P56" s="5" t="inlineStr">
        <is>
          <t>https://www.facebook.com/cirrusvapecirrusvape/</t>
        </is>
      </c>
      <c r="Q56" s="5" t="inlineStr"/>
      <c r="R56" s="5" t="inlineStr"/>
      <c r="S56" s="5" t="inlineStr"/>
      <c r="T56" s="5" t="inlineStr"/>
      <c r="U56" s="5" t="inlineStr"/>
      <c r="V56" s="5" t="inlineStr">
        <is>
          <t>Medium</t>
        </is>
      </c>
      <c r="W56" s="5" t="inlineStr">
        <is>
          <t>Independent retailer; Core relevant category; Social presence</t>
        </is>
      </c>
      <c r="X56" s="5" t="inlineStr">
        <is>
          <t>Not Found</t>
        </is>
      </c>
      <c r="Y56" s="5" t="inlineStr">
        <is>
          <t>Not Found</t>
        </is>
      </c>
      <c r="Z56" s="5" t="inlineStr">
        <is>
          <t>Low</t>
        </is>
      </c>
      <c r="AA56" s="5" t="inlineStr">
        <is>
          <t>Requires Verification</t>
        </is>
      </c>
      <c r="AB56" s="5" t="inlineStr">
        <is>
          <t>https://www.facebook.com/cirrusvapecirrusvape/</t>
        </is>
      </c>
    </row>
    <row r="57">
      <c r="A57" s="10" t="inlineStr">
        <is>
          <t>UK-000242</t>
        </is>
      </c>
      <c r="B57" s="10" t="inlineStr">
        <is>
          <t>UK-000242-01</t>
        </is>
      </c>
      <c r="C57" s="10" t="inlineStr"/>
      <c r="D57" s="10" t="inlineStr">
        <is>
          <t>Cram Vape Doncaster</t>
        </is>
      </c>
      <c r="E57" s="10" t="inlineStr">
        <is>
          <t>Vape Shop</t>
        </is>
      </c>
      <c r="F57" s="10" t="inlineStr">
        <is>
          <t>Vape shop</t>
        </is>
      </c>
      <c r="G57" s="10" t="inlineStr">
        <is>
          <t>Independent</t>
        </is>
      </c>
      <c r="H57" s="10" t="inlineStr">
        <is>
          <t>1</t>
        </is>
      </c>
      <c r="I57" s="10" t="inlineStr"/>
      <c r="J57" s="10" t="inlineStr">
        <is>
          <t>Doncaster</t>
        </is>
      </c>
      <c r="K57" s="10" t="inlineStr"/>
      <c r="L57" s="10" t="inlineStr"/>
      <c r="M57" s="10" t="inlineStr"/>
      <c r="N57" s="10" t="inlineStr"/>
      <c r="O57" s="10" t="inlineStr">
        <is>
          <t>https://cram-vape.ueniweb.com/</t>
        </is>
      </c>
      <c r="P57" s="10" t="inlineStr"/>
      <c r="Q57" s="10" t="inlineStr"/>
      <c r="R57" s="10" t="inlineStr"/>
      <c r="S57" s="10" t="inlineStr"/>
      <c r="T57" s="10" t="inlineStr"/>
      <c r="U57" s="10" t="inlineStr"/>
      <c r="V57" s="10" t="inlineStr">
        <is>
          <t>Medium</t>
        </is>
      </c>
      <c r="W57" s="10" t="inlineStr">
        <is>
          <t>Independent retailer; Core relevant category; Active website</t>
        </is>
      </c>
      <c r="X57" s="10" t="inlineStr">
        <is>
          <t>Not Found</t>
        </is>
      </c>
      <c r="Y57" s="10" t="inlineStr">
        <is>
          <t>Website Found</t>
        </is>
      </c>
      <c r="Z57" s="10" t="inlineStr">
        <is>
          <t>Low</t>
        </is>
      </c>
      <c r="AA57" s="10" t="inlineStr">
        <is>
          <t>Requires Verification</t>
        </is>
      </c>
      <c r="AB57" s="10" t="inlineStr">
        <is>
          <t>https://cram-vape.ueniweb.com/</t>
        </is>
      </c>
    </row>
    <row r="58">
      <c r="A58" s="5" t="inlineStr">
        <is>
          <t>WY-0078</t>
        </is>
      </c>
      <c r="B58" s="5" t="inlineStr">
        <is>
          <t>WY-0078-01</t>
        </is>
      </c>
      <c r="C58" s="5" t="inlineStr"/>
      <c r="D58" s="5" t="inlineStr">
        <is>
          <t>Crazycloudzzz</t>
        </is>
      </c>
      <c r="E58" s="5" t="inlineStr">
        <is>
          <t>Vape Shop</t>
        </is>
      </c>
      <c r="F58" s="5" t="inlineStr"/>
      <c r="G58" s="5" t="inlineStr">
        <is>
          <t>Independent</t>
        </is>
      </c>
      <c r="H58" s="5" t="inlineStr">
        <is>
          <t>1</t>
        </is>
      </c>
      <c r="I58" s="5" t="inlineStr">
        <is>
          <t>20 Bull Green</t>
        </is>
      </c>
      <c r="J58" s="5" t="inlineStr">
        <is>
          <t>Halifax</t>
        </is>
      </c>
      <c r="K58" s="5" t="inlineStr">
        <is>
          <t>HX1 5AB</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Not Found</t>
        </is>
      </c>
      <c r="Y58" s="5" t="inlineStr">
        <is>
          <t>Not Found</t>
        </is>
      </c>
      <c r="Z58" s="5" t="inlineStr">
        <is>
          <t>Low</t>
        </is>
      </c>
      <c r="AA58" s="5" t="inlineStr">
        <is>
          <t>Requires Verification</t>
        </is>
      </c>
      <c r="AB58" s="5" t="inlineStr">
        <is>
          <t>https://www.yell.com/s/tobacconists-halifax.html</t>
        </is>
      </c>
    </row>
    <row r="59">
      <c r="A59" s="10" t="inlineStr">
        <is>
          <t>WY-0079</t>
        </is>
      </c>
      <c r="B59" s="10" t="inlineStr">
        <is>
          <t>WY-0079-01</t>
        </is>
      </c>
      <c r="C59" s="10" t="inlineStr"/>
      <c r="D59" s="10" t="inlineStr">
        <is>
          <t>Crossroads Off Licence &amp; Newsagent</t>
        </is>
      </c>
      <c r="E59" s="10" t="inlineStr">
        <is>
          <t>Off-Licence</t>
        </is>
      </c>
      <c r="F59" s="10" t="inlineStr">
        <is>
          <t>Off-licence and newsagent</t>
        </is>
      </c>
      <c r="G59" s="10" t="inlineStr">
        <is>
          <t>Independent</t>
        </is>
      </c>
      <c r="H59" s="10" t="inlineStr">
        <is>
          <t>1</t>
        </is>
      </c>
      <c r="I59" s="10" t="inlineStr">
        <is>
          <t>19 Cross Road</t>
        </is>
      </c>
      <c r="J59" s="10" t="inlineStr">
        <is>
          <t>Wakefield</t>
        </is>
      </c>
      <c r="K59" s="10" t="inlineStr"/>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Low</t>
        </is>
      </c>
      <c r="AA59" s="10" t="inlineStr">
        <is>
          <t>Requires Verification</t>
        </is>
      </c>
      <c r="AB59" s="10" t="inlineStr">
        <is>
          <t>https://m.yelp.com/biz/crossroads-off-licence-and-newsagent-wakefield</t>
        </is>
      </c>
    </row>
    <row r="60">
      <c r="A60" s="5" t="inlineStr">
        <is>
          <t>WY-0081</t>
        </is>
      </c>
      <c r="B60" s="5" t="inlineStr">
        <is>
          <t>WY-0081-01</t>
        </is>
      </c>
      <c r="C60" s="5" t="inlineStr"/>
      <c r="D60" s="5" t="inlineStr">
        <is>
          <t>ECigarette Outlet</t>
        </is>
      </c>
      <c r="E60" s="5" t="inlineStr">
        <is>
          <t>Vape Shop</t>
        </is>
      </c>
      <c r="F60" s="5" t="inlineStr">
        <is>
          <t>E-cigarette retailer</t>
        </is>
      </c>
      <c r="G60" s="5" t="inlineStr">
        <is>
          <t>Independent</t>
        </is>
      </c>
      <c r="H60" s="5" t="inlineStr">
        <is>
          <t>1</t>
        </is>
      </c>
      <c r="I60" s="5" t="inlineStr">
        <is>
          <t>27 Kirkgate</t>
        </is>
      </c>
      <c r="J60" s="5" t="inlineStr">
        <is>
          <t>Shipley</t>
        </is>
      </c>
      <c r="K60" s="5" t="inlineStr">
        <is>
          <t>BD18 3QW</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Independent retailer; Core relevant category</t>
        </is>
      </c>
      <c r="X60" s="5" t="inlineStr">
        <is>
          <t>Not Found</t>
        </is>
      </c>
      <c r="Y60" s="5" t="inlineStr">
        <is>
          <t>Not Found</t>
        </is>
      </c>
      <c r="Z60" s="5" t="inlineStr">
        <is>
          <t>Medium</t>
        </is>
      </c>
      <c r="AA60" s="5" t="inlineStr">
        <is>
          <t>Requires Verification</t>
        </is>
      </c>
      <c r="AB60" s="5" t="inlineStr">
        <is>
          <t>https://ecigdirectory.co.uk/vape-shop/listing/ecigarette-outlet-shipley</t>
        </is>
      </c>
    </row>
    <row r="61">
      <c r="A61" s="10" t="inlineStr">
        <is>
          <t>UK-000243</t>
        </is>
      </c>
      <c r="B61" s="10" t="inlineStr">
        <is>
          <t>UK-000243-01</t>
        </is>
      </c>
      <c r="C61" s="10" t="inlineStr"/>
      <c r="D61" s="10" t="inlineStr">
        <is>
          <t>Ecigbox Northallerton</t>
        </is>
      </c>
      <c r="E61" s="10" t="inlineStr">
        <is>
          <t>Vape Shop</t>
        </is>
      </c>
      <c r="F61" s="10" t="inlineStr">
        <is>
          <t>E-cigarette &amp; e-liquid shop</t>
        </is>
      </c>
      <c r="G61" s="10" t="inlineStr">
        <is>
          <t>Independent</t>
        </is>
      </c>
      <c r="H61" s="10" t="inlineStr">
        <is>
          <t>1</t>
        </is>
      </c>
      <c r="I61" s="10" t="inlineStr">
        <is>
          <t>231 High Street</t>
        </is>
      </c>
      <c r="J61" s="10" t="inlineStr">
        <is>
          <t>Northallerton</t>
        </is>
      </c>
      <c r="K61" s="10" t="inlineStr">
        <is>
          <t>DL7 8LU</t>
        </is>
      </c>
      <c r="L61" s="10" t="inlineStr"/>
      <c r="M61" s="10" t="inlineStr"/>
      <c r="N61" s="10" t="inlineStr"/>
      <c r="O61" s="10" t="inlineStr"/>
      <c r="P61" s="10" t="inlineStr">
        <is>
          <t>https://www.facebook.com/Ecigboxnorthallerton/</t>
        </is>
      </c>
      <c r="Q61" s="10" t="inlineStr"/>
      <c r="R61" s="10" t="inlineStr"/>
      <c r="S61" s="10" t="inlineStr"/>
      <c r="T61" s="10" t="inlineStr"/>
      <c r="U61" s="10" t="inlineStr"/>
      <c r="V61" s="10" t="inlineStr">
        <is>
          <t>Medium</t>
        </is>
      </c>
      <c r="W61" s="10" t="inlineStr">
        <is>
          <t>Independent retailer; Core relevant category; Social presence</t>
        </is>
      </c>
      <c r="X61" s="10" t="inlineStr">
        <is>
          <t>Not Found</t>
        </is>
      </c>
      <c r="Y61" s="10" t="inlineStr">
        <is>
          <t>Not Found</t>
        </is>
      </c>
      <c r="Z61" s="10" t="inlineStr">
        <is>
          <t>Low</t>
        </is>
      </c>
      <c r="AA61" s="10" t="inlineStr">
        <is>
          <t>Requires Verification</t>
        </is>
      </c>
      <c r="AB61" s="10" t="inlineStr">
        <is>
          <t>https://www.facebook.com/Ecigboxnorthallerton/</t>
        </is>
      </c>
    </row>
    <row r="62">
      <c r="A62" s="5" t="inlineStr">
        <is>
          <t>UK-000244</t>
        </is>
      </c>
      <c r="B62" s="5" t="inlineStr">
        <is>
          <t>UK-000244-01</t>
        </is>
      </c>
      <c r="C62" s="5" t="inlineStr"/>
      <c r="D62" s="5" t="inlineStr">
        <is>
          <t>Fantasy Vapez</t>
        </is>
      </c>
      <c r="E62" s="5" t="inlineStr">
        <is>
          <t>Vape Shop</t>
        </is>
      </c>
      <c r="F62" s="5" t="inlineStr">
        <is>
          <t>Vape shop</t>
        </is>
      </c>
      <c r="G62" s="5" t="inlineStr">
        <is>
          <t>Independent</t>
        </is>
      </c>
      <c r="H62" s="5" t="inlineStr">
        <is>
          <t>1</t>
        </is>
      </c>
      <c r="I62" s="5" t="inlineStr">
        <is>
          <t>4 Market Street</t>
        </is>
      </c>
      <c r="J62" s="5" t="inlineStr">
        <is>
          <t>Cleethorpes</t>
        </is>
      </c>
      <c r="K62" s="5" t="inlineStr">
        <is>
          <t>DN35 8LY</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Not Found</t>
        </is>
      </c>
      <c r="Y62" s="5" t="inlineStr">
        <is>
          <t>Not Found</t>
        </is>
      </c>
      <c r="Z62" s="5" t="inlineStr">
        <is>
          <t>Low</t>
        </is>
      </c>
      <c r="AA62" s="5" t="inlineStr">
        <is>
          <t>Requires Verification</t>
        </is>
      </c>
      <c r="AB62" s="5" t="inlineStr">
        <is>
          <t>https://cleethorpes.cylex-uk.co.uk/vape-shops/</t>
        </is>
      </c>
    </row>
    <row r="63">
      <c r="A63" s="10" t="inlineStr">
        <is>
          <t>UK-000245</t>
        </is>
      </c>
      <c r="B63" s="10" t="inlineStr">
        <is>
          <t>UK-000245-01</t>
        </is>
      </c>
      <c r="C63" s="10" t="inlineStr"/>
      <c r="D63" s="10" t="inlineStr">
        <is>
          <t>First Choice Off Licence</t>
        </is>
      </c>
      <c r="E63" s="10" t="inlineStr">
        <is>
          <t>Off-Licence</t>
        </is>
      </c>
      <c r="F63" s="10" t="inlineStr">
        <is>
          <t>Off-licence</t>
        </is>
      </c>
      <c r="G63" s="10" t="inlineStr">
        <is>
          <t>Independent</t>
        </is>
      </c>
      <c r="H63" s="10" t="inlineStr">
        <is>
          <t>1</t>
        </is>
      </c>
      <c r="I63" s="10" t="inlineStr"/>
      <c r="J63" s="10" t="inlineStr">
        <is>
          <t>Sheffield</t>
        </is>
      </c>
      <c r="K63" s="10" t="inlineStr"/>
      <c r="L63" s="10" t="inlineStr"/>
      <c r="M63" s="10" t="inlineStr"/>
      <c r="N63" s="10" t="inlineStr"/>
      <c r="O63" s="10" t="inlineStr"/>
      <c r="P63" s="10" t="inlineStr">
        <is>
          <t>https://www.facebook.com/FirstChoiceOffLicence/</t>
        </is>
      </c>
      <c r="Q63" s="10" t="inlineStr"/>
      <c r="R63" s="10" t="inlineStr"/>
      <c r="S63" s="10" t="inlineStr"/>
      <c r="T63" s="10" t="inlineStr"/>
      <c r="U63" s="10" t="inlineStr"/>
      <c r="V63" s="10" t="inlineStr">
        <is>
          <t>Medium</t>
        </is>
      </c>
      <c r="W63" s="10" t="inlineStr">
        <is>
          <t>Independent retailer; Relevant category; Social presence</t>
        </is>
      </c>
      <c r="X63" s="10" t="inlineStr">
        <is>
          <t>Not Found</t>
        </is>
      </c>
      <c r="Y63" s="10" t="inlineStr">
        <is>
          <t>Not Found</t>
        </is>
      </c>
      <c r="Z63" s="10" t="inlineStr">
        <is>
          <t>Low</t>
        </is>
      </c>
      <c r="AA63" s="10" t="inlineStr">
        <is>
          <t>Requires Verification</t>
        </is>
      </c>
      <c r="AB63" s="10" t="inlineStr">
        <is>
          <t>https://www.facebook.com/FirstChoiceOffLicence/</t>
        </is>
      </c>
    </row>
    <row r="64">
      <c r="A64" s="5" t="inlineStr">
        <is>
          <t>UK-000248</t>
        </is>
      </c>
      <c r="B64" s="5" t="inlineStr">
        <is>
          <t>UK-000248-01</t>
        </is>
      </c>
      <c r="C64" s="5" t="inlineStr"/>
      <c r="D64" s="5" t="inlineStr">
        <is>
          <t>Food Plus (Babylon Supermarket 7)</t>
        </is>
      </c>
      <c r="E64" s="5" t="inlineStr">
        <is>
          <t>Independent Supermarket</t>
        </is>
      </c>
      <c r="F64" s="5" t="inlineStr">
        <is>
          <t>Polish / world foods store</t>
        </is>
      </c>
      <c r="G64" s="5" t="inlineStr">
        <is>
          <t>Independent</t>
        </is>
      </c>
      <c r="H64" s="5" t="inlineStr">
        <is>
          <t>1</t>
        </is>
      </c>
      <c r="I64" s="5" t="inlineStr"/>
      <c r="J64" s="5" t="inlineStr">
        <is>
          <t>Kingston upon Hull</t>
        </is>
      </c>
      <c r="K64" s="5" t="inlineStr">
        <is>
          <t>HU3 4BJ</t>
        </is>
      </c>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https://www.foodplus.eu/en/products/food-plus-babylon-supermarket-7-hu3-4bj-kingston-upon-hull</t>
        </is>
      </c>
    </row>
    <row r="65">
      <c r="A65" s="10" t="inlineStr">
        <is>
          <t>WY-0085</t>
        </is>
      </c>
      <c r="B65" s="10" t="inlineStr">
        <is>
          <t>WY-0085-01</t>
        </is>
      </c>
      <c r="C65" s="10" t="inlineStr"/>
      <c r="D65" s="10" t="inlineStr">
        <is>
          <t>Forever Vapes</t>
        </is>
      </c>
      <c r="E65" s="10" t="inlineStr">
        <is>
          <t>Vape Shop</t>
        </is>
      </c>
      <c r="F65" s="10" t="inlineStr">
        <is>
          <t>Vape retailer</t>
        </is>
      </c>
      <c r="G65" s="10" t="inlineStr">
        <is>
          <t>Independent</t>
        </is>
      </c>
      <c r="H65" s="10" t="inlineStr">
        <is>
          <t>1</t>
        </is>
      </c>
      <c r="I65" s="10" t="inlineStr">
        <is>
          <t>Market Street</t>
        </is>
      </c>
      <c r="J65" s="10" t="inlineStr">
        <is>
          <t>Heckmondwike</t>
        </is>
      </c>
      <c r="K65" s="10" t="inlineStr">
        <is>
          <t>WF16 0JU</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Not Found</t>
        </is>
      </c>
      <c r="Y65" s="10" t="inlineStr">
        <is>
          <t>Not Found</t>
        </is>
      </c>
      <c r="Z65" s="10" t="inlineStr">
        <is>
          <t>Low</t>
        </is>
      </c>
      <c r="AA65" s="10" t="inlineStr">
        <is>
          <t>Requires Verification</t>
        </is>
      </c>
      <c r="AB65" s="10" t="inlineStr">
        <is>
          <t>https://vapeshops.puffingbird.com/yorkshire-and-the-humber/heckmondwike/forever-vapes-ltd</t>
        </is>
      </c>
    </row>
    <row r="66">
      <c r="A66" s="5" t="inlineStr">
        <is>
          <t>UK-000249</t>
        </is>
      </c>
      <c r="B66" s="5" t="inlineStr">
        <is>
          <t>UK-000249-01</t>
        </is>
      </c>
      <c r="C66" s="5" t="inlineStr"/>
      <c r="D66" s="5" t="inlineStr">
        <is>
          <t>Freshco Cash &amp; Carry</t>
        </is>
      </c>
      <c r="E66" s="5" t="inlineStr">
        <is>
          <t>Cash &amp; Carry</t>
        </is>
      </c>
      <c r="F66" s="5" t="inlineStr">
        <is>
          <t>Wholesale cash &amp; carry / supermarket</t>
        </is>
      </c>
      <c r="G66" s="5" t="inlineStr">
        <is>
          <t>Independent</t>
        </is>
      </c>
      <c r="H66" s="5" t="inlineStr">
        <is>
          <t>1</t>
        </is>
      </c>
      <c r="I66" s="5" t="inlineStr">
        <is>
          <t>185-201 Spring Bank</t>
        </is>
      </c>
      <c r="J66" s="5" t="inlineStr">
        <is>
          <t>Kingston upon Hull</t>
        </is>
      </c>
      <c r="K66" s="5" t="inlineStr">
        <is>
          <t>HU3 1LP</t>
        </is>
      </c>
      <c r="L66" s="5" t="inlineStr"/>
      <c r="M66" s="5" t="inlineStr"/>
      <c r="N66" s="5" t="inlineStr"/>
      <c r="O66" s="5" t="inlineStr">
        <is>
          <t>https://freshcocashcarry.co.uk</t>
        </is>
      </c>
      <c r="P66" s="5" t="inlineStr">
        <is>
          <t>https://www.facebook.com/p/Feshco-cashcarry-limited-61556302407551/</t>
        </is>
      </c>
      <c r="Q66" s="5" t="inlineStr"/>
      <c r="R66" s="5" t="inlineStr"/>
      <c r="S66" s="5" t="inlineStr"/>
      <c r="T66" s="5" t="inlineStr">
        <is>
          <t>14599796</t>
        </is>
      </c>
      <c r="U66" s="5" t="inlineStr">
        <is>
          <t>Active</t>
        </is>
      </c>
      <c r="V66" s="5" t="inlineStr">
        <is>
          <t>Medium</t>
        </is>
      </c>
      <c r="W66" s="5" t="inlineStr">
        <is>
          <t>Independent retailer; Core relevant category; Active website; Social presence</t>
        </is>
      </c>
      <c r="X66" s="5" t="inlineStr">
        <is>
          <t>Not Found</t>
        </is>
      </c>
      <c r="Y66" s="5" t="inlineStr">
        <is>
          <t>Not Found</t>
        </is>
      </c>
      <c r="Z66" s="5" t="inlineStr">
        <is>
          <t>Medium</t>
        </is>
      </c>
      <c r="AA66" s="5" t="inlineStr">
        <is>
          <t>Verified (website + Companies House)</t>
        </is>
      </c>
      <c r="AB66" s="5" t="inlineStr">
        <is>
          <t>https://freshcocashcarry.co.uk/</t>
        </is>
      </c>
    </row>
    <row r="67">
      <c r="A67" s="10" t="inlineStr">
        <is>
          <t>WY-0087</t>
        </is>
      </c>
      <c r="B67" s="10" t="inlineStr">
        <is>
          <t>WY-0087-01</t>
        </is>
      </c>
      <c r="C67" s="10" t="inlineStr"/>
      <c r="D67" s="10" t="inlineStr">
        <is>
          <t>Freshco UK</t>
        </is>
      </c>
      <c r="E67" s="10" t="inlineStr">
        <is>
          <t>Convenience Store</t>
        </is>
      </c>
      <c r="F67" s="10" t="inlineStr">
        <is>
          <t>Grocery store with halal meat</t>
        </is>
      </c>
      <c r="G67" s="10" t="inlineStr">
        <is>
          <t>Independent</t>
        </is>
      </c>
      <c r="H67" s="10" t="inlineStr">
        <is>
          <t>1</t>
        </is>
      </c>
      <c r="I67" s="10" t="inlineStr"/>
      <c r="J67" s="10" t="inlineStr">
        <is>
          <t>Bradford</t>
        </is>
      </c>
      <c r="K67" s="10" t="inlineStr"/>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https://freshco-uk-ltd.wheree.com/</t>
        </is>
      </c>
    </row>
    <row r="68">
      <c r="A68" s="5" t="inlineStr">
        <is>
          <t>UK-000250</t>
        </is>
      </c>
      <c r="B68" s="5" t="inlineStr">
        <is>
          <t>UK-000250-01</t>
        </is>
      </c>
      <c r="C68" s="5" t="inlineStr"/>
      <c r="D68" s="5" t="inlineStr">
        <is>
          <t>GDF Vape Shop</t>
        </is>
      </c>
      <c r="E68" s="5" t="inlineStr">
        <is>
          <t>Vape Shop</t>
        </is>
      </c>
      <c r="F68" s="5" t="inlineStr">
        <is>
          <t>Vape shop</t>
        </is>
      </c>
      <c r="G68" s="5" t="inlineStr">
        <is>
          <t>Independent</t>
        </is>
      </c>
      <c r="H68" s="5" t="inlineStr">
        <is>
          <t>1</t>
        </is>
      </c>
      <c r="I68" s="5" t="inlineStr"/>
      <c r="J68" s="5" t="inlineStr">
        <is>
          <t>Doncaster</t>
        </is>
      </c>
      <c r="K68" s="5" t="inlineStr"/>
      <c r="L68" s="5" t="inlineStr"/>
      <c r="M68" s="5" t="inlineStr"/>
      <c r="N68" s="5" t="inlineStr"/>
      <c r="O68" s="5" t="inlineStr">
        <is>
          <t>https://gdf-vape-shop.ueniweb.com/</t>
        </is>
      </c>
      <c r="P68" s="5" t="inlineStr"/>
      <c r="Q68" s="5" t="inlineStr"/>
      <c r="R68" s="5" t="inlineStr"/>
      <c r="S68" s="5" t="inlineStr"/>
      <c r="T68" s="5" t="inlineStr"/>
      <c r="U68" s="5" t="inlineStr"/>
      <c r="V68" s="5" t="inlineStr">
        <is>
          <t>Medium</t>
        </is>
      </c>
      <c r="W68" s="5" t="inlineStr">
        <is>
          <t>Independent retailer; Core relevant category; Active website</t>
        </is>
      </c>
      <c r="X68" s="5" t="inlineStr">
        <is>
          <t>Not Found</t>
        </is>
      </c>
      <c r="Y68" s="5" t="inlineStr">
        <is>
          <t>Website Found</t>
        </is>
      </c>
      <c r="Z68" s="5" t="inlineStr">
        <is>
          <t>Low</t>
        </is>
      </c>
      <c r="AA68" s="5" t="inlineStr">
        <is>
          <t>Requires Verification</t>
        </is>
      </c>
      <c r="AB68" s="5" t="inlineStr">
        <is>
          <t>https://gdf-vape-shop.ueniweb.com/</t>
        </is>
      </c>
    </row>
    <row r="69">
      <c r="A69" s="10" t="inlineStr">
        <is>
          <t>WY-0088</t>
        </is>
      </c>
      <c r="B69" s="10" t="inlineStr">
        <is>
          <t>WY-0088-01</t>
        </is>
      </c>
      <c r="C69" s="10" t="inlineStr"/>
      <c r="D69" s="10" t="inlineStr">
        <is>
          <t>Get Plugged</t>
        </is>
      </c>
      <c r="E69" s="10" t="inlineStr">
        <is>
          <t>Vape Shop</t>
        </is>
      </c>
      <c r="F69" s="10" t="inlineStr">
        <is>
          <t>Vape shop and convenience snacks</t>
        </is>
      </c>
      <c r="G69" s="10" t="inlineStr">
        <is>
          <t>Independent</t>
        </is>
      </c>
      <c r="H69" s="10" t="inlineStr">
        <is>
          <t>1</t>
        </is>
      </c>
      <c r="I69" s="10" t="inlineStr">
        <is>
          <t>Bradford Road</t>
        </is>
      </c>
      <c r="J69" s="10" t="inlineStr">
        <is>
          <t>Huddersfield</t>
        </is>
      </c>
      <c r="K69" s="10" t="inlineStr"/>
      <c r="L69" s="10" t="inlineStr"/>
      <c r="M69" s="10" t="inlineStr"/>
      <c r="N69" s="10" t="inlineStr"/>
      <c r="O69" s="10" t="inlineStr">
        <is>
          <t>https://getplugged.co.uk/</t>
        </is>
      </c>
      <c r="P69" s="10" t="inlineStr">
        <is>
          <t>https://www.facebook.com/p/Get-Plugged-61559687350403/</t>
        </is>
      </c>
      <c r="Q69" s="10" t="inlineStr"/>
      <c r="R69" s="10" t="inlineStr"/>
      <c r="S69" s="10" t="inlineStr"/>
      <c r="T69" s="10" t="inlineStr"/>
      <c r="U69" s="10" t="inlineStr"/>
      <c r="V69" s="10" t="inlineStr">
        <is>
          <t>Medium</t>
        </is>
      </c>
      <c r="W69" s="10" t="inlineStr">
        <is>
          <t>Independent retailer; Core relevant category; Active website; Social presence</t>
        </is>
      </c>
      <c r="X69" s="10" t="inlineStr">
        <is>
          <t>Not Found</t>
        </is>
      </c>
      <c r="Y69" s="10" t="inlineStr">
        <is>
          <t>Website Found</t>
        </is>
      </c>
      <c r="Z69" s="10" t="inlineStr">
        <is>
          <t>Medium</t>
        </is>
      </c>
      <c r="AA69" s="10" t="inlineStr">
        <is>
          <t>Requires Verification</t>
        </is>
      </c>
      <c r="AB69" s="10" t="inlineStr">
        <is>
          <t>https://getplugged.co.uk/</t>
        </is>
      </c>
    </row>
    <row r="70">
      <c r="A70" s="5" t="inlineStr">
        <is>
          <t>WY-0089</t>
        </is>
      </c>
      <c r="B70" s="5" t="inlineStr">
        <is>
          <t>WY-0089-01</t>
        </is>
      </c>
      <c r="C70" s="5" t="inlineStr"/>
      <c r="D70" s="5" t="inlineStr">
        <is>
          <t>Gibraltar Mini Mart</t>
        </is>
      </c>
      <c r="E70" s="5" t="inlineStr">
        <is>
          <t>Convenience Store</t>
        </is>
      </c>
      <c r="F70" s="5" t="inlineStr">
        <is>
          <t>Convenience store with vapes and mobile accessories</t>
        </is>
      </c>
      <c r="G70" s="5" t="inlineStr">
        <is>
          <t>Independent</t>
        </is>
      </c>
      <c r="H70" s="5" t="inlineStr">
        <is>
          <t>1</t>
        </is>
      </c>
      <c r="I70" s="5" t="inlineStr">
        <is>
          <t>101 Hopwood Lane</t>
        </is>
      </c>
      <c r="J70" s="5" t="inlineStr">
        <is>
          <t>Halifax</t>
        </is>
      </c>
      <c r="K70" s="5" t="inlineStr"/>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https://www.yorkshire.com/halifax/shopping/corner-shops/gibraltar-mini-mart-vapemobile-shop</t>
        </is>
      </c>
    </row>
    <row r="71">
      <c r="A71" s="10" t="inlineStr">
        <is>
          <t>WY-0090</t>
        </is>
      </c>
      <c r="B71" s="10" t="inlineStr">
        <is>
          <t>WY-0090-01</t>
        </is>
      </c>
      <c r="C71" s="10" t="inlineStr"/>
      <c r="D71" s="10" t="inlineStr">
        <is>
          <t>Global Mini Market 2</t>
        </is>
      </c>
      <c r="E71" s="10" t="inlineStr">
        <is>
          <t>Convenience Store</t>
        </is>
      </c>
      <c r="F71" s="10" t="inlineStr">
        <is>
          <t>24-hour convenience store &amp; off-licence</t>
        </is>
      </c>
      <c r="G71" s="10" t="inlineStr">
        <is>
          <t>Independent</t>
        </is>
      </c>
      <c r="H71" s="10" t="inlineStr">
        <is>
          <t>1</t>
        </is>
      </c>
      <c r="I71" s="10" t="inlineStr">
        <is>
          <t>83-85 Main Street</t>
        </is>
      </c>
      <c r="J71" s="10" t="inlineStr">
        <is>
          <t>Bingley</t>
        </is>
      </c>
      <c r="K71" s="10" t="inlineStr">
        <is>
          <t>BD16 2JA</t>
        </is>
      </c>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Medium</t>
        </is>
      </c>
      <c r="AA71" s="10" t="inlineStr">
        <is>
          <t>Requires Verification</t>
        </is>
      </c>
      <c r="AB71" s="10" t="inlineStr">
        <is>
          <t>https://www.24houralcohol.co.uk/bradford-off-licences</t>
        </is>
      </c>
    </row>
    <row r="72">
      <c r="A72" s="5" t="inlineStr">
        <is>
          <t>WY-0091</t>
        </is>
      </c>
      <c r="B72" s="5" t="inlineStr">
        <is>
          <t>WY-0091-01</t>
        </is>
      </c>
      <c r="C72" s="5" t="inlineStr"/>
      <c r="D72" s="5" t="inlineStr">
        <is>
          <t>Greengates Service Station</t>
        </is>
      </c>
      <c r="E72" s="5" t="inlineStr">
        <is>
          <t>Petrol Station / Forecourt</t>
        </is>
      </c>
      <c r="F72" s="5" t="inlineStr">
        <is>
          <t>Forecourt with shop</t>
        </is>
      </c>
      <c r="G72" s="5" t="inlineStr">
        <is>
          <t>Unknown</t>
        </is>
      </c>
      <c r="H72" s="5" t="inlineStr">
        <is>
          <t>1</t>
        </is>
      </c>
      <c r="I72" s="5" t="inlineStr"/>
      <c r="J72" s="5" t="inlineStr">
        <is>
          <t>Bradford</t>
        </is>
      </c>
      <c r="K72" s="5" t="inlineStr"/>
      <c r="L72" s="5" t="inlineStr"/>
      <c r="M72" s="5" t="inlineStr"/>
      <c r="N72" s="5" t="inlineStr"/>
      <c r="O72" s="5" t="inlineStr"/>
      <c r="P72" s="5" t="inlineStr"/>
      <c r="Q72" s="5" t="inlineStr"/>
      <c r="R72" s="5" t="inlineStr"/>
      <c r="S72" s="5" t="inlineStr"/>
      <c r="T72" s="5" t="inlineStr"/>
      <c r="U72" s="5" t="inlineStr"/>
      <c r="V72" s="5" t="inlineStr">
        <is>
          <t>Low</t>
        </is>
      </c>
      <c r="W72" s="5" t="inlineStr">
        <is>
          <t>Relevant category</t>
        </is>
      </c>
      <c r="X72" s="5" t="inlineStr">
        <is>
          <t>Not Found</t>
        </is>
      </c>
      <c r="Y72" s="5" t="inlineStr">
        <is>
          <t>Not Found</t>
        </is>
      </c>
      <c r="Z72" s="5" t="inlineStr">
        <is>
          <t>Low</t>
        </is>
      </c>
      <c r="AA72" s="5" t="inlineStr">
        <is>
          <t>Requires Verification</t>
        </is>
      </c>
      <c r="AB72" s="5" t="inlineStr">
        <is>
          <t>https://fuelmap.co.uk/forecourt/612/</t>
        </is>
      </c>
    </row>
    <row r="73">
      <c r="A73" s="10" t="inlineStr">
        <is>
          <t>UK-000251</t>
        </is>
      </c>
      <c r="B73" s="10" t="inlineStr">
        <is>
          <t>UK-000251-01</t>
        </is>
      </c>
      <c r="C73" s="10" t="inlineStr"/>
      <c r="D73" s="10" t="inlineStr">
        <is>
          <t>Greenroof Service Station</t>
        </is>
      </c>
      <c r="E73" s="10" t="inlineStr">
        <is>
          <t>Petrol Station / Forecourt</t>
        </is>
      </c>
      <c r="F73" s="10" t="inlineStr">
        <is>
          <t>Independent forecourt</t>
        </is>
      </c>
      <c r="G73" s="10" t="inlineStr">
        <is>
          <t>Independent</t>
        </is>
      </c>
      <c r="H73" s="10" t="inlineStr">
        <is>
          <t>1</t>
        </is>
      </c>
      <c r="I73" s="10" t="inlineStr">
        <is>
          <t>Low Street</t>
        </is>
      </c>
      <c r="J73" s="10" t="inlineStr">
        <is>
          <t>Goole</t>
        </is>
      </c>
      <c r="K73" s="10" t="inlineStr"/>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Low</t>
        </is>
      </c>
      <c r="AA73" s="10" t="inlineStr">
        <is>
          <t>Requires Verification</t>
        </is>
      </c>
      <c r="AB73" s="10" t="inlineStr">
        <is>
          <t>https://directory.hinckleytimes.net/search/scunthorpe/petrol-service-stations</t>
        </is>
      </c>
    </row>
    <row r="74">
      <c r="A74" s="5" t="inlineStr">
        <is>
          <t>WY-0092</t>
        </is>
      </c>
      <c r="B74" s="5" t="inlineStr">
        <is>
          <t>WY-0092-01</t>
        </is>
      </c>
      <c r="C74" s="5" t="inlineStr"/>
      <c r="D74" s="5" t="inlineStr">
        <is>
          <t>Gulf Service Station Featherstone</t>
        </is>
      </c>
      <c r="E74" s="5" t="inlineStr">
        <is>
          <t>Petrol Station / Forecourt</t>
        </is>
      </c>
      <c r="F74" s="5" t="inlineStr">
        <is>
          <t>Gulf-branded dealer forecourt with shop</t>
        </is>
      </c>
      <c r="G74" s="5" t="inlineStr">
        <is>
          <t>Independent</t>
        </is>
      </c>
      <c r="H74" s="5" t="inlineStr">
        <is>
          <t>1</t>
        </is>
      </c>
      <c r="I74" s="5" t="inlineStr">
        <is>
          <t>Wakefield Road</t>
        </is>
      </c>
      <c r="J74" s="5" t="inlineStr">
        <is>
          <t>Featherstone</t>
        </is>
      </c>
      <c r="K74" s="5" t="inlineStr">
        <is>
          <t>WF7 5BP</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https://www.yorkshire.com/featherstone/services/petrol-stations</t>
        </is>
      </c>
    </row>
    <row r="75">
      <c r="A75" s="10" t="inlineStr">
        <is>
          <t>WY-0094</t>
        </is>
      </c>
      <c r="B75" s="10" t="inlineStr">
        <is>
          <t>WY-0094-01</t>
        </is>
      </c>
      <c r="C75" s="10" t="inlineStr"/>
      <c r="D75" s="10" t="inlineStr">
        <is>
          <t>Hang Sing Hong</t>
        </is>
      </c>
      <c r="E75" s="10" t="inlineStr">
        <is>
          <t>Independent Supermarket</t>
        </is>
      </c>
      <c r="F75" s="10" t="inlineStr">
        <is>
          <t>Chinese / Oriental supermarket</t>
        </is>
      </c>
      <c r="G75" s="10" t="inlineStr">
        <is>
          <t>Independent</t>
        </is>
      </c>
      <c r="H75" s="10" t="inlineStr">
        <is>
          <t>1</t>
        </is>
      </c>
      <c r="I75" s="10" t="inlineStr">
        <is>
          <t>117-119 Vicar Lane</t>
        </is>
      </c>
      <c r="J75" s="10" t="inlineStr">
        <is>
          <t>Leeds</t>
        </is>
      </c>
      <c r="K75" s="10" t="inlineStr">
        <is>
          <t>LS1 6PJ</t>
        </is>
      </c>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Medium</t>
        </is>
      </c>
      <c r="AA75" s="10" t="inlineStr">
        <is>
          <t>Requires Verification</t>
        </is>
      </c>
      <c r="AB75" s="10" t="inlineStr">
        <is>
          <t>https://www.yelp.co.uk/biz/hang-sing-hong-leeds-2</t>
        </is>
      </c>
    </row>
    <row r="76">
      <c r="A76" s="5" t="inlineStr">
        <is>
          <t>UK-000253</t>
        </is>
      </c>
      <c r="B76" s="5" t="inlineStr">
        <is>
          <t>UK-000253-01</t>
        </is>
      </c>
      <c r="C76" s="5" t="inlineStr"/>
      <c r="D76" s="5" t="inlineStr">
        <is>
          <t>Haris&amp;Co Supermarket</t>
        </is>
      </c>
      <c r="E76" s="5" t="inlineStr">
        <is>
          <t>Independent Supermarket</t>
        </is>
      </c>
      <c r="F76" s="5" t="inlineStr">
        <is>
          <t>International / world foods supermarket</t>
        </is>
      </c>
      <c r="G76" s="5" t="inlineStr">
        <is>
          <t>Independent</t>
        </is>
      </c>
      <c r="H76" s="5" t="inlineStr">
        <is>
          <t>1</t>
        </is>
      </c>
      <c r="I76" s="5" t="inlineStr">
        <is>
          <t>Terry Street</t>
        </is>
      </c>
      <c r="J76" s="5" t="inlineStr">
        <is>
          <t>Kingston upon Hull</t>
        </is>
      </c>
      <c r="K76" s="5" t="inlineStr">
        <is>
          <t>HU3 1TY</t>
        </is>
      </c>
      <c r="L76" s="5" t="inlineStr"/>
      <c r="M76" s="5" t="inlineStr"/>
      <c r="N76" s="5" t="inlineStr"/>
      <c r="O76" s="5" t="inlineStr">
        <is>
          <t>https://harrisandco.vercel.app</t>
        </is>
      </c>
      <c r="P76" s="5" t="inlineStr"/>
      <c r="Q76" s="5" t="inlineStr"/>
      <c r="R76" s="5" t="inlineStr"/>
      <c r="S76" s="5" t="inlineStr"/>
      <c r="T76" s="5" t="inlineStr"/>
      <c r="U76" s="5" t="inlineStr"/>
      <c r="V76" s="5" t="inlineStr">
        <is>
          <t>Medium</t>
        </is>
      </c>
      <c r="W76" s="5" t="inlineStr">
        <is>
          <t>Independent retailer; Relevant category; Active website</t>
        </is>
      </c>
      <c r="X76" s="5" t="inlineStr">
        <is>
          <t>Not Found</t>
        </is>
      </c>
      <c r="Y76" s="5" t="inlineStr">
        <is>
          <t>Not Found</t>
        </is>
      </c>
      <c r="Z76" s="5" t="inlineStr">
        <is>
          <t>Medium</t>
        </is>
      </c>
      <c r="AA76" s="5" t="inlineStr">
        <is>
          <t>Partially Verified</t>
        </is>
      </c>
      <c r="AB76" s="5" t="inlineStr">
        <is>
          <t>https://harrisandco.vercel.app/</t>
        </is>
      </c>
    </row>
    <row r="77">
      <c r="A77" s="10" t="inlineStr">
        <is>
          <t>UK-000254</t>
        </is>
      </c>
      <c r="B77" s="10" t="inlineStr">
        <is>
          <t>UK-000254-01</t>
        </is>
      </c>
      <c r="C77" s="10" t="inlineStr"/>
      <c r="D77" s="10" t="inlineStr">
        <is>
          <t>Harvest Service Station</t>
        </is>
      </c>
      <c r="E77" s="10" t="inlineStr">
        <is>
          <t>Petrol Station / Forecourt</t>
        </is>
      </c>
      <c r="F77" s="10" t="inlineStr">
        <is>
          <t>Independent forecourt with convenience store</t>
        </is>
      </c>
      <c r="G77" s="10" t="inlineStr">
        <is>
          <t>Independent</t>
        </is>
      </c>
      <c r="H77" s="10" t="inlineStr">
        <is>
          <t>1</t>
        </is>
      </c>
      <c r="I77" s="10" t="inlineStr">
        <is>
          <t>Wheatley Hall Road</t>
        </is>
      </c>
      <c r="J77" s="10" t="inlineStr">
        <is>
          <t>Doncaster</t>
        </is>
      </c>
      <c r="K77" s="10" t="inlineStr"/>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Low</t>
        </is>
      </c>
      <c r="AA77" s="10" t="inlineStr">
        <is>
          <t>Requires Verification</t>
        </is>
      </c>
      <c r="AB77" s="10" t="inlineStr">
        <is>
          <t>https://www.mylocalservices.co.uk/24+Hr+Petrol+Stations-Doncaster.html</t>
        </is>
      </c>
    </row>
    <row r="78">
      <c r="A78" s="5" t="inlineStr">
        <is>
          <t>WY-0095</t>
        </is>
      </c>
      <c r="B78" s="5" t="inlineStr">
        <is>
          <t>WY-0095-01</t>
        </is>
      </c>
      <c r="C78" s="5" t="inlineStr"/>
      <c r="D78" s="5" t="inlineStr">
        <is>
          <t>Heckmondwike Service Station</t>
        </is>
      </c>
      <c r="E78" s="5" t="inlineStr">
        <is>
          <t>Petrol Station / Forecourt</t>
        </is>
      </c>
      <c r="F78" s="5" t="inlineStr">
        <is>
          <t>BP-branded forecourt with shop</t>
        </is>
      </c>
      <c r="G78" s="5" t="inlineStr">
        <is>
          <t>Unknown</t>
        </is>
      </c>
      <c r="H78" s="5" t="inlineStr">
        <is>
          <t>1</t>
        </is>
      </c>
      <c r="I78" s="5" t="inlineStr">
        <is>
          <t>Halifax Road</t>
        </is>
      </c>
      <c r="J78" s="5" t="inlineStr">
        <is>
          <t>Heckmondwike</t>
        </is>
      </c>
      <c r="K78" s="5" t="inlineStr"/>
      <c r="L78" s="5" t="inlineStr"/>
      <c r="M78" s="5" t="inlineStr"/>
      <c r="N78" s="5" t="inlineStr"/>
      <c r="O78" s="5" t="inlineStr"/>
      <c r="P78" s="5" t="inlineStr"/>
      <c r="Q78" s="5" t="inlineStr"/>
      <c r="R78" s="5" t="inlineStr"/>
      <c r="S78" s="5" t="inlineStr"/>
      <c r="T78" s="5" t="inlineStr"/>
      <c r="U78" s="5" t="inlineStr"/>
      <c r="V78" s="5" t="inlineStr">
        <is>
          <t>Low</t>
        </is>
      </c>
      <c r="W78" s="5" t="inlineStr">
        <is>
          <t>Relevant category</t>
        </is>
      </c>
      <c r="X78" s="5" t="inlineStr">
        <is>
          <t>Not Found</t>
        </is>
      </c>
      <c r="Y78" s="5" t="inlineStr">
        <is>
          <t>Not Found</t>
        </is>
      </c>
      <c r="Z78" s="5" t="inlineStr">
        <is>
          <t>Low</t>
        </is>
      </c>
      <c r="AA78" s="5" t="inlineStr">
        <is>
          <t>Requires Verification</t>
        </is>
      </c>
      <c r="AB78" s="5" t="inlineStr">
        <is>
          <t>https://map.bp.com/en-US/GB/gas-station/dewsbury/heckmondwike-service-station/137101962</t>
        </is>
      </c>
    </row>
    <row r="79">
      <c r="A79" s="10" t="inlineStr">
        <is>
          <t>UK-000255</t>
        </is>
      </c>
      <c r="B79" s="10" t="inlineStr">
        <is>
          <t>UK-000255-01</t>
        </is>
      </c>
      <c r="C79" s="10" t="inlineStr"/>
      <c r="D79" s="10" t="inlineStr">
        <is>
          <t>Hillsborough Vape Lounge</t>
        </is>
      </c>
      <c r="E79" s="10" t="inlineStr">
        <is>
          <t>Vape Shop</t>
        </is>
      </c>
      <c r="F79" s="10" t="inlineStr">
        <is>
          <t>E-cigarette and e-liquid shop</t>
        </is>
      </c>
      <c r="G79" s="10" t="inlineStr">
        <is>
          <t>Independent</t>
        </is>
      </c>
      <c r="H79" s="10" t="inlineStr">
        <is>
          <t>1</t>
        </is>
      </c>
      <c r="I79" s="10" t="inlineStr">
        <is>
          <t>66 Owlerton Green</t>
        </is>
      </c>
      <c r="J79" s="10" t="inlineStr">
        <is>
          <t>Sheffield</t>
        </is>
      </c>
      <c r="K79" s="10" t="inlineStr">
        <is>
          <t>S6 2BH</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Not Found</t>
        </is>
      </c>
      <c r="Y79" s="10" t="inlineStr">
        <is>
          <t>Not Found</t>
        </is>
      </c>
      <c r="Z79" s="10" t="inlineStr">
        <is>
          <t>Low</t>
        </is>
      </c>
      <c r="AA79" s="10" t="inlineStr">
        <is>
          <t>Requires Verification</t>
        </is>
      </c>
      <c r="AB79" s="10" t="inlineStr">
        <is>
          <t>https://ecigdirectory.co.uk/vape-shop/listing/hillsborough-vape-lounge-sheffield</t>
        </is>
      </c>
    </row>
    <row r="80">
      <c r="A80" s="5" t="inlineStr">
        <is>
          <t>UK-000256</t>
        </is>
      </c>
      <c r="B80" s="5" t="inlineStr">
        <is>
          <t>UK-000256-01</t>
        </is>
      </c>
      <c r="C80" s="5" t="inlineStr"/>
      <c r="D80" s="5" t="inlineStr">
        <is>
          <t>Holderness Convenience &amp; Spirits</t>
        </is>
      </c>
      <c r="E80" s="5" t="inlineStr">
        <is>
          <t>Off-Licence</t>
        </is>
      </c>
      <c r="F80" s="5" t="inlineStr">
        <is>
          <t>Off-licence / convenience</t>
        </is>
      </c>
      <c r="G80" s="5" t="inlineStr">
        <is>
          <t>Independent</t>
        </is>
      </c>
      <c r="H80" s="5" t="inlineStr">
        <is>
          <t>1</t>
        </is>
      </c>
      <c r="I80" s="5" t="inlineStr">
        <is>
          <t>Holderness Road</t>
        </is>
      </c>
      <c r="J80" s="5" t="inlineStr">
        <is>
          <t>Kingston upon Hull</t>
        </is>
      </c>
      <c r="K80" s="5" t="inlineStr"/>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https://www.yorkshire.com/hull/shopping/off-license/holderness-convenience-spirits</t>
        </is>
      </c>
    </row>
    <row r="81">
      <c r="A81" s="10" t="inlineStr">
        <is>
          <t>WY-0096</t>
        </is>
      </c>
      <c r="B81" s="10" t="inlineStr">
        <is>
          <t>WY-0096-01</t>
        </is>
      </c>
      <c r="C81" s="10" t="inlineStr"/>
      <c r="D81" s="10" t="inlineStr">
        <is>
          <t>Hopes News</t>
        </is>
      </c>
      <c r="E81" s="10" t="inlineStr">
        <is>
          <t>Newsagent</t>
        </is>
      </c>
      <c r="F81" s="10" t="inlineStr">
        <is>
          <t>Newsagent / off-licence</t>
        </is>
      </c>
      <c r="G81" s="10" t="inlineStr">
        <is>
          <t>Independent</t>
        </is>
      </c>
      <c r="H81" s="10" t="inlineStr">
        <is>
          <t>1</t>
        </is>
      </c>
      <c r="I81" s="10" t="inlineStr">
        <is>
          <t>Otley Road</t>
        </is>
      </c>
      <c r="J81" s="10" t="inlineStr">
        <is>
          <t>Shipley</t>
        </is>
      </c>
      <c r="K81" s="10" t="inlineStr"/>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https://www.yorkshire.com/shipley/shopping/off-license/hopes-news</t>
        </is>
      </c>
    </row>
    <row r="82">
      <c r="A82" s="5" t="inlineStr">
        <is>
          <t>WY-0098</t>
        </is>
      </c>
      <c r="B82" s="5" t="inlineStr">
        <is>
          <t>WY-0098-01</t>
        </is>
      </c>
      <c r="C82" s="5" t="inlineStr"/>
      <c r="D82" s="5" t="inlineStr">
        <is>
          <t>Ilkley Convenience Store</t>
        </is>
      </c>
      <c r="E82" s="5" t="inlineStr">
        <is>
          <t>Convenience Store</t>
        </is>
      </c>
      <c r="F82" s="5" t="inlineStr">
        <is>
          <t>Neighbourhood convenience store</t>
        </is>
      </c>
      <c r="G82" s="5" t="inlineStr">
        <is>
          <t>Independent</t>
        </is>
      </c>
      <c r="H82" s="5" t="inlineStr">
        <is>
          <t>1</t>
        </is>
      </c>
      <c r="I82" s="5" t="inlineStr">
        <is>
          <t>Valley Drive</t>
        </is>
      </c>
      <c r="J82" s="5" t="inlineStr">
        <is>
          <t>Ilkley</t>
        </is>
      </c>
      <c r="K82" s="5" t="inlineStr"/>
      <c r="L82" s="5" t="inlineStr"/>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Not Found</t>
        </is>
      </c>
      <c r="Y82" s="5" t="inlineStr">
        <is>
          <t>Not Found</t>
        </is>
      </c>
      <c r="Z82" s="5" t="inlineStr">
        <is>
          <t>Low</t>
        </is>
      </c>
      <c r="AA82" s="5" t="inlineStr">
        <is>
          <t>Requires Verification</t>
        </is>
      </c>
      <c r="AB82" s="5" t="inlineStr">
        <is>
          <t>https://www.yorkshire.com/ilkley/shopping/corner-shops/ilkley-convenience-store</t>
        </is>
      </c>
    </row>
    <row r="83">
      <c r="A83" s="10" t="inlineStr">
        <is>
          <t>WY-0099</t>
        </is>
      </c>
      <c r="B83" s="10" t="inlineStr">
        <is>
          <t>WY-0099-01</t>
        </is>
      </c>
      <c r="C83" s="10" t="inlineStr"/>
      <c r="D83" s="10" t="inlineStr">
        <is>
          <t>International Foods</t>
        </is>
      </c>
      <c r="E83" s="10" t="inlineStr">
        <is>
          <t>Independent Supermarket</t>
        </is>
      </c>
      <c r="F83" s="10" t="inlineStr">
        <is>
          <t>South Asian supermarket with halal meat</t>
        </is>
      </c>
      <c r="G83" s="10" t="inlineStr">
        <is>
          <t>Independent</t>
        </is>
      </c>
      <c r="H83" s="10" t="inlineStr">
        <is>
          <t>1</t>
        </is>
      </c>
      <c r="I83" s="10" t="inlineStr">
        <is>
          <t>166 Harehills Lane</t>
        </is>
      </c>
      <c r="J83" s="10" t="inlineStr">
        <is>
          <t>Leeds</t>
        </is>
      </c>
      <c r="K83" s="10" t="inlineStr">
        <is>
          <t>LS8 5JP</t>
        </is>
      </c>
      <c r="L83" s="10" t="inlineStr"/>
      <c r="M83" s="10" t="inlineStr"/>
      <c r="N83" s="10" t="inlineStr"/>
      <c r="O83" s="10" t="inlineStr"/>
      <c r="P83" s="10" t="inlineStr"/>
      <c r="Q83" s="10" t="inlineStr"/>
      <c r="R83" s="10" t="inlineStr"/>
      <c r="S83" s="10" t="inlineStr"/>
      <c r="T83" s="10" t="inlineStr">
        <is>
          <t>09552908</t>
        </is>
      </c>
      <c r="U83" s="10" t="inlineStr"/>
      <c r="V83" s="10" t="inlineStr">
        <is>
          <t>Low</t>
        </is>
      </c>
      <c r="W83" s="10" t="inlineStr">
        <is>
          <t>Independent retailer; Relevant category</t>
        </is>
      </c>
      <c r="X83" s="10" t="inlineStr">
        <is>
          <t>Not Found</t>
        </is>
      </c>
      <c r="Y83" s="10" t="inlineStr">
        <is>
          <t>Not Found</t>
        </is>
      </c>
      <c r="Z83" s="10" t="inlineStr">
        <is>
          <t>Medium</t>
        </is>
      </c>
      <c r="AA83" s="10" t="inlineStr">
        <is>
          <t>Partially Verified</t>
        </is>
      </c>
      <c r="AB83" s="10" t="inlineStr">
        <is>
          <t>https://find-and-update.company-information.service.gov.uk/company/09552908</t>
        </is>
      </c>
    </row>
    <row r="84">
      <c r="A84" s="5" t="inlineStr">
        <is>
          <t>UK-000258</t>
        </is>
      </c>
      <c r="B84" s="5" t="inlineStr">
        <is>
          <t>UK-000258-01</t>
        </is>
      </c>
      <c r="C84" s="5" t="inlineStr"/>
      <c r="D84" s="5" t="inlineStr">
        <is>
          <t>Jaan Lounge</t>
        </is>
      </c>
      <c r="E84" s="5" t="inlineStr">
        <is>
          <t>Smoke / Shisha Shop</t>
        </is>
      </c>
      <c r="F84" s="5" t="inlineStr">
        <is>
          <t>Cafe and shisha lounge</t>
        </is>
      </c>
      <c r="G84" s="5" t="inlineStr">
        <is>
          <t>Independent</t>
        </is>
      </c>
      <c r="H84" s="5" t="inlineStr">
        <is>
          <t>1</t>
        </is>
      </c>
      <c r="I84" s="5" t="inlineStr"/>
      <c r="J84" s="5" t="inlineStr">
        <is>
          <t>Sheffield</t>
        </is>
      </c>
      <c r="K84" s="5" t="inlineStr"/>
      <c r="L84" s="5" t="inlineStr"/>
      <c r="M84" s="5" t="inlineStr"/>
      <c r="N84" s="5" t="inlineStr"/>
      <c r="O84" s="5" t="inlineStr">
        <is>
          <t>https://www.jaanlounge.com/</t>
        </is>
      </c>
      <c r="P84" s="5" t="inlineStr"/>
      <c r="Q84" s="5" t="inlineStr"/>
      <c r="R84" s="5" t="inlineStr"/>
      <c r="S84" s="5" t="inlineStr"/>
      <c r="T84" s="5" t="inlineStr"/>
      <c r="U84" s="5" t="inlineStr"/>
      <c r="V84" s="5" t="inlineStr">
        <is>
          <t>Medium</t>
        </is>
      </c>
      <c r="W84" s="5" t="inlineStr">
        <is>
          <t>Independent retailer; Core relevant category; Active website</t>
        </is>
      </c>
      <c r="X84" s="5" t="inlineStr">
        <is>
          <t>Not Found</t>
        </is>
      </c>
      <c r="Y84" s="5" t="inlineStr">
        <is>
          <t>Website Found</t>
        </is>
      </c>
      <c r="Z84" s="5" t="inlineStr">
        <is>
          <t>Low</t>
        </is>
      </c>
      <c r="AA84" s="5" t="inlineStr">
        <is>
          <t>Requires Verification</t>
        </is>
      </c>
      <c r="AB84" s="5" t="inlineStr">
        <is>
          <t>https://www.jaanlounge.com/</t>
        </is>
      </c>
    </row>
    <row r="85">
      <c r="A85" s="10" t="inlineStr">
        <is>
          <t>UK-000259</t>
        </is>
      </c>
      <c r="B85" s="10" t="inlineStr">
        <is>
          <t>UK-000259-01</t>
        </is>
      </c>
      <c r="C85" s="10" t="inlineStr"/>
      <c r="D85" s="10" t="inlineStr">
        <is>
          <t>Jah's Off Licence</t>
        </is>
      </c>
      <c r="E85" s="10" t="inlineStr">
        <is>
          <t>Off-Licence</t>
        </is>
      </c>
      <c r="F85" s="10" t="inlineStr">
        <is>
          <t>Off-licence / convenience</t>
        </is>
      </c>
      <c r="G85" s="10" t="inlineStr">
        <is>
          <t>Independent</t>
        </is>
      </c>
      <c r="H85" s="10" t="inlineStr">
        <is>
          <t>1</t>
        </is>
      </c>
      <c r="I85" s="10" t="inlineStr">
        <is>
          <t>141 London Road</t>
        </is>
      </c>
      <c r="J85" s="10" t="inlineStr">
        <is>
          <t>Sheffield</t>
        </is>
      </c>
      <c r="K85" s="10" t="inlineStr">
        <is>
          <t>S2 4LE</t>
        </is>
      </c>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Low</t>
        </is>
      </c>
      <c r="AA85" s="10" t="inlineStr">
        <is>
          <t>Requires Verification</t>
        </is>
      </c>
      <c r="AB85" s="10" t="inlineStr">
        <is>
          <t>https://www.locallife.co.uk/sheffield/off-licences.asp</t>
        </is>
      </c>
    </row>
    <row r="86">
      <c r="A86" s="5" t="inlineStr">
        <is>
          <t>UK-000260</t>
        </is>
      </c>
      <c r="B86" s="5" t="inlineStr">
        <is>
          <t>UK-000260-01</t>
        </is>
      </c>
      <c r="C86" s="5" t="inlineStr"/>
      <c r="D86" s="5" t="inlineStr">
        <is>
          <t>Juice &amp; Coil Co</t>
        </is>
      </c>
      <c r="E86" s="5" t="inlineStr">
        <is>
          <t>Vape Shop</t>
        </is>
      </c>
      <c r="F86" s="5" t="inlineStr">
        <is>
          <t>E-liquid and coil specialist</t>
        </is>
      </c>
      <c r="G86" s="5" t="inlineStr">
        <is>
          <t>Independent</t>
        </is>
      </c>
      <c r="H86" s="5" t="inlineStr">
        <is>
          <t>1</t>
        </is>
      </c>
      <c r="I86" s="5" t="inlineStr">
        <is>
          <t>851 Chesterfield Road</t>
        </is>
      </c>
      <c r="J86" s="5" t="inlineStr">
        <is>
          <t>Sheffield</t>
        </is>
      </c>
      <c r="K86" s="5" t="inlineStr">
        <is>
          <t>S8 0SQ</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Independent retailer; Core relevant category</t>
        </is>
      </c>
      <c r="X86" s="5" t="inlineStr">
        <is>
          <t>Not Found</t>
        </is>
      </c>
      <c r="Y86" s="5" t="inlineStr">
        <is>
          <t>Not Found</t>
        </is>
      </c>
      <c r="Z86" s="5" t="inlineStr">
        <is>
          <t>Low</t>
        </is>
      </c>
      <c r="AA86" s="5" t="inlineStr">
        <is>
          <t>Requires Verification</t>
        </is>
      </c>
      <c r="AB86" s="5" t="inlineStr">
        <is>
          <t>https://www.yelp.com/search?cflt=vapeshops&amp;find_loc=Unit+12+Parkway+Close%2C+Sheffield+S9+4WJ%2C+United+Kingdom</t>
        </is>
      </c>
    </row>
    <row r="87">
      <c r="A87" s="10" t="inlineStr">
        <is>
          <t>UK-000261</t>
        </is>
      </c>
      <c r="B87" s="10" t="inlineStr">
        <is>
          <t>UK-000261-01</t>
        </is>
      </c>
      <c r="C87" s="10" t="inlineStr"/>
      <c r="D87" s="10" t="inlineStr">
        <is>
          <t>Kaplan Fast Food Cash &amp; Carry</t>
        </is>
      </c>
      <c r="E87" s="10" t="inlineStr">
        <is>
          <t>Cash &amp; Carry</t>
        </is>
      </c>
      <c r="F87" s="10" t="inlineStr">
        <is>
          <t>Foodservice wholesale</t>
        </is>
      </c>
      <c r="G87" s="10" t="inlineStr">
        <is>
          <t>Independent</t>
        </is>
      </c>
      <c r="H87" s="10" t="inlineStr">
        <is>
          <t>1</t>
        </is>
      </c>
      <c r="I87" s="10" t="inlineStr">
        <is>
          <t>7 Flinton Street</t>
        </is>
      </c>
      <c r="J87" s="10" t="inlineStr">
        <is>
          <t>Kingston upon Hull</t>
        </is>
      </c>
      <c r="K87" s="10" t="inlineStr"/>
      <c r="L87" s="10" t="inlineStr"/>
      <c r="M87" s="10" t="inlineStr"/>
      <c r="N87" s="10" t="inlineStr"/>
      <c r="O87" s="10" t="inlineStr"/>
      <c r="P87" s="10" t="inlineStr">
        <is>
          <t>https://www.facebook.com/people/Kaplan-Fast-Food-Cash-Carry/61558997515973/</t>
        </is>
      </c>
      <c r="Q87" s="10" t="inlineStr"/>
      <c r="R87" s="10" t="inlineStr"/>
      <c r="S87" s="10" t="inlineStr"/>
      <c r="T87" s="10" t="inlineStr"/>
      <c r="U87" s="10" t="inlineStr"/>
      <c r="V87" s="10" t="inlineStr">
        <is>
          <t>Medium</t>
        </is>
      </c>
      <c r="W87" s="10" t="inlineStr">
        <is>
          <t>Independent retailer; Core relevant category; Social presence</t>
        </is>
      </c>
      <c r="X87" s="10" t="inlineStr">
        <is>
          <t>Not Found</t>
        </is>
      </c>
      <c r="Y87" s="10" t="inlineStr">
        <is>
          <t>Not Found</t>
        </is>
      </c>
      <c r="Z87" s="10" t="inlineStr">
        <is>
          <t>Low</t>
        </is>
      </c>
      <c r="AA87" s="10" t="inlineStr">
        <is>
          <t>Requires Verification</t>
        </is>
      </c>
      <c r="AB87" s="10" t="inlineStr">
        <is>
          <t>https://www.facebook.com/people/Kaplan-Fast-Food-Cash-Carry/61558997515973/</t>
        </is>
      </c>
    </row>
    <row r="88">
      <c r="A88" s="5" t="inlineStr">
        <is>
          <t>WY-0104</t>
        </is>
      </c>
      <c r="B88" s="5" t="inlineStr">
        <is>
          <t>WY-0104-01</t>
        </is>
      </c>
      <c r="C88" s="5" t="inlineStr"/>
      <c r="D88" s="5" t="inlineStr">
        <is>
          <t>Keep In Touch</t>
        </is>
      </c>
      <c r="E88" s="5" t="inlineStr">
        <is>
          <t>Newsagent</t>
        </is>
      </c>
      <c r="F88" s="5" t="inlineStr">
        <is>
          <t>Newsagent</t>
        </is>
      </c>
      <c r="G88" s="5" t="inlineStr">
        <is>
          <t>Independent</t>
        </is>
      </c>
      <c r="H88" s="5" t="inlineStr">
        <is>
          <t>1</t>
        </is>
      </c>
      <c r="I88" s="5" t="inlineStr">
        <is>
          <t>5 Albion Street</t>
        </is>
      </c>
      <c r="J88" s="5" t="inlineStr">
        <is>
          <t>Castleford</t>
        </is>
      </c>
      <c r="K88" s="5" t="inlineStr">
        <is>
          <t>WF10 1EG</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https://www.192.com/atoz/business/castleford-wf10/newsagents/keep-in-touch/645f3ab15b4cb6acdbc0eb9ef27c5a71438678bb/ml/</t>
        </is>
      </c>
    </row>
    <row r="89">
      <c r="A89" s="10" t="inlineStr">
        <is>
          <t>WY-0105</t>
        </is>
      </c>
      <c r="B89" s="10" t="inlineStr">
        <is>
          <t>WY-0105-01</t>
        </is>
      </c>
      <c r="C89" s="10" t="inlineStr"/>
      <c r="D89" s="10" t="inlineStr">
        <is>
          <t>Keighley Newsagent</t>
        </is>
      </c>
      <c r="E89" s="10" t="inlineStr">
        <is>
          <t>Newsagent</t>
        </is>
      </c>
      <c r="F89" s="10" t="inlineStr">
        <is>
          <t>Town-centre newsagent</t>
        </is>
      </c>
      <c r="G89" s="10" t="inlineStr">
        <is>
          <t>Independent</t>
        </is>
      </c>
      <c r="H89" s="10" t="inlineStr">
        <is>
          <t>1</t>
        </is>
      </c>
      <c r="I89" s="10" t="inlineStr">
        <is>
          <t>125 North Street</t>
        </is>
      </c>
      <c r="J89" s="10" t="inlineStr">
        <is>
          <t>Keighley</t>
        </is>
      </c>
      <c r="K89" s="10" t="inlineStr">
        <is>
          <t>BD21 3AD</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https://directory.bradfordpages.co.uk/company/504571861241856</t>
        </is>
      </c>
    </row>
    <row r="90">
      <c r="A90" s="5" t="inlineStr">
        <is>
          <t>UK-000262</t>
        </is>
      </c>
      <c r="B90" s="5" t="inlineStr">
        <is>
          <t>UK-000262-01</t>
        </is>
      </c>
      <c r="C90" s="5" t="inlineStr"/>
      <c r="D90" s="5" t="inlineStr">
        <is>
          <t>Kick Ash Vapes Cleethorpes</t>
        </is>
      </c>
      <c r="E90" s="5" t="inlineStr">
        <is>
          <t>Vape Shop</t>
        </is>
      </c>
      <c r="F90" s="5" t="inlineStr">
        <is>
          <t>Vape shop</t>
        </is>
      </c>
      <c r="G90" s="5" t="inlineStr">
        <is>
          <t>Independent</t>
        </is>
      </c>
      <c r="H90" s="5" t="inlineStr">
        <is>
          <t>1</t>
        </is>
      </c>
      <c r="I90" s="5" t="inlineStr">
        <is>
          <t>201 Grimsby Road</t>
        </is>
      </c>
      <c r="J90" s="5" t="inlineStr">
        <is>
          <t>Cleethorpes</t>
        </is>
      </c>
      <c r="K90" s="5" t="inlineStr">
        <is>
          <t>DN35 7HB</t>
        </is>
      </c>
      <c r="L90" s="5" t="inlineStr"/>
      <c r="M90" s="5" t="inlineStr"/>
      <c r="N90" s="5" t="inlineStr"/>
      <c r="O90" s="5" t="inlineStr"/>
      <c r="P90" s="5" t="inlineStr"/>
      <c r="Q90" s="5" t="inlineStr"/>
      <c r="R90" s="5" t="inlineStr"/>
      <c r="S90" s="5" t="inlineStr"/>
      <c r="T90" s="5" t="inlineStr"/>
      <c r="U90" s="5" t="inlineStr"/>
      <c r="V90" s="5" t="inlineStr">
        <is>
          <t>Medium</t>
        </is>
      </c>
      <c r="W90" s="5" t="inlineStr">
        <is>
          <t>Independent retailer; Core relevant category</t>
        </is>
      </c>
      <c r="X90" s="5" t="inlineStr">
        <is>
          <t>Not Found</t>
        </is>
      </c>
      <c r="Y90" s="5" t="inlineStr">
        <is>
          <t>Not Found</t>
        </is>
      </c>
      <c r="Z90" s="5" t="inlineStr">
        <is>
          <t>Low</t>
        </is>
      </c>
      <c r="AA90" s="5" t="inlineStr">
        <is>
          <t>Requires Verification</t>
        </is>
      </c>
      <c r="AB90" s="5" t="inlineStr">
        <is>
          <t>https://kick-ash-vapes-cleethorpes.wheree.com/</t>
        </is>
      </c>
    </row>
    <row r="91">
      <c r="A91" s="10" t="inlineStr">
        <is>
          <t>UK-000263</t>
        </is>
      </c>
      <c r="B91" s="10" t="inlineStr">
        <is>
          <t>UK-000263-01</t>
        </is>
      </c>
      <c r="C91" s="10" t="inlineStr"/>
      <c r="D91" s="10" t="inlineStr">
        <is>
          <t>Kings Lites Acomb</t>
        </is>
      </c>
      <c r="E91" s="10" t="inlineStr">
        <is>
          <t>Vape Shop</t>
        </is>
      </c>
      <c r="F91" s="10" t="inlineStr">
        <is>
          <t>Vaping specialist</t>
        </is>
      </c>
      <c r="G91" s="10" t="inlineStr">
        <is>
          <t>Independent</t>
        </is>
      </c>
      <c r="H91" s="10" t="inlineStr">
        <is>
          <t>1</t>
        </is>
      </c>
      <c r="I91" s="10" t="inlineStr"/>
      <c r="J91" s="10" t="inlineStr">
        <is>
          <t>York</t>
        </is>
      </c>
      <c r="K91" s="10" t="inlineStr"/>
      <c r="L91" s="10" t="inlineStr"/>
      <c r="M91" s="10" t="inlineStr"/>
      <c r="N91" s="10" t="inlineStr"/>
      <c r="O91" s="10" t="inlineStr">
        <is>
          <t>https://www.kingslites.co.uk/acomb</t>
        </is>
      </c>
      <c r="P91" s="10" t="inlineStr"/>
      <c r="Q91" s="10" t="inlineStr"/>
      <c r="R91" s="10" t="inlineStr"/>
      <c r="S91" s="10" t="inlineStr"/>
      <c r="T91" s="10" t="inlineStr"/>
      <c r="U91" s="10" t="inlineStr"/>
      <c r="V91" s="10" t="inlineStr">
        <is>
          <t>Medium</t>
        </is>
      </c>
      <c r="W91" s="10" t="inlineStr">
        <is>
          <t>Independent retailer; Core relevant category; Active website</t>
        </is>
      </c>
      <c r="X91" s="10" t="inlineStr">
        <is>
          <t>Not Found</t>
        </is>
      </c>
      <c r="Y91" s="10" t="inlineStr">
        <is>
          <t>Website Found</t>
        </is>
      </c>
      <c r="Z91" s="10" t="inlineStr">
        <is>
          <t>Low</t>
        </is>
      </c>
      <c r="AA91" s="10" t="inlineStr">
        <is>
          <t>Requires Verification</t>
        </is>
      </c>
      <c r="AB91" s="10" t="inlineStr">
        <is>
          <t>https://www.kingslites.co.uk/acomb</t>
        </is>
      </c>
    </row>
    <row r="92">
      <c r="A92" s="5" t="inlineStr">
        <is>
          <t>WY-0107</t>
        </is>
      </c>
      <c r="B92" s="5" t="inlineStr">
        <is>
          <t>WY-0107-01</t>
        </is>
      </c>
      <c r="C92" s="5" t="inlineStr"/>
      <c r="D92" s="5" t="inlineStr">
        <is>
          <t>Kubus International Food</t>
        </is>
      </c>
      <c r="E92" s="5" t="inlineStr">
        <is>
          <t>Convenience Store</t>
        </is>
      </c>
      <c r="F92" s="5" t="inlineStr">
        <is>
          <t>International / Eastern European grocery and convenience</t>
        </is>
      </c>
      <c r="G92" s="5" t="inlineStr">
        <is>
          <t>Independent</t>
        </is>
      </c>
      <c r="H92" s="5" t="inlineStr">
        <is>
          <t>1</t>
        </is>
      </c>
      <c r="I92" s="5" t="inlineStr">
        <is>
          <t>86 Kirkgate</t>
        </is>
      </c>
      <c r="J92" s="5" t="inlineStr">
        <is>
          <t>Wakefield</t>
        </is>
      </c>
      <c r="K92" s="5" t="inlineStr"/>
      <c r="L92" s="5" t="inlineStr"/>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Not Found</t>
        </is>
      </c>
      <c r="Y92" s="5" t="inlineStr">
        <is>
          <t>Not Found</t>
        </is>
      </c>
      <c r="Z92" s="5" t="inlineStr">
        <is>
          <t>Low</t>
        </is>
      </c>
      <c r="AA92" s="5" t="inlineStr">
        <is>
          <t>Requires Verification</t>
        </is>
      </c>
      <c r="AB92" s="5" t="inlineStr">
        <is>
          <t>https://www.yorkshire.com/wakefield/shopping/corner-shops/kubus-international-food</t>
        </is>
      </c>
    </row>
    <row r="93">
      <c r="A93" s="10" t="inlineStr">
        <is>
          <t>UK-000264</t>
        </is>
      </c>
      <c r="B93" s="10" t="inlineStr">
        <is>
          <t>UK-000264-01</t>
        </is>
      </c>
      <c r="C93" s="10" t="inlineStr"/>
      <c r="D93" s="10" t="inlineStr">
        <is>
          <t>La Vana Restaurant &amp; Shisha</t>
        </is>
      </c>
      <c r="E93" s="10" t="inlineStr">
        <is>
          <t>Smoke / Shisha Shop</t>
        </is>
      </c>
      <c r="F93" s="10" t="inlineStr">
        <is>
          <t>Restaurant and shisha lounge</t>
        </is>
      </c>
      <c r="G93" s="10" t="inlineStr">
        <is>
          <t>Independent</t>
        </is>
      </c>
      <c r="H93" s="10" t="inlineStr">
        <is>
          <t>1</t>
        </is>
      </c>
      <c r="I93" s="10" t="inlineStr"/>
      <c r="J93" s="10" t="inlineStr">
        <is>
          <t>Kingston upon Hull</t>
        </is>
      </c>
      <c r="K93" s="10" t="inlineStr"/>
      <c r="L93" s="10" t="inlineStr"/>
      <c r="M93" s="10" t="inlineStr"/>
      <c r="N93" s="10" t="inlineStr"/>
      <c r="O93" s="10" t="inlineStr"/>
      <c r="P93" s="10" t="inlineStr">
        <is>
          <t>https://www.facebook.com/LaVanaShisha/</t>
        </is>
      </c>
      <c r="Q93" s="10" t="inlineStr"/>
      <c r="R93" s="10" t="inlineStr"/>
      <c r="S93" s="10" t="inlineStr"/>
      <c r="T93" s="10" t="inlineStr"/>
      <c r="U93" s="10" t="inlineStr"/>
      <c r="V93" s="10" t="inlineStr">
        <is>
          <t>Medium</t>
        </is>
      </c>
      <c r="W93" s="10" t="inlineStr">
        <is>
          <t>Independent retailer; Core relevant category; Social presence</t>
        </is>
      </c>
      <c r="X93" s="10" t="inlineStr">
        <is>
          <t>Not Found</t>
        </is>
      </c>
      <c r="Y93" s="10" t="inlineStr">
        <is>
          <t>Not Found</t>
        </is>
      </c>
      <c r="Z93" s="10" t="inlineStr">
        <is>
          <t>Low</t>
        </is>
      </c>
      <c r="AA93" s="10" t="inlineStr">
        <is>
          <t>Requires Verification</t>
        </is>
      </c>
      <c r="AB93" s="10" t="inlineStr">
        <is>
          <t>https://www.facebook.com/LaVanaShisha/</t>
        </is>
      </c>
    </row>
    <row r="94">
      <c r="A94" s="5" t="inlineStr">
        <is>
          <t>WY-0109</t>
        </is>
      </c>
      <c r="B94" s="5" t="inlineStr">
        <is>
          <t>WY-0109-01</t>
        </is>
      </c>
      <c r="C94" s="5" t="inlineStr"/>
      <c r="D94" s="5" t="inlineStr">
        <is>
          <t>Leeds Shisha Wholesale</t>
        </is>
      </c>
      <c r="E94" s="5" t="inlineStr">
        <is>
          <t>Smoke / Shisha Shop</t>
        </is>
      </c>
      <c r="F94" s="5" t="inlineStr">
        <is>
          <t>Shisha wholesale and retail supplier</t>
        </is>
      </c>
      <c r="G94" s="5" t="inlineStr">
        <is>
          <t>Independent</t>
        </is>
      </c>
      <c r="H94" s="5" t="inlineStr">
        <is>
          <t>1</t>
        </is>
      </c>
      <c r="I94" s="5" t="inlineStr"/>
      <c r="J94" s="5" t="inlineStr">
        <is>
          <t>Leeds</t>
        </is>
      </c>
      <c r="K94" s="5" t="inlineStr"/>
      <c r="L94" s="5" t="inlineStr"/>
      <c r="M94" s="5" t="inlineStr"/>
      <c r="N94" s="5" t="inlineStr"/>
      <c r="O94" s="5" t="inlineStr"/>
      <c r="P94" s="5" t="inlineStr">
        <is>
          <t>https://www.facebook.com/p/Leeds-Shisha-Wholesale-100066917521496/</t>
        </is>
      </c>
      <c r="Q94" s="5" t="inlineStr"/>
      <c r="R94" s="5" t="inlineStr"/>
      <c r="S94" s="5" t="inlineStr"/>
      <c r="T94" s="5" t="inlineStr"/>
      <c r="U94" s="5" t="inlineStr"/>
      <c r="V94" s="5" t="inlineStr">
        <is>
          <t>Medium</t>
        </is>
      </c>
      <c r="W94" s="5" t="inlineStr">
        <is>
          <t>Independent retailer; Core relevant category; Social presence</t>
        </is>
      </c>
      <c r="X94" s="5" t="inlineStr">
        <is>
          <t>Not Found</t>
        </is>
      </c>
      <c r="Y94" s="5" t="inlineStr">
        <is>
          <t>Not Found</t>
        </is>
      </c>
      <c r="Z94" s="5" t="inlineStr">
        <is>
          <t>Low</t>
        </is>
      </c>
      <c r="AA94" s="5" t="inlineStr">
        <is>
          <t>Requires Verification</t>
        </is>
      </c>
      <c r="AB94" s="5" t="inlineStr">
        <is>
          <t>https://www.facebook.com/p/Leeds-Shisha-Wholesale-100066917521496/</t>
        </is>
      </c>
    </row>
    <row r="95">
      <c r="A95" s="10" t="inlineStr">
        <is>
          <t>WY-0111</t>
        </is>
      </c>
      <c r="B95" s="10" t="inlineStr">
        <is>
          <t>WY-0111-01</t>
        </is>
      </c>
      <c r="C95" s="10" t="inlineStr"/>
      <c r="D95" s="10" t="inlineStr">
        <is>
          <t>Local Convenience Store (Elsinore Avenue)</t>
        </is>
      </c>
      <c r="E95" s="10" t="inlineStr">
        <is>
          <t>Convenience Store</t>
        </is>
      </c>
      <c r="F95" s="10" t="inlineStr"/>
      <c r="G95" s="10" t="inlineStr">
        <is>
          <t>Independent</t>
        </is>
      </c>
      <c r="H95" s="10" t="inlineStr">
        <is>
          <t>1</t>
        </is>
      </c>
      <c r="I95" s="10" t="inlineStr">
        <is>
          <t>12 Elsinore Avenue</t>
        </is>
      </c>
      <c r="J95" s="10" t="inlineStr">
        <is>
          <t>Elland</t>
        </is>
      </c>
      <c r="K95" s="10" t="inlineStr">
        <is>
          <t>HX5 0LT</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https://www.yorkshire.com/elland/shopping/corner-shops</t>
        </is>
      </c>
    </row>
    <row r="96">
      <c r="A96" s="5" t="inlineStr">
        <is>
          <t>WY-0112</t>
        </is>
      </c>
      <c r="B96" s="5" t="inlineStr">
        <is>
          <t>WY-0112-01</t>
        </is>
      </c>
      <c r="C96" s="5" t="inlineStr"/>
      <c r="D96" s="5" t="inlineStr">
        <is>
          <t>Local Express Off Licence</t>
        </is>
      </c>
      <c r="E96" s="5" t="inlineStr">
        <is>
          <t>Off-Licence</t>
        </is>
      </c>
      <c r="F96" s="5" t="inlineStr">
        <is>
          <t>Off-licence / beer store</t>
        </is>
      </c>
      <c r="G96" s="5" t="inlineStr">
        <is>
          <t>Independent</t>
        </is>
      </c>
      <c r="H96" s="5" t="inlineStr">
        <is>
          <t>1</t>
        </is>
      </c>
      <c r="I96" s="5" t="inlineStr">
        <is>
          <t>30 Common Road</t>
        </is>
      </c>
      <c r="J96" s="5" t="inlineStr">
        <is>
          <t>Batley</t>
        </is>
      </c>
      <c r="K96" s="5" t="inlineStr"/>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https://www.bigreddirectory.com/local-express-off-licence-batley</t>
        </is>
      </c>
    </row>
    <row r="97">
      <c r="A97" s="10" t="inlineStr">
        <is>
          <t>UK-000265</t>
        </is>
      </c>
      <c r="B97" s="10" t="inlineStr">
        <is>
          <t>UK-000265-01</t>
        </is>
      </c>
      <c r="C97" s="10" t="inlineStr"/>
      <c r="D97" s="10" t="inlineStr">
        <is>
          <t>Lounge 418</t>
        </is>
      </c>
      <c r="E97" s="10" t="inlineStr">
        <is>
          <t>Smoke / Shisha Shop</t>
        </is>
      </c>
      <c r="F97" s="10" t="inlineStr">
        <is>
          <t>Middle Eastern restaurant and shisha bar</t>
        </is>
      </c>
      <c r="G97" s="10" t="inlineStr">
        <is>
          <t>Independent</t>
        </is>
      </c>
      <c r="H97" s="10" t="inlineStr">
        <is>
          <t>1</t>
        </is>
      </c>
      <c r="I97" s="10" t="inlineStr"/>
      <c r="J97" s="10" t="inlineStr">
        <is>
          <t>Sheffield</t>
        </is>
      </c>
      <c r="K97" s="10" t="inlineStr"/>
      <c r="L97" s="10" t="inlineStr"/>
      <c r="M97" s="10" t="inlineStr"/>
      <c r="N97" s="10" t="inlineStr"/>
      <c r="O97" s="10" t="inlineStr">
        <is>
          <t>https://www.lounge418.co.uk/</t>
        </is>
      </c>
      <c r="P97" s="10" t="inlineStr"/>
      <c r="Q97" s="10" t="inlineStr"/>
      <c r="R97" s="10" t="inlineStr"/>
      <c r="S97" s="10" t="inlineStr"/>
      <c r="T97" s="10" t="inlineStr"/>
      <c r="U97" s="10" t="inlineStr"/>
      <c r="V97" s="10" t="inlineStr">
        <is>
          <t>Medium</t>
        </is>
      </c>
      <c r="W97" s="10" t="inlineStr">
        <is>
          <t>Independent retailer; Core relevant category; Active website</t>
        </is>
      </c>
      <c r="X97" s="10" t="inlineStr">
        <is>
          <t>Not Found</t>
        </is>
      </c>
      <c r="Y97" s="10" t="inlineStr">
        <is>
          <t>Website Found</t>
        </is>
      </c>
      <c r="Z97" s="10" t="inlineStr">
        <is>
          <t>Low</t>
        </is>
      </c>
      <c r="AA97" s="10" t="inlineStr">
        <is>
          <t>Requires Verification</t>
        </is>
      </c>
      <c r="AB97" s="10" t="inlineStr">
        <is>
          <t>https://www.lounge418.co.uk/</t>
        </is>
      </c>
    </row>
    <row r="98">
      <c r="A98" s="5" t="inlineStr">
        <is>
          <t>WY-0116</t>
        </is>
      </c>
      <c r="B98" s="5" t="inlineStr">
        <is>
          <t>WY-0116-01</t>
        </is>
      </c>
      <c r="C98" s="5" t="inlineStr"/>
      <c r="D98" s="5" t="inlineStr">
        <is>
          <t>Low Lane Convenience Store (Premier)</t>
        </is>
      </c>
      <c r="E98" s="5" t="inlineStr">
        <is>
          <t>Convenience Store</t>
        </is>
      </c>
      <c r="F98" s="5" t="inlineStr">
        <is>
          <t>Premier symbol group convenience store</t>
        </is>
      </c>
      <c r="G98" s="5" t="inlineStr">
        <is>
          <t>Franchise / Symbol Group</t>
        </is>
      </c>
      <c r="H98" s="5" t="inlineStr">
        <is>
          <t>1</t>
        </is>
      </c>
      <c r="I98" s="5" t="inlineStr">
        <is>
          <t>6 Low Lane</t>
        </is>
      </c>
      <c r="J98" s="5" t="inlineStr">
        <is>
          <t>Batley</t>
        </is>
      </c>
      <c r="K98" s="5" t="inlineStr">
        <is>
          <t>WF17 9EY</t>
        </is>
      </c>
      <c r="L98" s="5" t="inlineStr"/>
      <c r="M98" s="5" t="inlineStr"/>
      <c r="N98" s="5" t="inlineStr"/>
      <c r="O98" s="5" t="inlineStr">
        <is>
          <t>https://www.premier-stores.co.uk/our-stores/low-lane-convenience-store</t>
        </is>
      </c>
      <c r="P98" s="5" t="inlineStr"/>
      <c r="Q98" s="5" t="inlineStr"/>
      <c r="R98" s="5" t="inlineStr"/>
      <c r="S98" s="5" t="inlineStr"/>
      <c r="T98" s="5" t="inlineStr"/>
      <c r="U98" s="5" t="inlineStr"/>
      <c r="V98" s="5" t="inlineStr">
        <is>
          <t>Medium</t>
        </is>
      </c>
      <c r="W98" s="5" t="inlineStr">
        <is>
          <t>Independent retailer; Relevant category; Active website</t>
        </is>
      </c>
      <c r="X98" s="5" t="inlineStr">
        <is>
          <t>Not Found</t>
        </is>
      </c>
      <c r="Y98" s="5" t="inlineStr">
        <is>
          <t>Not Found</t>
        </is>
      </c>
      <c r="Z98" s="5" t="inlineStr">
        <is>
          <t>Medium</t>
        </is>
      </c>
      <c r="AA98" s="5" t="inlineStr">
        <is>
          <t>Requires Verification</t>
        </is>
      </c>
      <c r="AB98" s="5" t="inlineStr">
        <is>
          <t>https://www.premier-stores.co.uk/our-stores/low-lane-convenience-store</t>
        </is>
      </c>
    </row>
    <row r="99">
      <c r="A99" s="10" t="inlineStr">
        <is>
          <t>WY-0117</t>
        </is>
      </c>
      <c r="B99" s="10" t="inlineStr">
        <is>
          <t>WY-0117-01</t>
        </is>
      </c>
      <c r="C99" s="10" t="inlineStr"/>
      <c r="D99" s="10" t="inlineStr">
        <is>
          <t>Mace News &amp; Off Licence</t>
        </is>
      </c>
      <c r="E99" s="10" t="inlineStr">
        <is>
          <t>Newsagent</t>
        </is>
      </c>
      <c r="F99" s="10" t="inlineStr">
        <is>
          <t>Newsagent with off-licence</t>
        </is>
      </c>
      <c r="G99" s="10" t="inlineStr">
        <is>
          <t>Franchise / Symbol Group</t>
        </is>
      </c>
      <c r="H99" s="10" t="inlineStr">
        <is>
          <t>1</t>
        </is>
      </c>
      <c r="I99" s="10" t="inlineStr">
        <is>
          <t>Otley Road</t>
        </is>
      </c>
      <c r="J99" s="10" t="inlineStr">
        <is>
          <t>Shipley</t>
        </is>
      </c>
      <c r="K99" s="10" t="inlineStr"/>
      <c r="L99" s="10" t="inlineStr"/>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Not Found</t>
        </is>
      </c>
      <c r="Y99" s="10" t="inlineStr">
        <is>
          <t>Not Found</t>
        </is>
      </c>
      <c r="Z99" s="10" t="inlineStr">
        <is>
          <t>Low</t>
        </is>
      </c>
      <c r="AA99" s="10" t="inlineStr">
        <is>
          <t>Requires Verification</t>
        </is>
      </c>
      <c r="AB99" s="10" t="inlineStr">
        <is>
          <t>https://www.yorkshire.com/shipley/shopping/off-license/mace-news-off-licence</t>
        </is>
      </c>
    </row>
    <row r="100">
      <c r="A100" s="5" t="inlineStr">
        <is>
          <t>WY-0124</t>
        </is>
      </c>
      <c r="B100" s="5" t="inlineStr">
        <is>
          <t>WY-0124-01</t>
        </is>
      </c>
      <c r="C100" s="5" t="inlineStr"/>
      <c r="D100" s="5" t="inlineStr">
        <is>
          <t>Mytholmroyd Post Office</t>
        </is>
      </c>
      <c r="E100" s="5" t="inlineStr">
        <is>
          <t>Convenience Store</t>
        </is>
      </c>
      <c r="F100" s="5" t="inlineStr">
        <is>
          <t>Post office and newsagent counter</t>
        </is>
      </c>
      <c r="G100" s="5" t="inlineStr">
        <is>
          <t>Independent</t>
        </is>
      </c>
      <c r="H100" s="5" t="inlineStr">
        <is>
          <t>1</t>
        </is>
      </c>
      <c r="I100" s="5" t="inlineStr">
        <is>
          <t>Grange Dene, Burnley Road</t>
        </is>
      </c>
      <c r="J100" s="5" t="inlineStr">
        <is>
          <t>Mytholmroyd</t>
        </is>
      </c>
      <c r="K100" s="5" t="inlineStr">
        <is>
          <t>HX7 5LF</t>
        </is>
      </c>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Medium</t>
        </is>
      </c>
      <c r="AA100" s="5" t="inlineStr">
        <is>
          <t>Requires Verification</t>
        </is>
      </c>
      <c r="AB100" s="5" t="inlineStr">
        <is>
          <t>https://www.postoffice.co.uk/branch-finder/6314589/mytholmroyd</t>
        </is>
      </c>
    </row>
    <row r="101">
      <c r="A101" s="10" t="inlineStr">
        <is>
          <t>UK-000266</t>
        </is>
      </c>
      <c r="B101" s="10" t="inlineStr">
        <is>
          <t>UK-000266-01</t>
        </is>
      </c>
      <c r="C101" s="10" t="inlineStr"/>
      <c r="D101" s="10" t="inlineStr">
        <is>
          <t>Ninnsi</t>
        </is>
      </c>
      <c r="E101" s="10" t="inlineStr">
        <is>
          <t>Independent Supermarket</t>
        </is>
      </c>
      <c r="F101" s="10" t="inlineStr">
        <is>
          <t>Oriental / Asian store</t>
        </is>
      </c>
      <c r="G101" s="10" t="inlineStr">
        <is>
          <t>Independent</t>
        </is>
      </c>
      <c r="H101" s="10" t="inlineStr">
        <is>
          <t>1</t>
        </is>
      </c>
      <c r="I101" s="10" t="inlineStr"/>
      <c r="J101" s="10" t="inlineStr">
        <is>
          <t>Kingston upon Hull</t>
        </is>
      </c>
      <c r="K101" s="10" t="inlineStr"/>
      <c r="L101" s="10" t="inlineStr"/>
      <c r="M101" s="10" t="inlineStr"/>
      <c r="N101" s="10" t="inlineStr"/>
      <c r="O101" s="10" t="inlineStr">
        <is>
          <t>https://ninnsi.co.uk</t>
        </is>
      </c>
      <c r="P101" s="10" t="inlineStr"/>
      <c r="Q101" s="10" t="inlineStr"/>
      <c r="R101" s="10" t="inlineStr"/>
      <c r="S101" s="10" t="inlineStr"/>
      <c r="T101" s="10" t="inlineStr"/>
      <c r="U101" s="10" t="inlineStr"/>
      <c r="V101" s="10" t="inlineStr">
        <is>
          <t>Medium</t>
        </is>
      </c>
      <c r="W101" s="10" t="inlineStr">
        <is>
          <t>Independent retailer; Relevant category; Active website</t>
        </is>
      </c>
      <c r="X101" s="10" t="inlineStr">
        <is>
          <t>Not Found</t>
        </is>
      </c>
      <c r="Y101" s="10" t="inlineStr">
        <is>
          <t>Not Found</t>
        </is>
      </c>
      <c r="Z101" s="10" t="inlineStr">
        <is>
          <t>Low</t>
        </is>
      </c>
      <c r="AA101" s="10" t="inlineStr">
        <is>
          <t>Partially Verified</t>
        </is>
      </c>
      <c r="AB101" s="10" t="inlineStr">
        <is>
          <t>https://ninnsi.co.uk/</t>
        </is>
      </c>
    </row>
    <row r="102">
      <c r="A102" s="5" t="inlineStr">
        <is>
          <t>WY-0126</t>
        </is>
      </c>
      <c r="B102" s="5" t="inlineStr">
        <is>
          <t>WY-0126-01</t>
        </is>
      </c>
      <c r="C102" s="5" t="inlineStr"/>
      <c r="D102" s="5" t="inlineStr">
        <is>
          <t>Northowram Post Office</t>
        </is>
      </c>
      <c r="E102" s="5" t="inlineStr">
        <is>
          <t>Convenience Store</t>
        </is>
      </c>
      <c r="F102" s="5" t="inlineStr">
        <is>
          <t>Family-run convenience store with post office</t>
        </is>
      </c>
      <c r="G102" s="5" t="inlineStr">
        <is>
          <t>Independent</t>
        </is>
      </c>
      <c r="H102" s="5" t="inlineStr">
        <is>
          <t>1</t>
        </is>
      </c>
      <c r="I102" s="5" t="inlineStr">
        <is>
          <t>62 Towngate</t>
        </is>
      </c>
      <c r="J102" s="5" t="inlineStr">
        <is>
          <t>Halifax</t>
        </is>
      </c>
      <c r="K102" s="5" t="inlineStr">
        <is>
          <t>HX3 7DX</t>
        </is>
      </c>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Medium</t>
        </is>
      </c>
      <c r="AA102" s="5" t="inlineStr">
        <is>
          <t>Requires Verification</t>
        </is>
      </c>
      <c r="AB102" s="5" t="inlineStr">
        <is>
          <t>https://www.postoffice.co.uk/branch-finder/6204589/northowram</t>
        </is>
      </c>
    </row>
    <row r="103">
      <c r="A103" s="10" t="inlineStr">
        <is>
          <t>WY-0128</t>
        </is>
      </c>
      <c r="B103" s="10" t="inlineStr">
        <is>
          <t>WY-0128-01</t>
        </is>
      </c>
      <c r="C103" s="10" t="inlineStr"/>
      <c r="D103" s="10" t="inlineStr">
        <is>
          <t>Off Licence and Convenience Store (Cutsyke)</t>
        </is>
      </c>
      <c r="E103" s="10" t="inlineStr">
        <is>
          <t>Off-Licence</t>
        </is>
      </c>
      <c r="F103" s="10" t="inlineStr">
        <is>
          <t>Off-licence and convenience store</t>
        </is>
      </c>
      <c r="G103" s="10" t="inlineStr">
        <is>
          <t>Independent</t>
        </is>
      </c>
      <c r="H103" s="10" t="inlineStr">
        <is>
          <t>1</t>
        </is>
      </c>
      <c r="I103" s="10" t="inlineStr">
        <is>
          <t>2 Leeds Road</t>
        </is>
      </c>
      <c r="J103" s="10" t="inlineStr">
        <is>
          <t>Castleford</t>
        </is>
      </c>
      <c r="K103" s="10" t="inlineStr">
        <is>
          <t>WF10 5HA</t>
        </is>
      </c>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https://ratings.food.gov.uk/business/1268724/off-licence-and-convenience-store-castleford</t>
        </is>
      </c>
    </row>
    <row r="104">
      <c r="A104" s="5" t="inlineStr">
        <is>
          <t>WY-0129</t>
        </is>
      </c>
      <c r="B104" s="5" t="inlineStr">
        <is>
          <t>WY-0129-01</t>
        </is>
      </c>
      <c r="C104" s="5" t="inlineStr"/>
      <c r="D104" s="5" t="inlineStr">
        <is>
          <t>Outwood Express</t>
        </is>
      </c>
      <c r="E104" s="5" t="inlineStr">
        <is>
          <t>Convenience Store</t>
        </is>
      </c>
      <c r="F104" s="5" t="inlineStr">
        <is>
          <t>Convenience store / grocer</t>
        </is>
      </c>
      <c r="G104" s="5" t="inlineStr">
        <is>
          <t>Independent</t>
        </is>
      </c>
      <c r="H104" s="5" t="inlineStr">
        <is>
          <t>1</t>
        </is>
      </c>
      <c r="I104" s="5" t="inlineStr"/>
      <c r="J104" s="5" t="inlineStr">
        <is>
          <t>Wakefield</t>
        </is>
      </c>
      <c r="K104" s="5" t="inlineStr"/>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https://www.yell.com/biz/outwood-express-wakefield-10165328/</t>
        </is>
      </c>
    </row>
    <row r="105">
      <c r="A105" s="10" t="inlineStr">
        <is>
          <t>WY-0131</t>
        </is>
      </c>
      <c r="B105" s="10" t="inlineStr">
        <is>
          <t>WY-0131-01</t>
        </is>
      </c>
      <c r="C105" s="10" t="inlineStr"/>
      <c r="D105" s="10" t="inlineStr">
        <is>
          <t>Phantom Vape Store</t>
        </is>
      </c>
      <c r="E105" s="10" t="inlineStr">
        <is>
          <t>Vape Shop</t>
        </is>
      </c>
      <c r="F105" s="10" t="inlineStr">
        <is>
          <t>Pods, kits, e-liquids and accessories</t>
        </is>
      </c>
      <c r="G105" s="10" t="inlineStr">
        <is>
          <t>Independent</t>
        </is>
      </c>
      <c r="H105" s="10" t="inlineStr">
        <is>
          <t>1</t>
        </is>
      </c>
      <c r="I105" s="10" t="inlineStr">
        <is>
          <t>17 Slaithwaite Road</t>
        </is>
      </c>
      <c r="J105" s="10" t="inlineStr">
        <is>
          <t>Dewsbury</t>
        </is>
      </c>
      <c r="K105" s="10" t="inlineStr">
        <is>
          <t>WF12 9DJ</t>
        </is>
      </c>
      <c r="L105" s="10" t="inlineStr"/>
      <c r="M105" s="10" t="inlineStr"/>
      <c r="N105" s="10" t="inlineStr"/>
      <c r="O105" s="10" t="inlineStr">
        <is>
          <t>https://www.phantomvapes.co.uk/</t>
        </is>
      </c>
      <c r="P105" s="10" t="inlineStr">
        <is>
          <t>https://www.facebook.com/61578393599194/</t>
        </is>
      </c>
      <c r="Q105" s="10" t="inlineStr"/>
      <c r="R105" s="10" t="inlineStr"/>
      <c r="S105" s="10" t="inlineStr"/>
      <c r="T105" s="10" t="inlineStr"/>
      <c r="U105" s="10" t="inlineStr"/>
      <c r="V105" s="10" t="inlineStr">
        <is>
          <t>Medium</t>
        </is>
      </c>
      <c r="W105" s="10" t="inlineStr">
        <is>
          <t>Independent retailer; Core relevant category; Active website; Social presence</t>
        </is>
      </c>
      <c r="X105" s="10" t="inlineStr">
        <is>
          <t>Not Found</t>
        </is>
      </c>
      <c r="Y105" s="10" t="inlineStr">
        <is>
          <t>Website Found</t>
        </is>
      </c>
      <c r="Z105" s="10" t="inlineStr">
        <is>
          <t>Medium</t>
        </is>
      </c>
      <c r="AA105" s="10" t="inlineStr">
        <is>
          <t>Requires Verification</t>
        </is>
      </c>
      <c r="AB105" s="10" t="inlineStr">
        <is>
          <t>https://www.phantomvapes.co.uk/vape-shop-dewsbury</t>
        </is>
      </c>
    </row>
    <row r="106">
      <c r="A106" s="5" t="inlineStr">
        <is>
          <t>UK-000267</t>
        </is>
      </c>
      <c r="B106" s="5" t="inlineStr">
        <is>
          <t>UK-000267-01</t>
        </is>
      </c>
      <c r="C106" s="5" t="inlineStr"/>
      <c r="D106" s="5" t="inlineStr">
        <is>
          <t>Platinum Vape Hull</t>
        </is>
      </c>
      <c r="E106" s="5" t="inlineStr">
        <is>
          <t>Vape Shop</t>
        </is>
      </c>
      <c r="F106" s="5" t="inlineStr">
        <is>
          <t>Disposables and e-liquid shop</t>
        </is>
      </c>
      <c r="G106" s="5" t="inlineStr">
        <is>
          <t>Independent</t>
        </is>
      </c>
      <c r="H106" s="5" t="inlineStr">
        <is>
          <t>1</t>
        </is>
      </c>
      <c r="I106" s="5" t="inlineStr"/>
      <c r="J106" s="5" t="inlineStr">
        <is>
          <t>Kingston upon Hull</t>
        </is>
      </c>
      <c r="K106" s="5" t="inlineStr"/>
      <c r="L106" s="5" t="inlineStr"/>
      <c r="M106" s="5" t="inlineStr"/>
      <c r="N106" s="5" t="inlineStr"/>
      <c r="O106" s="5" t="inlineStr"/>
      <c r="P106" s="5" t="inlineStr">
        <is>
          <t>https://www.facebook.com/PlatinumVapehull/</t>
        </is>
      </c>
      <c r="Q106" s="5" t="inlineStr"/>
      <c r="R106" s="5" t="inlineStr"/>
      <c r="S106" s="5" t="inlineStr"/>
      <c r="T106" s="5" t="inlineStr"/>
      <c r="U106" s="5" t="inlineStr"/>
      <c r="V106" s="5" t="inlineStr">
        <is>
          <t>Medium</t>
        </is>
      </c>
      <c r="W106" s="5" t="inlineStr">
        <is>
          <t>Independent retailer; Core relevant category; Social presence</t>
        </is>
      </c>
      <c r="X106" s="5" t="inlineStr">
        <is>
          <t>Not Found</t>
        </is>
      </c>
      <c r="Y106" s="5" t="inlineStr">
        <is>
          <t>Not Found</t>
        </is>
      </c>
      <c r="Z106" s="5" t="inlineStr">
        <is>
          <t>Low</t>
        </is>
      </c>
      <c r="AA106" s="5" t="inlineStr">
        <is>
          <t>Requires Verification</t>
        </is>
      </c>
      <c r="AB106" s="5" t="inlineStr">
        <is>
          <t>https://www.facebook.com/PlatinumVapehull/</t>
        </is>
      </c>
    </row>
    <row r="107">
      <c r="A107" s="10" t="inlineStr">
        <is>
          <t>WY-0133</t>
        </is>
      </c>
      <c r="B107" s="10" t="inlineStr">
        <is>
          <t>WY-0133-01</t>
        </is>
      </c>
      <c r="C107" s="10" t="inlineStr"/>
      <c r="D107" s="10" t="inlineStr">
        <is>
          <t>Premier (Bingley Convenience Store)</t>
        </is>
      </c>
      <c r="E107" s="10" t="inlineStr">
        <is>
          <t>Convenience Store</t>
        </is>
      </c>
      <c r="F107" s="10" t="inlineStr">
        <is>
          <t>Symbol-group convenience store</t>
        </is>
      </c>
      <c r="G107" s="10" t="inlineStr">
        <is>
          <t>Franchise / Symbol Group</t>
        </is>
      </c>
      <c r="H107" s="10" t="inlineStr">
        <is>
          <t>1</t>
        </is>
      </c>
      <c r="I107" s="10" t="inlineStr"/>
      <c r="J107" s="10" t="inlineStr">
        <is>
          <t>Bingley</t>
        </is>
      </c>
      <c r="K107" s="10" t="inlineStr"/>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https://www.yorkshire.com/bingley/shopping/corner-shops/premier-bingley-convenience-store</t>
        </is>
      </c>
    </row>
    <row r="108">
      <c r="A108" s="5" t="inlineStr">
        <is>
          <t>WY-0134</t>
        </is>
      </c>
      <c r="B108" s="5" t="inlineStr">
        <is>
          <t>WY-0134-01</t>
        </is>
      </c>
      <c r="C108" s="5" t="inlineStr"/>
      <c r="D108" s="5" t="inlineStr">
        <is>
          <t>Premier Hemsworth</t>
        </is>
      </c>
      <c r="E108" s="5" t="inlineStr">
        <is>
          <t>Convenience Store</t>
        </is>
      </c>
      <c r="F108" s="5" t="inlineStr">
        <is>
          <t>Symbol group convenience store</t>
        </is>
      </c>
      <c r="G108" s="5" t="inlineStr">
        <is>
          <t>Franchise / Symbol Group</t>
        </is>
      </c>
      <c r="H108" s="5" t="inlineStr">
        <is>
          <t>1</t>
        </is>
      </c>
      <c r="I108" s="5" t="inlineStr">
        <is>
          <t>51-55 Barnsley Road</t>
        </is>
      </c>
      <c r="J108" s="5" t="inlineStr">
        <is>
          <t>Hemsworth</t>
        </is>
      </c>
      <c r="K108" s="5" t="inlineStr">
        <is>
          <t>WF9 4QZ</t>
        </is>
      </c>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Medium</t>
        </is>
      </c>
      <c r="AA108" s="5" t="inlineStr">
        <is>
          <t>Requires Verification</t>
        </is>
      </c>
      <c r="AB108" s="5" t="inlineStr">
        <is>
          <t>https://hemsworth.ukintouch.com/convenience-store/premier-hemsworth/</t>
        </is>
      </c>
    </row>
    <row r="109">
      <c r="A109" s="10" t="inlineStr">
        <is>
          <t>WY-0135</t>
        </is>
      </c>
      <c r="B109" s="10" t="inlineStr">
        <is>
          <t>WY-0135-01</t>
        </is>
      </c>
      <c r="C109" s="10" t="inlineStr"/>
      <c r="D109" s="10" t="inlineStr">
        <is>
          <t>Premier Wholesale Cash &amp; Carry</t>
        </is>
      </c>
      <c r="E109" s="10" t="inlineStr">
        <is>
          <t>Cash &amp; Carry</t>
        </is>
      </c>
      <c r="F109" s="10" t="inlineStr">
        <is>
          <t>General cash and carry wholesaler</t>
        </is>
      </c>
      <c r="G109" s="10" t="inlineStr">
        <is>
          <t>Independent</t>
        </is>
      </c>
      <c r="H109" s="10" t="inlineStr">
        <is>
          <t>1</t>
        </is>
      </c>
      <c r="I109" s="10" t="inlineStr">
        <is>
          <t>Clough Lane</t>
        </is>
      </c>
      <c r="J109" s="10" t="inlineStr">
        <is>
          <t>Huddersfield</t>
        </is>
      </c>
      <c r="K109" s="10" t="inlineStr">
        <is>
          <t>HD1 4UW</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Not Found</t>
        </is>
      </c>
      <c r="Y109" s="10" t="inlineStr">
        <is>
          <t>Not Found</t>
        </is>
      </c>
      <c r="Z109" s="10" t="inlineStr">
        <is>
          <t>Low</t>
        </is>
      </c>
      <c r="AA109" s="10" t="inlineStr">
        <is>
          <t>Requires Verification</t>
        </is>
      </c>
      <c r="AB109" s="10" t="inlineStr">
        <is>
          <t>https://www.yell.com/biz/premier-wholesale-cash-and-carry-huddersfield-943025/</t>
        </is>
      </c>
    </row>
    <row r="110">
      <c r="A110" s="5" t="inlineStr">
        <is>
          <t>WY-0136</t>
        </is>
      </c>
      <c r="B110" s="5" t="inlineStr">
        <is>
          <t>WY-0136-01</t>
        </is>
      </c>
      <c r="C110" s="5" t="inlineStr"/>
      <c r="D110" s="5" t="inlineStr">
        <is>
          <t>Quix Newsagents, Off Licence &amp; Convenience Store</t>
        </is>
      </c>
      <c r="E110" s="5" t="inlineStr">
        <is>
          <t>Convenience Store</t>
        </is>
      </c>
      <c r="F110" s="5" t="inlineStr">
        <is>
          <t>Newsagent, off-licence &amp; convenience store</t>
        </is>
      </c>
      <c r="G110" s="5" t="inlineStr">
        <is>
          <t>Independent</t>
        </is>
      </c>
      <c r="H110" s="5" t="inlineStr">
        <is>
          <t>1</t>
        </is>
      </c>
      <c r="I110" s="5" t="inlineStr"/>
      <c r="J110" s="5" t="inlineStr">
        <is>
          <t>Shipley</t>
        </is>
      </c>
      <c r="K110" s="5" t="inlineStr"/>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https://www.yorkshire.com/shipley/shopping/corner-shops/quix-newsagents-off-licence-convenience-store</t>
        </is>
      </c>
    </row>
    <row r="111">
      <c r="A111" s="10" t="inlineStr">
        <is>
          <t>WY-0137</t>
        </is>
      </c>
      <c r="B111" s="10" t="inlineStr">
        <is>
          <t>WY-0137-01</t>
        </is>
      </c>
      <c r="C111" s="10" t="inlineStr"/>
      <c r="D111" s="10" t="inlineStr">
        <is>
          <t>Rahien Mini Market</t>
        </is>
      </c>
      <c r="E111" s="10" t="inlineStr">
        <is>
          <t>Convenience Store</t>
        </is>
      </c>
      <c r="F111" s="10" t="inlineStr">
        <is>
          <t>Mini market</t>
        </is>
      </c>
      <c r="G111" s="10" t="inlineStr">
        <is>
          <t>Independent</t>
        </is>
      </c>
      <c r="H111" s="10" t="inlineStr">
        <is>
          <t>1</t>
        </is>
      </c>
      <c r="I111" s="10" t="inlineStr">
        <is>
          <t>Queen's Road</t>
        </is>
      </c>
      <c r="J111" s="10" t="inlineStr">
        <is>
          <t>Leeds</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https://www.yorkshire.com/headingley/shopping/markets/rahien-mini-market</t>
        </is>
      </c>
    </row>
    <row r="112">
      <c r="A112" s="5" t="inlineStr">
        <is>
          <t>UK-000269</t>
        </is>
      </c>
      <c r="B112" s="5" t="inlineStr">
        <is>
          <t>UK-000269-01</t>
        </is>
      </c>
      <c r="C112" s="5" t="inlineStr"/>
      <c r="D112" s="5" t="inlineStr">
        <is>
          <t>Retreat Sheesha Lounge</t>
        </is>
      </c>
      <c r="E112" s="5" t="inlineStr">
        <is>
          <t>Smoke / Shisha Shop</t>
        </is>
      </c>
      <c r="F112" s="5" t="inlineStr">
        <is>
          <t>Shisha cafe / lounge</t>
        </is>
      </c>
      <c r="G112" s="5" t="inlineStr">
        <is>
          <t>Independent</t>
        </is>
      </c>
      <c r="H112" s="5" t="inlineStr">
        <is>
          <t>1</t>
        </is>
      </c>
      <c r="I112" s="5" t="inlineStr"/>
      <c r="J112" s="5" t="inlineStr">
        <is>
          <t>Kingston upon Hull</t>
        </is>
      </c>
      <c r="K112" s="5" t="inlineStr"/>
      <c r="L112" s="5" t="inlineStr"/>
      <c r="M112" s="5" t="inlineStr"/>
      <c r="N112" s="5" t="inlineStr"/>
      <c r="O112" s="5" t="inlineStr"/>
      <c r="P112" s="5" t="inlineStr"/>
      <c r="Q112" s="5" t="inlineStr"/>
      <c r="R112" s="5" t="inlineStr"/>
      <c r="S112" s="5" t="inlineStr"/>
      <c r="T112" s="5" t="inlineStr"/>
      <c r="U112" s="5" t="inlineStr"/>
      <c r="V112" s="5" t="inlineStr">
        <is>
          <t>Medium</t>
        </is>
      </c>
      <c r="W112" s="5" t="inlineStr">
        <is>
          <t>Independent retailer; Core relevant category</t>
        </is>
      </c>
      <c r="X112" s="5" t="inlineStr">
        <is>
          <t>Not Found</t>
        </is>
      </c>
      <c r="Y112" s="5" t="inlineStr">
        <is>
          <t>Not Found</t>
        </is>
      </c>
      <c r="Z112" s="5" t="inlineStr">
        <is>
          <t>Low</t>
        </is>
      </c>
      <c r="AA112" s="5" t="inlineStr">
        <is>
          <t>Requires Verification</t>
        </is>
      </c>
      <c r="AB112" s="5" t="inlineStr">
        <is>
          <t>https://www.tripadvisor.co.uk/Restaurant_Review-g186317-d4522051-Reviews-Retreat_Sheesha_Lounge-Kingston_upon_Hull_East_Riding_of_Yorkshire_England.html</t>
        </is>
      </c>
    </row>
    <row r="113">
      <c r="A113" s="10" t="inlineStr">
        <is>
          <t>WY-0138</t>
        </is>
      </c>
      <c r="B113" s="10" t="inlineStr">
        <is>
          <t>WY-0138-01</t>
        </is>
      </c>
      <c r="C113" s="10" t="inlineStr"/>
      <c r="D113" s="10" t="inlineStr">
        <is>
          <t>Revo Vapes</t>
        </is>
      </c>
      <c r="E113" s="10" t="inlineStr">
        <is>
          <t>Vape Shop</t>
        </is>
      </c>
      <c r="F113" s="10" t="inlineStr"/>
      <c r="G113" s="10" t="inlineStr">
        <is>
          <t>Independent</t>
        </is>
      </c>
      <c r="H113" s="10" t="inlineStr">
        <is>
          <t>1</t>
        </is>
      </c>
      <c r="I113" s="10" t="inlineStr">
        <is>
          <t>Unit 1a, 91 Queen Street</t>
        </is>
      </c>
      <c r="J113" s="10" t="inlineStr">
        <is>
          <t>Morley</t>
        </is>
      </c>
      <c r="K113" s="10" t="inlineStr">
        <is>
          <t>LS27 8DW</t>
        </is>
      </c>
      <c r="L113" s="10" t="inlineStr"/>
      <c r="M113" s="10" t="inlineStr"/>
      <c r="N113" s="10" t="inlineStr"/>
      <c r="O113" s="10" t="inlineStr"/>
      <c r="P113" s="10" t="inlineStr"/>
      <c r="Q113" s="10" t="inlineStr"/>
      <c r="R113" s="10" t="inlineStr"/>
      <c r="S113" s="10" t="inlineStr"/>
      <c r="T113" s="10" t="inlineStr"/>
      <c r="U113" s="10" t="inlineStr"/>
      <c r="V113" s="10" t="inlineStr">
        <is>
          <t>Medium</t>
        </is>
      </c>
      <c r="W113" s="10" t="inlineStr">
        <is>
          <t>Independent retailer; Core relevant category</t>
        </is>
      </c>
      <c r="X113" s="10" t="inlineStr">
        <is>
          <t>Not Found</t>
        </is>
      </c>
      <c r="Y113" s="10" t="inlineStr">
        <is>
          <t>Not Found</t>
        </is>
      </c>
      <c r="Z113" s="10" t="inlineStr">
        <is>
          <t>Low</t>
        </is>
      </c>
      <c r="AA113" s="10" t="inlineStr">
        <is>
          <t>Requires Verification</t>
        </is>
      </c>
      <c r="AB113" s="10" t="inlineStr">
        <is>
          <t>https://revo-vapes.wheree.com/</t>
        </is>
      </c>
    </row>
    <row r="114">
      <c r="A114" s="5" t="inlineStr">
        <is>
          <t>UK-000270</t>
        </is>
      </c>
      <c r="B114" s="5" t="inlineStr">
        <is>
          <t>UK-000270-01</t>
        </is>
      </c>
      <c r="C114" s="5" t="inlineStr"/>
      <c r="D114" s="5" t="inlineStr">
        <is>
          <t>Revolution Vape</t>
        </is>
      </c>
      <c r="E114" s="5" t="inlineStr">
        <is>
          <t>Vape Shop</t>
        </is>
      </c>
      <c r="F114" s="5" t="inlineStr">
        <is>
          <t>Vape shop</t>
        </is>
      </c>
      <c r="G114" s="5" t="inlineStr">
        <is>
          <t>Independent</t>
        </is>
      </c>
      <c r="H114" s="5" t="inlineStr">
        <is>
          <t>1</t>
        </is>
      </c>
      <c r="I114" s="5" t="inlineStr">
        <is>
          <t>75 High Street</t>
        </is>
      </c>
      <c r="J114" s="5" t="inlineStr">
        <is>
          <t>Rotherham</t>
        </is>
      </c>
      <c r="K114" s="5" t="inlineStr">
        <is>
          <t>S63 7QB</t>
        </is>
      </c>
      <c r="L114" s="5" t="inlineStr"/>
      <c r="M114" s="5" t="inlineStr"/>
      <c r="N114" s="5" t="inlineStr"/>
      <c r="O114" s="5" t="inlineStr"/>
      <c r="P114" s="5" t="inlineStr"/>
      <c r="Q114" s="5" t="inlineStr"/>
      <c r="R114" s="5" t="inlineStr"/>
      <c r="S114" s="5" t="inlineStr"/>
      <c r="T114" s="5" t="inlineStr"/>
      <c r="U114" s="5" t="inlineStr"/>
      <c r="V114" s="5" t="inlineStr">
        <is>
          <t>Medium</t>
        </is>
      </c>
      <c r="W114" s="5" t="inlineStr">
        <is>
          <t>Independent retailer; Core relevant category</t>
        </is>
      </c>
      <c r="X114" s="5" t="inlineStr">
        <is>
          <t>Not Found</t>
        </is>
      </c>
      <c r="Y114" s="5" t="inlineStr">
        <is>
          <t>Not Found</t>
        </is>
      </c>
      <c r="Z114" s="5" t="inlineStr">
        <is>
          <t>Low</t>
        </is>
      </c>
      <c r="AA114" s="5" t="inlineStr">
        <is>
          <t>Requires Verification</t>
        </is>
      </c>
      <c r="AB114" s="5" t="inlineStr">
        <is>
          <t>https://wath-upon-dearne.cylex-uk.co.uk/company/revolution-vape-19882113.html</t>
        </is>
      </c>
    </row>
    <row r="115">
      <c r="A115" s="10" t="inlineStr">
        <is>
          <t>UK-000274</t>
        </is>
      </c>
      <c r="B115" s="10" t="inlineStr">
        <is>
          <t>UK-000274-01</t>
        </is>
      </c>
      <c r="C115" s="10" t="inlineStr"/>
      <c r="D115" s="10" t="inlineStr">
        <is>
          <t>S.J. Convenience Store</t>
        </is>
      </c>
      <c r="E115" s="10" t="inlineStr">
        <is>
          <t>Convenience Store</t>
        </is>
      </c>
      <c r="F115" s="10" t="inlineStr">
        <is>
          <t>Corner shop</t>
        </is>
      </c>
      <c r="G115" s="10" t="inlineStr">
        <is>
          <t>Independent</t>
        </is>
      </c>
      <c r="H115" s="10" t="inlineStr">
        <is>
          <t>1</t>
        </is>
      </c>
      <c r="I115" s="10" t="inlineStr"/>
      <c r="J115" s="10" t="inlineStr">
        <is>
          <t>Kingston upon Hull</t>
        </is>
      </c>
      <c r="K115" s="10" t="inlineStr"/>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https://www.yorkshire.com/hull/shopping/corner-shops/sj-convenience-store</t>
        </is>
      </c>
    </row>
    <row r="116">
      <c r="A116" s="5" t="inlineStr">
        <is>
          <t>UK-000275</t>
        </is>
      </c>
      <c r="B116" s="5" t="inlineStr">
        <is>
          <t>UK-000275-01</t>
        </is>
      </c>
      <c r="C116" s="5" t="inlineStr"/>
      <c r="D116" s="5" t="inlineStr">
        <is>
          <t>Sako Polish Shop Doncaster</t>
        </is>
      </c>
      <c r="E116" s="5" t="inlineStr">
        <is>
          <t>Independent Supermarket</t>
        </is>
      </c>
      <c r="F116" s="5" t="inlineStr">
        <is>
          <t>Polish / European grocery store</t>
        </is>
      </c>
      <c r="G116" s="5" t="inlineStr">
        <is>
          <t>Independent</t>
        </is>
      </c>
      <c r="H116" s="5" t="inlineStr">
        <is>
          <t>1</t>
        </is>
      </c>
      <c r="I116" s="5" t="inlineStr">
        <is>
          <t>40 Duke Street</t>
        </is>
      </c>
      <c r="J116" s="5" t="inlineStr">
        <is>
          <t>Doncaster</t>
        </is>
      </c>
      <c r="K116" s="5" t="inlineStr"/>
      <c r="L116" s="5" t="inlineStr"/>
      <c r="M116" s="5" t="inlineStr"/>
      <c r="N116" s="5" t="inlineStr"/>
      <c r="O116" s="5" t="inlineStr">
        <is>
          <t>https://sakomarket.com/</t>
        </is>
      </c>
      <c r="P116" s="5" t="inlineStr"/>
      <c r="Q116" s="5" t="inlineStr"/>
      <c r="R116" s="5" t="inlineStr"/>
      <c r="S116" s="5" t="inlineStr"/>
      <c r="T116" s="5" t="inlineStr"/>
      <c r="U116" s="5" t="inlineStr"/>
      <c r="V116" s="5" t="inlineStr">
        <is>
          <t>Medium</t>
        </is>
      </c>
      <c r="W116" s="5" t="inlineStr">
        <is>
          <t>Independent retailer; Relevant category; Active website</t>
        </is>
      </c>
      <c r="X116" s="5" t="inlineStr">
        <is>
          <t>Not Found</t>
        </is>
      </c>
      <c r="Y116" s="5" t="inlineStr">
        <is>
          <t>Website Found</t>
        </is>
      </c>
      <c r="Z116" s="5" t="inlineStr">
        <is>
          <t>Low</t>
        </is>
      </c>
      <c r="AA116" s="5" t="inlineStr">
        <is>
          <t>Requires Verification</t>
        </is>
      </c>
      <c r="AB116" s="5" t="inlineStr">
        <is>
          <t>https://bippermedia.com/uk/st/england/south-yorkshire/doncaster/grocery-store/sako-polish-shop-doncaster-doncaster/</t>
        </is>
      </c>
    </row>
    <row r="117">
      <c r="A117" s="10" t="inlineStr">
        <is>
          <t>WY-0146</t>
        </is>
      </c>
      <c r="B117" s="10" t="inlineStr">
        <is>
          <t>WY-0146-01</t>
        </is>
      </c>
      <c r="C117" s="10" t="inlineStr"/>
      <c r="D117" s="10" t="inlineStr">
        <is>
          <t>Sheepridge Off Licence</t>
        </is>
      </c>
      <c r="E117" s="10" t="inlineStr">
        <is>
          <t>Off-Licence</t>
        </is>
      </c>
      <c r="F117" s="10" t="inlineStr">
        <is>
          <t>Off-licence and convenience store</t>
        </is>
      </c>
      <c r="G117" s="10" t="inlineStr">
        <is>
          <t>Independent</t>
        </is>
      </c>
      <c r="H117" s="10" t="inlineStr">
        <is>
          <t>1</t>
        </is>
      </c>
      <c r="I117" s="10" t="inlineStr">
        <is>
          <t>73 Lawrence Road</t>
        </is>
      </c>
      <c r="J117" s="10" t="inlineStr">
        <is>
          <t>Huddersfield</t>
        </is>
      </c>
      <c r="K117" s="10" t="inlineStr">
        <is>
          <t>HD1 4LW</t>
        </is>
      </c>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https://www.192.com/atoz/business/huddersfield-hd1/convenience-stores/sheepridge-off-licence-limited/bfc32af555a5eed742b2bfb4d8a2acd75ab80d62/comp/</t>
        </is>
      </c>
    </row>
    <row r="118">
      <c r="A118" s="5" t="inlineStr">
        <is>
          <t>WY-0147</t>
        </is>
      </c>
      <c r="B118" s="5" t="inlineStr">
        <is>
          <t>WY-0147-01</t>
        </is>
      </c>
      <c r="C118" s="5" t="inlineStr"/>
      <c r="D118" s="5" t="inlineStr">
        <is>
          <t>Shoesmiths Tobacconist</t>
        </is>
      </c>
      <c r="E118" s="5" t="inlineStr">
        <is>
          <t>Tobacco Specialist</t>
        </is>
      </c>
      <c r="F118" s="5" t="inlineStr">
        <is>
          <t>Traditional tobacconist and cigar shop</t>
        </is>
      </c>
      <c r="G118" s="5" t="inlineStr">
        <is>
          <t>Independent</t>
        </is>
      </c>
      <c r="H118" s="5" t="inlineStr">
        <is>
          <t>1</t>
        </is>
      </c>
      <c r="I118" s="5" t="inlineStr">
        <is>
          <t>65 Commercial Street</t>
        </is>
      </c>
      <c r="J118" s="5" t="inlineStr">
        <is>
          <t>Halifax</t>
        </is>
      </c>
      <c r="K118" s="5" t="inlineStr">
        <is>
          <t>HX1 1BE</t>
        </is>
      </c>
      <c r="L118" s="5" t="inlineStr"/>
      <c r="M118" s="5" t="inlineStr"/>
      <c r="N118" s="5" t="inlineStr"/>
      <c r="O118" s="5" t="inlineStr"/>
      <c r="P118" s="5" t="inlineStr">
        <is>
          <t>https://www.facebook.com/shoesmiths/</t>
        </is>
      </c>
      <c r="Q118" s="5" t="inlineStr"/>
      <c r="R118" s="5" t="inlineStr"/>
      <c r="S118" s="5" t="inlineStr"/>
      <c r="T118" s="5" t="inlineStr"/>
      <c r="U118" s="5" t="inlineStr"/>
      <c r="V118" s="5" t="inlineStr">
        <is>
          <t>Medium</t>
        </is>
      </c>
      <c r="W118" s="5" t="inlineStr">
        <is>
          <t>Independent retailer; Core relevant category; Social presence</t>
        </is>
      </c>
      <c r="X118" s="5" t="inlineStr">
        <is>
          <t>Not Found</t>
        </is>
      </c>
      <c r="Y118" s="5" t="inlineStr">
        <is>
          <t>Not Found</t>
        </is>
      </c>
      <c r="Z118" s="5" t="inlineStr">
        <is>
          <t>Medium</t>
        </is>
      </c>
      <c r="AA118" s="5" t="inlineStr">
        <is>
          <t>Requires Verification</t>
        </is>
      </c>
      <c r="AB118" s="5" t="inlineStr">
        <is>
          <t>https://www.facebook.com/shoesmiths/</t>
        </is>
      </c>
    </row>
    <row r="119">
      <c r="A119" s="10" t="inlineStr">
        <is>
          <t>UK-000278</t>
        </is>
      </c>
      <c r="B119" s="10" t="inlineStr">
        <is>
          <t>UK-000278-01</t>
        </is>
      </c>
      <c r="C119" s="10" t="inlineStr"/>
      <c r="D119" s="10" t="inlineStr">
        <is>
          <t>Smoke Free Skipton</t>
        </is>
      </c>
      <c r="E119" s="10" t="inlineStr">
        <is>
          <t>Vape Shop</t>
        </is>
      </c>
      <c r="F119" s="10" t="inlineStr">
        <is>
          <t>E-cigarette &amp; e-liquid shop</t>
        </is>
      </c>
      <c r="G119" s="10" t="inlineStr">
        <is>
          <t>Independent</t>
        </is>
      </c>
      <c r="H119" s="10" t="inlineStr">
        <is>
          <t>1</t>
        </is>
      </c>
      <c r="I119" s="10" t="inlineStr">
        <is>
          <t>19 Water Street</t>
        </is>
      </c>
      <c r="J119" s="10" t="inlineStr">
        <is>
          <t>Skipton</t>
        </is>
      </c>
      <c r="K119" s="10" t="inlineStr">
        <is>
          <t>BD23 1PQ</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Not Found</t>
        </is>
      </c>
      <c r="Y119" s="10" t="inlineStr">
        <is>
          <t>Not Found</t>
        </is>
      </c>
      <c r="Z119" s="10" t="inlineStr">
        <is>
          <t>Low</t>
        </is>
      </c>
      <c r="AA119" s="10" t="inlineStr">
        <is>
          <t>Requires Verification</t>
        </is>
      </c>
      <c r="AB119" s="10" t="inlineStr">
        <is>
          <t>https://ecigdirectory.co.uk/vape-shop/listing/smoke-free-skipton</t>
        </is>
      </c>
    </row>
    <row r="120">
      <c r="A120" s="5" t="inlineStr">
        <is>
          <t>WY-0149</t>
        </is>
      </c>
      <c r="B120" s="5" t="inlineStr">
        <is>
          <t>WY-0149-01</t>
        </is>
      </c>
      <c r="C120" s="5" t="inlineStr"/>
      <c r="D120" s="5" t="inlineStr">
        <is>
          <t>Smokers D'Lite</t>
        </is>
      </c>
      <c r="E120" s="5" t="inlineStr">
        <is>
          <t>Vape Shop</t>
        </is>
      </c>
      <c r="F120" s="5" t="inlineStr">
        <is>
          <t>Vape and smoking accessories</t>
        </is>
      </c>
      <c r="G120" s="5" t="inlineStr">
        <is>
          <t>Independent</t>
        </is>
      </c>
      <c r="H120" s="5" t="inlineStr">
        <is>
          <t>1</t>
        </is>
      </c>
      <c r="I120" s="5" t="inlineStr">
        <is>
          <t>20 Thorntons Arcade</t>
        </is>
      </c>
      <c r="J120" s="5" t="inlineStr">
        <is>
          <t>Leeds</t>
        </is>
      </c>
      <c r="K120" s="5" t="inlineStr">
        <is>
          <t>LS1 6LQ</t>
        </is>
      </c>
      <c r="L120" s="5" t="inlineStr"/>
      <c r="M120" s="5" t="inlineStr"/>
      <c r="N120" s="5" t="inlineStr"/>
      <c r="O120" s="5" t="inlineStr"/>
      <c r="P120" s="5" t="inlineStr"/>
      <c r="Q120" s="5" t="inlineStr"/>
      <c r="R120" s="5" t="inlineStr"/>
      <c r="S120" s="5" t="inlineStr"/>
      <c r="T120" s="5" t="inlineStr"/>
      <c r="U120" s="5" t="inlineStr"/>
      <c r="V120" s="5" t="inlineStr">
        <is>
          <t>Medium</t>
        </is>
      </c>
      <c r="W120" s="5" t="inlineStr">
        <is>
          <t>Independent retailer; Core relevant category</t>
        </is>
      </c>
      <c r="X120" s="5" t="inlineStr">
        <is>
          <t>Not Found</t>
        </is>
      </c>
      <c r="Y120" s="5" t="inlineStr">
        <is>
          <t>Not Found</t>
        </is>
      </c>
      <c r="Z120" s="5" t="inlineStr">
        <is>
          <t>Low</t>
        </is>
      </c>
      <c r="AA120" s="5" t="inlineStr">
        <is>
          <t>Requires Verification</t>
        </is>
      </c>
      <c r="AB120" s="5" t="inlineStr">
        <is>
          <t>https://ecigdirectory.co.uk/vape-shop-leeds/</t>
        </is>
      </c>
    </row>
    <row r="121">
      <c r="A121" s="10" t="inlineStr">
        <is>
          <t>WY-0151</t>
        </is>
      </c>
      <c r="B121" s="10" t="inlineStr">
        <is>
          <t>WY-0151-01</t>
        </is>
      </c>
      <c r="C121" s="10" t="inlineStr"/>
      <c r="D121" s="10" t="inlineStr">
        <is>
          <t>Soothill Convenience Store &amp; Off Licence</t>
        </is>
      </c>
      <c r="E121" s="10" t="inlineStr">
        <is>
          <t>Convenience Store</t>
        </is>
      </c>
      <c r="F121" s="10" t="inlineStr">
        <is>
          <t>Convenience store and off-licence</t>
        </is>
      </c>
      <c r="G121" s="10" t="inlineStr">
        <is>
          <t>Independent</t>
        </is>
      </c>
      <c r="H121" s="10" t="inlineStr">
        <is>
          <t>1</t>
        </is>
      </c>
      <c r="I121" s="10" t="inlineStr"/>
      <c r="J121" s="10" t="inlineStr">
        <is>
          <t>Batley</t>
        </is>
      </c>
      <c r="K121" s="10" t="inlineStr"/>
      <c r="L121" s="10" t="inlineStr"/>
      <c r="M121" s="10" t="inlineStr"/>
      <c r="N121" s="10" t="inlineStr"/>
      <c r="O121" s="10" t="inlineStr"/>
      <c r="P121" s="10" t="inlineStr"/>
      <c r="Q121" s="10" t="inlineStr"/>
      <c r="R121" s="10" t="inlineStr"/>
      <c r="S121" s="10" t="inlineStr"/>
      <c r="T121" s="10" t="inlineStr">
        <is>
          <t>11966163</t>
        </is>
      </c>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https://find-and-update.company-information.service.gov.uk/company/11966163/persons-with-significant-control</t>
        </is>
      </c>
    </row>
    <row r="122">
      <c r="A122" s="5" t="inlineStr">
        <is>
          <t>WY-0153</t>
        </is>
      </c>
      <c r="B122" s="5" t="inlineStr">
        <is>
          <t>WY-0153-01</t>
        </is>
      </c>
      <c r="C122" s="5" t="inlineStr"/>
      <c r="D122" s="5" t="inlineStr">
        <is>
          <t>Stainbeck Off Licence (Best-one)</t>
        </is>
      </c>
      <c r="E122" s="5" t="inlineStr">
        <is>
          <t>Off-Licence</t>
        </is>
      </c>
      <c r="F122" s="5" t="inlineStr">
        <is>
          <t>Off-licence and convenience store under Best-one symbol</t>
        </is>
      </c>
      <c r="G122" s="5" t="inlineStr">
        <is>
          <t>Franchise / Symbol Group</t>
        </is>
      </c>
      <c r="H122" s="5" t="inlineStr">
        <is>
          <t>1</t>
        </is>
      </c>
      <c r="I122" s="5" t="inlineStr"/>
      <c r="J122" s="5" t="inlineStr">
        <is>
          <t>Leeds</t>
        </is>
      </c>
      <c r="K122" s="5" t="inlineStr"/>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https://www.yorkshire.com/chapel-allerton/shopping/off-license</t>
        </is>
      </c>
    </row>
    <row r="123">
      <c r="A123" s="10" t="inlineStr">
        <is>
          <t>WY-0154</t>
        </is>
      </c>
      <c r="B123" s="10" t="inlineStr">
        <is>
          <t>WY-0154-01</t>
        </is>
      </c>
      <c r="C123" s="10" t="inlineStr"/>
      <c r="D123" s="10" t="inlineStr">
        <is>
          <t>Star Express Off-Licence &amp; Convenience Store</t>
        </is>
      </c>
      <c r="E123" s="10" t="inlineStr">
        <is>
          <t>Off-Licence</t>
        </is>
      </c>
      <c r="F123" s="10" t="inlineStr">
        <is>
          <t>Off-licence and convenience store</t>
        </is>
      </c>
      <c r="G123" s="10" t="inlineStr">
        <is>
          <t>Independent</t>
        </is>
      </c>
      <c r="H123" s="10" t="inlineStr">
        <is>
          <t>1</t>
        </is>
      </c>
      <c r="I123" s="10" t="inlineStr">
        <is>
          <t>Norfolk Avenue</t>
        </is>
      </c>
      <c r="J123" s="10" t="inlineStr">
        <is>
          <t>Huddersfield</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https://www.yorkshire.com/huddersfield/shopping/off-license/star-express-off-licence-convenience-store</t>
        </is>
      </c>
    </row>
    <row r="124">
      <c r="A124" s="5" t="inlineStr">
        <is>
          <t>WY-0155</t>
        </is>
      </c>
      <c r="B124" s="5" t="inlineStr">
        <is>
          <t>WY-0155-01</t>
        </is>
      </c>
      <c r="C124" s="5" t="inlineStr"/>
      <c r="D124" s="5" t="inlineStr">
        <is>
          <t>Stringers Service Station</t>
        </is>
      </c>
      <c r="E124" s="5" t="inlineStr">
        <is>
          <t>Petrol Station / Forecourt</t>
        </is>
      </c>
      <c r="F124" s="5" t="inlineStr">
        <is>
          <t>Independent forecourt (Murco fuel) with shop</t>
        </is>
      </c>
      <c r="G124" s="5" t="inlineStr">
        <is>
          <t>Independent</t>
        </is>
      </c>
      <c r="H124" s="5" t="inlineStr">
        <is>
          <t>1</t>
        </is>
      </c>
      <c r="I124" s="5" t="inlineStr">
        <is>
          <t>102 Southgate</t>
        </is>
      </c>
      <c r="J124" s="5" t="inlineStr">
        <is>
          <t>Pontefract</t>
        </is>
      </c>
      <c r="K124" s="5" t="inlineStr">
        <is>
          <t>WF8 1PN</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Medium</t>
        </is>
      </c>
      <c r="AA124" s="5" t="inlineStr">
        <is>
          <t>Requires Verification</t>
        </is>
      </c>
      <c r="AB124" s="5" t="inlineStr">
        <is>
          <t>https://www.petrolprices.com/locations/pontefract/grove-road/6837</t>
        </is>
      </c>
    </row>
    <row r="125">
      <c r="A125" s="10" t="inlineStr">
        <is>
          <t>UK-000281</t>
        </is>
      </c>
      <c r="B125" s="10" t="inlineStr">
        <is>
          <t>UK-000281-01</t>
        </is>
      </c>
      <c r="C125" s="10" t="inlineStr"/>
      <c r="D125" s="10" t="inlineStr">
        <is>
          <t>Tang Hall Food &amp; Wine</t>
        </is>
      </c>
      <c r="E125" s="10" t="inlineStr">
        <is>
          <t>Off-Licence</t>
        </is>
      </c>
      <c r="F125" s="10" t="inlineStr">
        <is>
          <t>Off-licence &amp; convenience</t>
        </is>
      </c>
      <c r="G125" s="10" t="inlineStr">
        <is>
          <t>Independent</t>
        </is>
      </c>
      <c r="H125" s="10" t="inlineStr">
        <is>
          <t>1</t>
        </is>
      </c>
      <c r="I125" s="10" t="inlineStr">
        <is>
          <t>202 Melrosegate</t>
        </is>
      </c>
      <c r="J125" s="10" t="inlineStr">
        <is>
          <t>York</t>
        </is>
      </c>
      <c r="K125" s="10" t="inlineStr">
        <is>
          <t>YO10 3SW</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https://www.yorkshire.com/york/shopping/off-license</t>
        </is>
      </c>
    </row>
    <row r="126">
      <c r="A126" s="5" t="inlineStr">
        <is>
          <t>WY-0159</t>
        </is>
      </c>
      <c r="B126" s="5" t="inlineStr">
        <is>
          <t>WY-0159-01</t>
        </is>
      </c>
      <c r="C126" s="5" t="inlineStr"/>
      <c r="D126" s="5" t="inlineStr">
        <is>
          <t>The Local: Elland</t>
        </is>
      </c>
      <c r="E126" s="5" t="inlineStr">
        <is>
          <t>Off-Licence</t>
        </is>
      </c>
      <c r="F126" s="5" t="inlineStr">
        <is>
          <t>Off-licence and everyday essentials</t>
        </is>
      </c>
      <c r="G126" s="5" t="inlineStr">
        <is>
          <t>Unknown</t>
        </is>
      </c>
      <c r="H126" s="5" t="inlineStr">
        <is>
          <t>1</t>
        </is>
      </c>
      <c r="I126" s="5" t="inlineStr">
        <is>
          <t>160 Westgate</t>
        </is>
      </c>
      <c r="J126" s="5" t="inlineStr">
        <is>
          <t>Elland</t>
        </is>
      </c>
      <c r="K126" s="5" t="inlineStr">
        <is>
          <t>HX5 0BB</t>
        </is>
      </c>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Relevant category</t>
        </is>
      </c>
      <c r="X126" s="5" t="inlineStr">
        <is>
          <t>Not Found</t>
        </is>
      </c>
      <c r="Y126" s="5" t="inlineStr">
        <is>
          <t>Not Found</t>
        </is>
      </c>
      <c r="Z126" s="5" t="inlineStr">
        <is>
          <t>Medium</t>
        </is>
      </c>
      <c r="AA126" s="5" t="inlineStr">
        <is>
          <t>Requires Verification</t>
        </is>
      </c>
      <c r="AB126" s="5" t="inlineStr">
        <is>
          <t>https://www.yorkshire.com/elland/shopping/off-license</t>
        </is>
      </c>
    </row>
    <row r="127">
      <c r="A127" s="10" t="inlineStr">
        <is>
          <t>WY-0162</t>
        </is>
      </c>
      <c r="B127" s="10" t="inlineStr">
        <is>
          <t>WY-0162-01</t>
        </is>
      </c>
      <c r="C127" s="10" t="inlineStr"/>
      <c r="D127" s="10" t="inlineStr">
        <is>
          <t>The Vape Shop Wakefield</t>
        </is>
      </c>
      <c r="E127" s="10" t="inlineStr">
        <is>
          <t>Vape Shop</t>
        </is>
      </c>
      <c r="F127" s="10" t="inlineStr">
        <is>
          <t>E-cigarettes and e-liquids (American and British ranges)</t>
        </is>
      </c>
      <c r="G127" s="10" t="inlineStr">
        <is>
          <t>Independent</t>
        </is>
      </c>
      <c r="H127" s="10" t="inlineStr">
        <is>
          <t>1</t>
        </is>
      </c>
      <c r="I127" s="10" t="inlineStr">
        <is>
          <t>Horbury Road</t>
        </is>
      </c>
      <c r="J127" s="10" t="inlineStr">
        <is>
          <t>Wakefield</t>
        </is>
      </c>
      <c r="K127" s="10" t="inlineStr"/>
      <c r="L127" s="10" t="inlineStr"/>
      <c r="M127" s="10" t="inlineStr"/>
      <c r="N127" s="10" t="inlineStr"/>
      <c r="O127" s="10" t="inlineStr"/>
      <c r="P127" s="10" t="inlineStr">
        <is>
          <t>https://www.facebook.com/vapeshopwakefield.uk/</t>
        </is>
      </c>
      <c r="Q127" s="10" t="inlineStr"/>
      <c r="R127" s="10" t="inlineStr"/>
      <c r="S127" s="10" t="inlineStr"/>
      <c r="T127" s="10" t="inlineStr"/>
      <c r="U127" s="10" t="inlineStr"/>
      <c r="V127" s="10" t="inlineStr">
        <is>
          <t>Medium</t>
        </is>
      </c>
      <c r="W127" s="10" t="inlineStr">
        <is>
          <t>Independent retailer; Core relevant category; Social presence</t>
        </is>
      </c>
      <c r="X127" s="10" t="inlineStr">
        <is>
          <t>Not Found</t>
        </is>
      </c>
      <c r="Y127" s="10" t="inlineStr">
        <is>
          <t>Not Found</t>
        </is>
      </c>
      <c r="Z127" s="10" t="inlineStr">
        <is>
          <t>Low</t>
        </is>
      </c>
      <c r="AA127" s="10" t="inlineStr">
        <is>
          <t>Requires Verification</t>
        </is>
      </c>
      <c r="AB127" s="10" t="inlineStr">
        <is>
          <t>https://www.facebook.com/vapeshopwakefield.uk/</t>
        </is>
      </c>
    </row>
    <row r="128">
      <c r="A128" s="5" t="inlineStr">
        <is>
          <t>UK-000286</t>
        </is>
      </c>
      <c r="B128" s="5" t="inlineStr">
        <is>
          <t>UK-000286-01</t>
        </is>
      </c>
      <c r="C128" s="5" t="inlineStr"/>
      <c r="D128" s="5" t="inlineStr">
        <is>
          <t>The Vape Supermarket</t>
        </is>
      </c>
      <c r="E128" s="5" t="inlineStr">
        <is>
          <t>Vape Shop</t>
        </is>
      </c>
      <c r="F128" s="5" t="inlineStr">
        <is>
          <t>Vape shop</t>
        </is>
      </c>
      <c r="G128" s="5" t="inlineStr">
        <is>
          <t>Independent</t>
        </is>
      </c>
      <c r="H128" s="5" t="inlineStr">
        <is>
          <t>1</t>
        </is>
      </c>
      <c r="I128" s="5" t="inlineStr"/>
      <c r="J128" s="5" t="inlineStr">
        <is>
          <t>Barnsley</t>
        </is>
      </c>
      <c r="K128" s="5" t="inlineStr"/>
      <c r="L128" s="5" t="inlineStr"/>
      <c r="M128" s="5" t="inlineStr"/>
      <c r="N128" s="5" t="inlineStr"/>
      <c r="O128" s="5" t="inlineStr"/>
      <c r="P128" s="5" t="inlineStr">
        <is>
          <t>https://www.facebook.com/TheVapeSupermarket/</t>
        </is>
      </c>
      <c r="Q128" s="5" t="inlineStr"/>
      <c r="R128" s="5" t="inlineStr"/>
      <c r="S128" s="5" t="inlineStr"/>
      <c r="T128" s="5" t="inlineStr"/>
      <c r="U128" s="5" t="inlineStr"/>
      <c r="V128" s="5" t="inlineStr">
        <is>
          <t>Medium</t>
        </is>
      </c>
      <c r="W128" s="5" t="inlineStr">
        <is>
          <t>Independent retailer; Core relevant category; Social presence</t>
        </is>
      </c>
      <c r="X128" s="5" t="inlineStr">
        <is>
          <t>Not Found</t>
        </is>
      </c>
      <c r="Y128" s="5" t="inlineStr">
        <is>
          <t>Not Found</t>
        </is>
      </c>
      <c r="Z128" s="5" t="inlineStr">
        <is>
          <t>Low</t>
        </is>
      </c>
      <c r="AA128" s="5" t="inlineStr">
        <is>
          <t>Requires Verification</t>
        </is>
      </c>
      <c r="AB128" s="5" t="inlineStr">
        <is>
          <t>https://www.facebook.com/TheVapeSupermarket/</t>
        </is>
      </c>
    </row>
    <row r="129">
      <c r="A129" s="10" t="inlineStr">
        <is>
          <t>UK-000287</t>
        </is>
      </c>
      <c r="B129" s="10" t="inlineStr">
        <is>
          <t>UK-000287-01</t>
        </is>
      </c>
      <c r="C129" s="10" t="inlineStr"/>
      <c r="D129" s="10" t="inlineStr">
        <is>
          <t>The Vapers Guild</t>
        </is>
      </c>
      <c r="E129" s="10" t="inlineStr">
        <is>
          <t>Vape Shop</t>
        </is>
      </c>
      <c r="F129" s="10" t="inlineStr">
        <is>
          <t>E-cigarette and e-liquid shop</t>
        </is>
      </c>
      <c r="G129" s="10" t="inlineStr">
        <is>
          <t>Independent</t>
        </is>
      </c>
      <c r="H129" s="10" t="inlineStr">
        <is>
          <t>1</t>
        </is>
      </c>
      <c r="I129" s="10" t="inlineStr"/>
      <c r="J129" s="10" t="inlineStr">
        <is>
          <t>Kingston upon Hull</t>
        </is>
      </c>
      <c r="K129" s="10" t="inlineStr"/>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Independent retailer; Core relevant category</t>
        </is>
      </c>
      <c r="X129" s="10" t="inlineStr">
        <is>
          <t>Not Found</t>
        </is>
      </c>
      <c r="Y129" s="10" t="inlineStr">
        <is>
          <t>Not Found</t>
        </is>
      </c>
      <c r="Z129" s="10" t="inlineStr">
        <is>
          <t>Low</t>
        </is>
      </c>
      <c r="AA129" s="10" t="inlineStr">
        <is>
          <t>Requires Verification</t>
        </is>
      </c>
      <c r="AB129" s="10" t="inlineStr">
        <is>
          <t>https://ecigdirectory.co.uk/vape-shop/listing/the-vapers-guild-hull</t>
        </is>
      </c>
    </row>
    <row r="130">
      <c r="A130" s="5" t="inlineStr">
        <is>
          <t>WY-0163</t>
        </is>
      </c>
      <c r="B130" s="5" t="inlineStr">
        <is>
          <t>WY-0163-01</t>
        </is>
      </c>
      <c r="C130" s="5" t="inlineStr"/>
      <c r="D130" s="5" t="inlineStr">
        <is>
          <t>The Vintage Vapour Co</t>
        </is>
      </c>
      <c r="E130" s="5" t="inlineStr">
        <is>
          <t>Vape Shop</t>
        </is>
      </c>
      <c r="F130" s="5" t="inlineStr">
        <is>
          <t>Vape retailer</t>
        </is>
      </c>
      <c r="G130" s="5" t="inlineStr">
        <is>
          <t>Independent</t>
        </is>
      </c>
      <c r="H130" s="5" t="inlineStr">
        <is>
          <t>1</t>
        </is>
      </c>
      <c r="I130" s="5" t="inlineStr">
        <is>
          <t>12 Town End</t>
        </is>
      </c>
      <c r="J130" s="5" t="inlineStr">
        <is>
          <t>Ossett</t>
        </is>
      </c>
      <c r="K130" s="5" t="inlineStr">
        <is>
          <t>WF5 8BJ</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https://vapegeezer.co.uk/vape-shop-directory/locations/west-yorkshire/</t>
        </is>
      </c>
    </row>
    <row r="131">
      <c r="A131" s="10" t="inlineStr">
        <is>
          <t>WY-0166</t>
        </is>
      </c>
      <c r="B131" s="10" t="inlineStr">
        <is>
          <t>WY-0166-01</t>
        </is>
      </c>
      <c r="C131" s="10" t="inlineStr"/>
      <c r="D131" s="10" t="inlineStr">
        <is>
          <t>Told Vape Co</t>
        </is>
      </c>
      <c r="E131" s="10" t="inlineStr">
        <is>
          <t>Vape Shop</t>
        </is>
      </c>
      <c r="F131" s="10" t="inlineStr">
        <is>
          <t>Vape retailer</t>
        </is>
      </c>
      <c r="G131" s="10" t="inlineStr">
        <is>
          <t>Independent</t>
        </is>
      </c>
      <c r="H131" s="10" t="inlineStr">
        <is>
          <t>1</t>
        </is>
      </c>
      <c r="I131" s="10" t="inlineStr">
        <is>
          <t>29 Queen Street</t>
        </is>
      </c>
      <c r="J131" s="10" t="inlineStr">
        <is>
          <t>Horbury</t>
        </is>
      </c>
      <c r="K131" s="10" t="inlineStr">
        <is>
          <t>WF4 6LP</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Independent retailer; Core relevant category</t>
        </is>
      </c>
      <c r="X131" s="10" t="inlineStr">
        <is>
          <t>Not Found</t>
        </is>
      </c>
      <c r="Y131" s="10" t="inlineStr">
        <is>
          <t>Not Found</t>
        </is>
      </c>
      <c r="Z131" s="10" t="inlineStr">
        <is>
          <t>Medium</t>
        </is>
      </c>
      <c r="AA131" s="10" t="inlineStr">
        <is>
          <t>Requires Verification</t>
        </is>
      </c>
      <c r="AB131" s="10" t="inlineStr">
        <is>
          <t>https://ecigdirectory.co.uk/vape-shop/listing/told-vape-co</t>
        </is>
      </c>
    </row>
    <row r="132">
      <c r="A132" s="5" t="inlineStr">
        <is>
          <t>WY-0167</t>
        </is>
      </c>
      <c r="B132" s="5" t="inlineStr">
        <is>
          <t>WY-0167-01</t>
        </is>
      </c>
      <c r="C132" s="5" t="inlineStr"/>
      <c r="D132" s="5" t="inlineStr">
        <is>
          <t>Top Shelf Off Licence</t>
        </is>
      </c>
      <c r="E132" s="5" t="inlineStr">
        <is>
          <t>Off-Licence</t>
        </is>
      </c>
      <c r="F132" s="5" t="inlineStr">
        <is>
          <t>Off-licence</t>
        </is>
      </c>
      <c r="G132" s="5" t="inlineStr">
        <is>
          <t>Independent</t>
        </is>
      </c>
      <c r="H132" s="5" t="inlineStr">
        <is>
          <t>1</t>
        </is>
      </c>
      <c r="I132" s="5" t="inlineStr">
        <is>
          <t>557 Leeds Road</t>
        </is>
      </c>
      <c r="J132" s="5" t="inlineStr">
        <is>
          <t>Wakefield</t>
        </is>
      </c>
      <c r="K132" s="5" t="inlineStr">
        <is>
          <t>WF1 2JL</t>
        </is>
      </c>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https://www.foodhygienerankings.co.uk/authorities/wakefield</t>
        </is>
      </c>
    </row>
    <row r="133">
      <c r="A133" s="10" t="inlineStr">
        <is>
          <t>WY-0168</t>
        </is>
      </c>
      <c r="B133" s="10" t="inlineStr">
        <is>
          <t>WY-0168-01</t>
        </is>
      </c>
      <c r="C133" s="10" t="inlineStr"/>
      <c r="D133" s="10" t="inlineStr">
        <is>
          <t>Turners Food &amp; Wine</t>
        </is>
      </c>
      <c r="E133" s="10" t="inlineStr">
        <is>
          <t>Convenience Store</t>
        </is>
      </c>
      <c r="F133" s="10" t="inlineStr">
        <is>
          <t>Convenience store with off-licence</t>
        </is>
      </c>
      <c r="G133" s="10" t="inlineStr">
        <is>
          <t>Independent</t>
        </is>
      </c>
      <c r="H133" s="10" t="inlineStr">
        <is>
          <t>1</t>
        </is>
      </c>
      <c r="I133" s="10" t="inlineStr"/>
      <c r="J133" s="10" t="inlineStr">
        <is>
          <t>Leeds</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https://www.yorkshire.com/leeds/shopping/off-license</t>
        </is>
      </c>
    </row>
    <row r="134">
      <c r="A134" s="5" t="inlineStr">
        <is>
          <t>WY-0169</t>
        </is>
      </c>
      <c r="B134" s="5" t="inlineStr">
        <is>
          <t>WY-0169-01</t>
        </is>
      </c>
      <c r="C134" s="5" t="inlineStr"/>
      <c r="D134" s="5" t="inlineStr">
        <is>
          <t>Tylor's Booze</t>
        </is>
      </c>
      <c r="E134" s="5" t="inlineStr">
        <is>
          <t>Off-Licence</t>
        </is>
      </c>
      <c r="F134" s="5" t="inlineStr">
        <is>
          <t>Off-licence</t>
        </is>
      </c>
      <c r="G134" s="5" t="inlineStr">
        <is>
          <t>Independent</t>
        </is>
      </c>
      <c r="H134" s="5" t="inlineStr">
        <is>
          <t>1</t>
        </is>
      </c>
      <c r="I134" s="5" t="inlineStr">
        <is>
          <t>33 Albion Street</t>
        </is>
      </c>
      <c r="J134" s="5" t="inlineStr">
        <is>
          <t>Castleford</t>
        </is>
      </c>
      <c r="K134" s="5" t="inlineStr">
        <is>
          <t>WF10 1EG</t>
        </is>
      </c>
      <c r="L134" s="5" t="inlineStr"/>
      <c r="M134" s="5" t="inlineStr"/>
      <c r="N134" s="5" t="inlineStr"/>
      <c r="O134" s="5" t="inlineStr"/>
      <c r="P134" s="5" t="inlineStr"/>
      <c r="Q134" s="5" t="inlineStr"/>
      <c r="R134" s="5" t="inlineStr"/>
      <c r="S134" s="5" t="inlineStr"/>
      <c r="T134" s="5" t="inlineStr">
        <is>
          <t>12100725</t>
        </is>
      </c>
      <c r="U134" s="5" t="inlineStr">
        <is>
          <t>Active</t>
        </is>
      </c>
      <c r="V134" s="5" t="inlineStr">
        <is>
          <t>Low</t>
        </is>
      </c>
      <c r="W134" s="5" t="inlineStr">
        <is>
          <t>Independent retailer; Relevant category</t>
        </is>
      </c>
      <c r="X134" s="5" t="inlineStr">
        <is>
          <t>Not Found</t>
        </is>
      </c>
      <c r="Y134" s="5" t="inlineStr">
        <is>
          <t>Not Found</t>
        </is>
      </c>
      <c r="Z134" s="5" t="inlineStr">
        <is>
          <t>Medium</t>
        </is>
      </c>
      <c r="AA134" s="5" t="inlineStr">
        <is>
          <t>Partially Verified</t>
        </is>
      </c>
      <c r="AB134" s="5" t="inlineStr">
        <is>
          <t>https://find-and-update.company-information.service.gov.uk/company/12100725</t>
        </is>
      </c>
    </row>
    <row r="135">
      <c r="A135" s="10" t="inlineStr">
        <is>
          <t>WY-0170</t>
        </is>
      </c>
      <c r="B135" s="10" t="inlineStr">
        <is>
          <t>WY-0170-01</t>
        </is>
      </c>
      <c r="C135" s="10" t="inlineStr"/>
      <c r="D135" s="10" t="inlineStr">
        <is>
          <t>Umrah Supermarket</t>
        </is>
      </c>
      <c r="E135" s="10" t="inlineStr">
        <is>
          <t>Independent Supermarket</t>
        </is>
      </c>
      <c r="F135" s="10" t="inlineStr">
        <is>
          <t>South Asian, Middle Eastern and African foods supermarket</t>
        </is>
      </c>
      <c r="G135" s="10" t="inlineStr">
        <is>
          <t>Independent</t>
        </is>
      </c>
      <c r="H135" s="10" t="inlineStr">
        <is>
          <t>1</t>
        </is>
      </c>
      <c r="I135" s="10" t="inlineStr">
        <is>
          <t>Trinity Street</t>
        </is>
      </c>
      <c r="J135" s="10" t="inlineStr">
        <is>
          <t>Huddersfield</t>
        </is>
      </c>
      <c r="K135" s="10" t="inlineStr"/>
      <c r="L135" s="10" t="inlineStr"/>
      <c r="M135" s="10" t="inlineStr"/>
      <c r="N135" s="10" t="inlineStr"/>
      <c r="O135" s="10" t="inlineStr"/>
      <c r="P135" s="10" t="inlineStr">
        <is>
          <t>https://www.facebook.com/p/Umrah-Supermarket-Huddersfield-61555683256072/</t>
        </is>
      </c>
      <c r="Q135" s="10" t="inlineStr"/>
      <c r="R135" s="10" t="inlineStr"/>
      <c r="S135" s="10" t="inlineStr"/>
      <c r="T135" s="10" t="inlineStr"/>
      <c r="U135" s="10" t="inlineStr"/>
      <c r="V135" s="10" t="inlineStr">
        <is>
          <t>Medium</t>
        </is>
      </c>
      <c r="W135" s="10" t="inlineStr">
        <is>
          <t>Independent retailer; Relevant category; Social presence</t>
        </is>
      </c>
      <c r="X135" s="10" t="inlineStr">
        <is>
          <t>Not Found</t>
        </is>
      </c>
      <c r="Y135" s="10" t="inlineStr">
        <is>
          <t>Not Found</t>
        </is>
      </c>
      <c r="Z135" s="10" t="inlineStr">
        <is>
          <t>Low</t>
        </is>
      </c>
      <c r="AA135" s="10" t="inlineStr">
        <is>
          <t>Requires Verification</t>
        </is>
      </c>
      <c r="AB135" s="10" t="inlineStr">
        <is>
          <t>https://www.facebook.com/p/Umrah-Supermarket-Huddersfield-61555683256072/</t>
        </is>
      </c>
    </row>
    <row r="136">
      <c r="A136" s="5" t="inlineStr">
        <is>
          <t>WY-0172</t>
        </is>
      </c>
      <c r="B136" s="5" t="inlineStr">
        <is>
          <t>WY-0172-01</t>
        </is>
      </c>
      <c r="C136" s="5" t="inlineStr"/>
      <c r="D136" s="5" t="inlineStr">
        <is>
          <t>Vape Dream</t>
        </is>
      </c>
      <c r="E136" s="5" t="inlineStr">
        <is>
          <t>Vape Shop</t>
        </is>
      </c>
      <c r="F136" s="5" t="inlineStr">
        <is>
          <t>Vape retailer</t>
        </is>
      </c>
      <c r="G136" s="5" t="inlineStr">
        <is>
          <t>Independent</t>
        </is>
      </c>
      <c r="H136" s="5" t="inlineStr">
        <is>
          <t>1</t>
        </is>
      </c>
      <c r="I136" s="5" t="inlineStr"/>
      <c r="J136" s="5" t="inlineStr">
        <is>
          <t>Dewsbury</t>
        </is>
      </c>
      <c r="K136" s="5" t="inlineStr"/>
      <c r="L136" s="5" t="inlineStr"/>
      <c r="M136" s="5" t="inlineStr"/>
      <c r="N136" s="5" t="inlineStr"/>
      <c r="O136" s="5" t="inlineStr"/>
      <c r="P136" s="5" t="inlineStr">
        <is>
          <t>https://www.facebook.com/p/Vape-Dream-Vape-Shop-61558567906935/</t>
        </is>
      </c>
      <c r="Q136" s="5" t="inlineStr"/>
      <c r="R136" s="5" t="inlineStr"/>
      <c r="S136" s="5" t="inlineStr"/>
      <c r="T136" s="5" t="inlineStr"/>
      <c r="U136" s="5" t="inlineStr"/>
      <c r="V136" s="5" t="inlineStr">
        <is>
          <t>Medium</t>
        </is>
      </c>
      <c r="W136" s="5" t="inlineStr">
        <is>
          <t>Independent retailer; Core relevant category; Social presence</t>
        </is>
      </c>
      <c r="X136" s="5" t="inlineStr">
        <is>
          <t>Not Found</t>
        </is>
      </c>
      <c r="Y136" s="5" t="inlineStr">
        <is>
          <t>Not Found</t>
        </is>
      </c>
      <c r="Z136" s="5" t="inlineStr">
        <is>
          <t>Low</t>
        </is>
      </c>
      <c r="AA136" s="5" t="inlineStr">
        <is>
          <t>Requires Verification</t>
        </is>
      </c>
      <c r="AB136" s="5" t="inlineStr">
        <is>
          <t>https://www.facebook.com/p/Vape-Dream-Vape-Shop-61558567906935/</t>
        </is>
      </c>
    </row>
    <row r="137">
      <c r="A137" s="10" t="inlineStr">
        <is>
          <t>UK-000288</t>
        </is>
      </c>
      <c r="B137" s="10" t="inlineStr">
        <is>
          <t>UK-000288-01</t>
        </is>
      </c>
      <c r="C137" s="10" t="inlineStr"/>
      <c r="D137" s="10" t="inlineStr">
        <is>
          <t>Vape HQ Stocksbridge</t>
        </is>
      </c>
      <c r="E137" s="10" t="inlineStr">
        <is>
          <t>Vape Shop</t>
        </is>
      </c>
      <c r="F137" s="10" t="inlineStr">
        <is>
          <t>Vape shop</t>
        </is>
      </c>
      <c r="G137" s="10" t="inlineStr">
        <is>
          <t>Independent</t>
        </is>
      </c>
      <c r="H137" s="10" t="inlineStr">
        <is>
          <t>1</t>
        </is>
      </c>
      <c r="I137" s="10" t="inlineStr"/>
      <c r="J137" s="10" t="inlineStr">
        <is>
          <t>Sheffield</t>
        </is>
      </c>
      <c r="K137" s="10" t="inlineStr"/>
      <c r="L137" s="10" t="inlineStr"/>
      <c r="M137" s="10" t="inlineStr"/>
      <c r="N137" s="10" t="inlineStr"/>
      <c r="O137" s="10" t="inlineStr"/>
      <c r="P137" s="10" t="inlineStr">
        <is>
          <t>https://www.facebook.com/VHQStocksbridge/</t>
        </is>
      </c>
      <c r="Q137" s="10" t="inlineStr"/>
      <c r="R137" s="10" t="inlineStr"/>
      <c r="S137" s="10" t="inlineStr"/>
      <c r="T137" s="10" t="inlineStr"/>
      <c r="U137" s="10" t="inlineStr"/>
      <c r="V137" s="10" t="inlineStr">
        <is>
          <t>Medium</t>
        </is>
      </c>
      <c r="W137" s="10" t="inlineStr">
        <is>
          <t>Independent retailer; Core relevant category; Social presence</t>
        </is>
      </c>
      <c r="X137" s="10" t="inlineStr">
        <is>
          <t>Not Found</t>
        </is>
      </c>
      <c r="Y137" s="10" t="inlineStr">
        <is>
          <t>Not Found</t>
        </is>
      </c>
      <c r="Z137" s="10" t="inlineStr">
        <is>
          <t>Low</t>
        </is>
      </c>
      <c r="AA137" s="10" t="inlineStr">
        <is>
          <t>Requires Verification</t>
        </is>
      </c>
      <c r="AB137" s="10" t="inlineStr">
        <is>
          <t>https://www.facebook.com/VHQStocksbridge/</t>
        </is>
      </c>
    </row>
    <row r="138">
      <c r="A138" s="5" t="inlineStr">
        <is>
          <t>WY-0173</t>
        </is>
      </c>
      <c r="B138" s="5" t="inlineStr">
        <is>
          <t>WY-0173-01</t>
        </is>
      </c>
      <c r="C138" s="5" t="inlineStr"/>
      <c r="D138" s="5" t="inlineStr">
        <is>
          <t>Vape N Go</t>
        </is>
      </c>
      <c r="E138" s="5" t="inlineStr">
        <is>
          <t>Vape Shop</t>
        </is>
      </c>
      <c r="F138" s="5" t="inlineStr"/>
      <c r="G138" s="5" t="inlineStr">
        <is>
          <t>Independent</t>
        </is>
      </c>
      <c r="H138" s="5" t="inlineStr">
        <is>
          <t>1</t>
        </is>
      </c>
      <c r="I138" s="5" t="inlineStr">
        <is>
          <t>14 The Square</t>
        </is>
      </c>
      <c r="J138" s="5" t="inlineStr">
        <is>
          <t>Halifax</t>
        </is>
      </c>
      <c r="K138" s="5" t="inlineStr">
        <is>
          <t>HX1 1RU</t>
        </is>
      </c>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Not Found</t>
        </is>
      </c>
      <c r="Y138" s="5" t="inlineStr">
        <is>
          <t>Not Found</t>
        </is>
      </c>
      <c r="Z138" s="5" t="inlineStr">
        <is>
          <t>Low</t>
        </is>
      </c>
      <c r="AA138" s="5" t="inlineStr">
        <is>
          <t>Requires Verification</t>
        </is>
      </c>
      <c r="AB138" s="5" t="inlineStr">
        <is>
          <t>https://www.yell.com/s/tobacconists-halifax.html</t>
        </is>
      </c>
    </row>
    <row r="139">
      <c r="A139" s="10" t="inlineStr">
        <is>
          <t>UK-000289</t>
        </is>
      </c>
      <c r="B139" s="10" t="inlineStr">
        <is>
          <t>UK-000289-01</t>
        </is>
      </c>
      <c r="C139" s="10" t="inlineStr"/>
      <c r="D139" s="10" t="inlineStr">
        <is>
          <t>Vape Newland</t>
        </is>
      </c>
      <c r="E139" s="10" t="inlineStr">
        <is>
          <t>Vape Shop</t>
        </is>
      </c>
      <c r="F139" s="10" t="inlineStr">
        <is>
          <t>E-liquid and hardware shop</t>
        </is>
      </c>
      <c r="G139" s="10" t="inlineStr">
        <is>
          <t>Independent</t>
        </is>
      </c>
      <c r="H139" s="10" t="inlineStr">
        <is>
          <t>1</t>
        </is>
      </c>
      <c r="I139" s="10" t="inlineStr">
        <is>
          <t>124 Newland Avenue</t>
        </is>
      </c>
      <c r="J139" s="10" t="inlineStr">
        <is>
          <t>Kingston upon Hull</t>
        </is>
      </c>
      <c r="K139" s="10" t="inlineStr"/>
      <c r="L139" s="10" t="inlineStr"/>
      <c r="M139" s="10" t="inlineStr"/>
      <c r="N139" s="10" t="inlineStr"/>
      <c r="O139" s="10" t="inlineStr"/>
      <c r="P139" s="10" t="inlineStr">
        <is>
          <t>https://www.facebook.com/p/Vape-Newland-100086500027739/</t>
        </is>
      </c>
      <c r="Q139" s="10" t="inlineStr"/>
      <c r="R139" s="10" t="inlineStr"/>
      <c r="S139" s="10" t="inlineStr"/>
      <c r="T139" s="10" t="inlineStr"/>
      <c r="U139" s="10" t="inlineStr"/>
      <c r="V139" s="10" t="inlineStr">
        <is>
          <t>Medium</t>
        </is>
      </c>
      <c r="W139" s="10" t="inlineStr">
        <is>
          <t>Independent retailer; Core relevant category; Social presence</t>
        </is>
      </c>
      <c r="X139" s="10" t="inlineStr">
        <is>
          <t>Not Found</t>
        </is>
      </c>
      <c r="Y139" s="10" t="inlineStr">
        <is>
          <t>Not Found</t>
        </is>
      </c>
      <c r="Z139" s="10" t="inlineStr">
        <is>
          <t>Low</t>
        </is>
      </c>
      <c r="AA139" s="10" t="inlineStr">
        <is>
          <t>Requires Verification</t>
        </is>
      </c>
      <c r="AB139" s="10" t="inlineStr">
        <is>
          <t>https://www.facebook.com/p/Vape-Newland-100086500027739/</t>
        </is>
      </c>
    </row>
    <row r="140">
      <c r="A140" s="5" t="inlineStr">
        <is>
          <t>WY-0176</t>
        </is>
      </c>
      <c r="B140" s="5" t="inlineStr">
        <is>
          <t>WY-0176-01</t>
        </is>
      </c>
      <c r="C140" s="5" t="inlineStr"/>
      <c r="D140" s="5" t="inlineStr">
        <is>
          <t>Vape Road Cleckheaton</t>
        </is>
      </c>
      <c r="E140" s="5" t="inlineStr">
        <is>
          <t>Vape Shop</t>
        </is>
      </c>
      <c r="F140" s="5" t="inlineStr">
        <is>
          <t>Vape retailer</t>
        </is>
      </c>
      <c r="G140" s="5" t="inlineStr">
        <is>
          <t>Independent</t>
        </is>
      </c>
      <c r="H140" s="5" t="inlineStr">
        <is>
          <t>1</t>
        </is>
      </c>
      <c r="I140" s="5" t="inlineStr">
        <is>
          <t>Railway Street</t>
        </is>
      </c>
      <c r="J140" s="5" t="inlineStr">
        <is>
          <t>Cleckheaton</t>
        </is>
      </c>
      <c r="K140" s="5" t="inlineStr"/>
      <c r="L140" s="5" t="inlineStr"/>
      <c r="M140" s="5" t="inlineStr"/>
      <c r="N140" s="5" t="inlineStr"/>
      <c r="O140" s="5" t="inlineStr"/>
      <c r="P140" s="5" t="inlineStr"/>
      <c r="Q140" s="5" t="inlineStr"/>
      <c r="R140" s="5" t="inlineStr"/>
      <c r="S140" s="5" t="inlineStr"/>
      <c r="T140" s="5" t="inlineStr"/>
      <c r="U140" s="5" t="inlineStr"/>
      <c r="V140" s="5" t="inlineStr">
        <is>
          <t>Medium</t>
        </is>
      </c>
      <c r="W140" s="5" t="inlineStr">
        <is>
          <t>Independent retailer; Core relevant category</t>
        </is>
      </c>
      <c r="X140" s="5" t="inlineStr">
        <is>
          <t>Not Found</t>
        </is>
      </c>
      <c r="Y140" s="5" t="inlineStr">
        <is>
          <t>Not Found</t>
        </is>
      </c>
      <c r="Z140" s="5" t="inlineStr">
        <is>
          <t>Low</t>
        </is>
      </c>
      <c r="AA140" s="5" t="inlineStr">
        <is>
          <t>Requires Verification</t>
        </is>
      </c>
      <c r="AB140" s="5" t="inlineStr">
        <is>
          <t>https://cleckheaton.cylex-uk.co.uk/company/vape-road-cleckheaton-26986187.html</t>
        </is>
      </c>
    </row>
    <row r="141">
      <c r="A141" s="10" t="inlineStr">
        <is>
          <t>UK-000290</t>
        </is>
      </c>
      <c r="B141" s="10" t="inlineStr">
        <is>
          <t>UK-000290-01</t>
        </is>
      </c>
      <c r="C141" s="10" t="inlineStr"/>
      <c r="D141" s="10" t="inlineStr">
        <is>
          <t>Vape Safe Bridlington</t>
        </is>
      </c>
      <c r="E141" s="10" t="inlineStr">
        <is>
          <t>Vape Shop</t>
        </is>
      </c>
      <c r="F141" s="10" t="inlineStr">
        <is>
          <t>E-liquid and hardware shop</t>
        </is>
      </c>
      <c r="G141" s="10" t="inlineStr">
        <is>
          <t>Independent</t>
        </is>
      </c>
      <c r="H141" s="10" t="inlineStr">
        <is>
          <t>1</t>
        </is>
      </c>
      <c r="I141" s="10" t="inlineStr">
        <is>
          <t>4b Promenade</t>
        </is>
      </c>
      <c r="J141" s="10" t="inlineStr">
        <is>
          <t>Bridlington</t>
        </is>
      </c>
      <c r="K141" s="10" t="inlineStr">
        <is>
          <t>YO15 2PX</t>
        </is>
      </c>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Independent retailer; Core relevant category</t>
        </is>
      </c>
      <c r="X141" s="10" t="inlineStr">
        <is>
          <t>Not Found</t>
        </is>
      </c>
      <c r="Y141" s="10" t="inlineStr">
        <is>
          <t>Not Found</t>
        </is>
      </c>
      <c r="Z141" s="10" t="inlineStr">
        <is>
          <t>Low</t>
        </is>
      </c>
      <c r="AA141" s="10" t="inlineStr">
        <is>
          <t>Requires Verification</t>
        </is>
      </c>
      <c r="AB141" s="10" t="inlineStr">
        <is>
          <t>https://www.yell.com/s/vape+shops-bridlington.html</t>
        </is>
      </c>
    </row>
    <row r="142">
      <c r="A142" s="5" t="inlineStr">
        <is>
          <t>UK-000291</t>
        </is>
      </c>
      <c r="B142" s="5" t="inlineStr">
        <is>
          <t>UK-000291-01</t>
        </is>
      </c>
      <c r="C142" s="5" t="inlineStr"/>
      <c r="D142" s="5" t="inlineStr">
        <is>
          <t>Vape Store &amp; Bargains Galore</t>
        </is>
      </c>
      <c r="E142" s="5" t="inlineStr">
        <is>
          <t>Vape Shop</t>
        </is>
      </c>
      <c r="F142" s="5" t="inlineStr">
        <is>
          <t>Vape shop and discount store</t>
        </is>
      </c>
      <c r="G142" s="5" t="inlineStr">
        <is>
          <t>Independent</t>
        </is>
      </c>
      <c r="H142" s="5" t="inlineStr">
        <is>
          <t>1</t>
        </is>
      </c>
      <c r="I142" s="5" t="inlineStr"/>
      <c r="J142" s="5" t="inlineStr">
        <is>
          <t>Barnsley</t>
        </is>
      </c>
      <c r="K142" s="5" t="inlineStr"/>
      <c r="L142" s="5" t="inlineStr"/>
      <c r="M142" s="5" t="inlineStr"/>
      <c r="N142" s="5" t="inlineStr"/>
      <c r="O142" s="5" t="inlineStr"/>
      <c r="P142" s="5" t="inlineStr">
        <is>
          <t>https://www.facebook.com/VapeStorebarnsley/</t>
        </is>
      </c>
      <c r="Q142" s="5" t="inlineStr"/>
      <c r="R142" s="5" t="inlineStr"/>
      <c r="S142" s="5" t="inlineStr"/>
      <c r="T142" s="5" t="inlineStr"/>
      <c r="U142" s="5" t="inlineStr"/>
      <c r="V142" s="5" t="inlineStr">
        <is>
          <t>Medium</t>
        </is>
      </c>
      <c r="W142" s="5" t="inlineStr">
        <is>
          <t>Independent retailer; Core relevant category; Social presence</t>
        </is>
      </c>
      <c r="X142" s="5" t="inlineStr">
        <is>
          <t>Not Found</t>
        </is>
      </c>
      <c r="Y142" s="5" t="inlineStr">
        <is>
          <t>Not Found</t>
        </is>
      </c>
      <c r="Z142" s="5" t="inlineStr">
        <is>
          <t>Low</t>
        </is>
      </c>
      <c r="AA142" s="5" t="inlineStr">
        <is>
          <t>Requires Verification</t>
        </is>
      </c>
      <c r="AB142" s="5" t="inlineStr">
        <is>
          <t>https://www.yell.com/biz/vape-store-and-bargains-galore-barnsley-10072936/</t>
        </is>
      </c>
    </row>
    <row r="143">
      <c r="A143" s="10" t="inlineStr">
        <is>
          <t>WY-0178</t>
        </is>
      </c>
      <c r="B143" s="10" t="inlineStr">
        <is>
          <t>WY-0178-01</t>
        </is>
      </c>
      <c r="C143" s="10" t="inlineStr"/>
      <c r="D143" s="10" t="inlineStr">
        <is>
          <t>Vape and Wine Village</t>
        </is>
      </c>
      <c r="E143" s="10" t="inlineStr">
        <is>
          <t>Off-Licence</t>
        </is>
      </c>
      <c r="F143" s="10" t="inlineStr">
        <is>
          <t>Off-licence and vape shop</t>
        </is>
      </c>
      <c r="G143" s="10" t="inlineStr">
        <is>
          <t>Independent</t>
        </is>
      </c>
      <c r="H143" s="10" t="inlineStr">
        <is>
          <t>1</t>
        </is>
      </c>
      <c r="I143" s="10" t="inlineStr">
        <is>
          <t>13-15 Hyde Park Road</t>
        </is>
      </c>
      <c r="J143" s="10" t="inlineStr">
        <is>
          <t>Leeds</t>
        </is>
      </c>
      <c r="K143" s="10" t="inlineStr">
        <is>
          <t>LS6 1PY</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https://www.yorkshire.com/leeds/shopping/off-license</t>
        </is>
      </c>
    </row>
    <row r="144">
      <c r="A144" s="5" t="inlineStr">
        <is>
          <t>WY-0179</t>
        </is>
      </c>
      <c r="B144" s="5" t="inlineStr">
        <is>
          <t>WY-0179-01</t>
        </is>
      </c>
      <c r="C144" s="5" t="inlineStr"/>
      <c r="D144" s="5" t="inlineStr">
        <is>
          <t>VapeShop Leeds</t>
        </is>
      </c>
      <c r="E144" s="5" t="inlineStr">
        <is>
          <t>Vape Shop</t>
        </is>
      </c>
      <c r="F144" s="5" t="inlineStr">
        <is>
          <t>E-cigarette specialist</t>
        </is>
      </c>
      <c r="G144" s="5" t="inlineStr">
        <is>
          <t>Independent</t>
        </is>
      </c>
      <c r="H144" s="5" t="inlineStr">
        <is>
          <t>1</t>
        </is>
      </c>
      <c r="I144" s="5" t="inlineStr">
        <is>
          <t>229 Selby Road</t>
        </is>
      </c>
      <c r="J144" s="5" t="inlineStr">
        <is>
          <t>Leeds</t>
        </is>
      </c>
      <c r="K144" s="5" t="inlineStr">
        <is>
          <t>LS15 7HW</t>
        </is>
      </c>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Independent retailer; Core relevant category</t>
        </is>
      </c>
      <c r="X144" s="5" t="inlineStr">
        <is>
          <t>Not Found</t>
        </is>
      </c>
      <c r="Y144" s="5" t="inlineStr">
        <is>
          <t>Not Found</t>
        </is>
      </c>
      <c r="Z144" s="5" t="inlineStr">
        <is>
          <t>Low</t>
        </is>
      </c>
      <c r="AA144" s="5" t="inlineStr">
        <is>
          <t>Requires Verification</t>
        </is>
      </c>
      <c r="AB144" s="5" t="inlineStr">
        <is>
          <t>https://ecigdirectory.co.uk/vape-shop/listing/vapeshop-leeds</t>
        </is>
      </c>
    </row>
    <row r="145">
      <c r="A145" s="10" t="inlineStr">
        <is>
          <t>WY-0182</t>
        </is>
      </c>
      <c r="B145" s="10" t="inlineStr">
        <is>
          <t>WY-0182-01</t>
        </is>
      </c>
      <c r="C145" s="10" t="inlineStr"/>
      <c r="D145" s="10" t="inlineStr">
        <is>
          <t>Vaping Bar Normanton</t>
        </is>
      </c>
      <c r="E145" s="10" t="inlineStr">
        <is>
          <t>Vape Shop</t>
        </is>
      </c>
      <c r="F145" s="10" t="inlineStr">
        <is>
          <t>Vape retailer</t>
        </is>
      </c>
      <c r="G145" s="10" t="inlineStr">
        <is>
          <t>Independent</t>
        </is>
      </c>
      <c r="H145" s="10" t="inlineStr">
        <is>
          <t>1</t>
        </is>
      </c>
      <c r="I145" s="10" t="inlineStr"/>
      <c r="J145" s="10" t="inlineStr">
        <is>
          <t>Normanton</t>
        </is>
      </c>
      <c r="K145" s="10" t="inlineStr"/>
      <c r="L145" s="10" t="inlineStr"/>
      <c r="M145" s="10" t="inlineStr"/>
      <c r="N145" s="10" t="inlineStr"/>
      <c r="O145" s="10" t="inlineStr"/>
      <c r="P145" s="10" t="inlineStr">
        <is>
          <t>https://www.facebook.com/p/Vaping-Bar-Normanton-100063635944918/</t>
        </is>
      </c>
      <c r="Q145" s="10" t="inlineStr"/>
      <c r="R145" s="10" t="inlineStr"/>
      <c r="S145" s="10" t="inlineStr"/>
      <c r="T145" s="10" t="inlineStr"/>
      <c r="U145" s="10" t="inlineStr"/>
      <c r="V145" s="10" t="inlineStr">
        <is>
          <t>Medium</t>
        </is>
      </c>
      <c r="W145" s="10" t="inlineStr">
        <is>
          <t>Independent retailer; Core relevant category; Social presence</t>
        </is>
      </c>
      <c r="X145" s="10" t="inlineStr">
        <is>
          <t>Not Found</t>
        </is>
      </c>
      <c r="Y145" s="10" t="inlineStr">
        <is>
          <t>Not Found</t>
        </is>
      </c>
      <c r="Z145" s="10" t="inlineStr">
        <is>
          <t>Low</t>
        </is>
      </c>
      <c r="AA145" s="10" t="inlineStr">
        <is>
          <t>Requires Verification</t>
        </is>
      </c>
      <c r="AB145" s="10" t="inlineStr">
        <is>
          <t>https://www.facebook.com/p/Vaping-Bar-Normanton-100063635944918/</t>
        </is>
      </c>
    </row>
    <row r="146">
      <c r="A146" s="5" t="inlineStr">
        <is>
          <t>WY-0184</t>
        </is>
      </c>
      <c r="B146" s="5" t="inlineStr">
        <is>
          <t>WY-0184-01</t>
        </is>
      </c>
      <c r="C146" s="5" t="inlineStr"/>
      <c r="D146" s="5" t="inlineStr">
        <is>
          <t>Vapour Parlour</t>
        </is>
      </c>
      <c r="E146" s="5" t="inlineStr">
        <is>
          <t>Vape Shop</t>
        </is>
      </c>
      <c r="F146" s="5" t="inlineStr">
        <is>
          <t>Vape retailer</t>
        </is>
      </c>
      <c r="G146" s="5" t="inlineStr">
        <is>
          <t>Independent</t>
        </is>
      </c>
      <c r="H146" s="5" t="inlineStr">
        <is>
          <t>1</t>
        </is>
      </c>
      <c r="I146" s="5" t="inlineStr">
        <is>
          <t>83 Kirkby Road</t>
        </is>
      </c>
      <c r="J146" s="5" t="inlineStr">
        <is>
          <t>Hemsworth</t>
        </is>
      </c>
      <c r="K146" s="5" t="inlineStr"/>
      <c r="L146" s="5" t="inlineStr"/>
      <c r="M146" s="5" t="inlineStr"/>
      <c r="N146" s="5" t="inlineStr"/>
      <c r="O146" s="5" t="inlineStr"/>
      <c r="P146" s="5" t="inlineStr"/>
      <c r="Q146" s="5" t="inlineStr"/>
      <c r="R146" s="5" t="inlineStr"/>
      <c r="S146" s="5" t="inlineStr"/>
      <c r="T146" s="5" t="inlineStr"/>
      <c r="U146" s="5" t="inlineStr"/>
      <c r="V146" s="5" t="inlineStr">
        <is>
          <t>Medium</t>
        </is>
      </c>
      <c r="W146" s="5" t="inlineStr">
        <is>
          <t>Independent retailer; Core relevant category</t>
        </is>
      </c>
      <c r="X146" s="5" t="inlineStr">
        <is>
          <t>Not Found</t>
        </is>
      </c>
      <c r="Y146" s="5" t="inlineStr">
        <is>
          <t>Not Found</t>
        </is>
      </c>
      <c r="Z146" s="5" t="inlineStr">
        <is>
          <t>Low</t>
        </is>
      </c>
      <c r="AA146" s="5" t="inlineStr">
        <is>
          <t>Requires Verification</t>
        </is>
      </c>
      <c r="AB146" s="5" t="inlineStr">
        <is>
          <t>https://ecigdirectory.co.uk/vape-shop/listing/vapour-parlour</t>
        </is>
      </c>
    </row>
    <row r="147">
      <c r="A147" s="10" t="inlineStr">
        <is>
          <t>WY-0185</t>
        </is>
      </c>
      <c r="B147" s="10" t="inlineStr">
        <is>
          <t>WY-0185-01</t>
        </is>
      </c>
      <c r="C147" s="10" t="inlineStr"/>
      <c r="D147" s="10" t="inlineStr">
        <is>
          <t>Wakefield Road Service Station (Featherstone)</t>
        </is>
      </c>
      <c r="E147" s="10" t="inlineStr">
        <is>
          <t>Petrol Station / Forecourt</t>
        </is>
      </c>
      <c r="F147" s="10" t="inlineStr">
        <is>
          <t>Forecourt with convenience store</t>
        </is>
      </c>
      <c r="G147" s="10" t="inlineStr">
        <is>
          <t>Multi-Site Independent</t>
        </is>
      </c>
      <c r="H147" s="10" t="inlineStr">
        <is>
          <t>3</t>
        </is>
      </c>
      <c r="I147" s="10" t="inlineStr">
        <is>
          <t>Wakefield Road</t>
        </is>
      </c>
      <c r="J147" s="10" t="inlineStr">
        <is>
          <t>Featherstone</t>
        </is>
      </c>
      <c r="K147" s="10" t="inlineStr"/>
      <c r="L147" s="10" t="inlineStr"/>
      <c r="M147" s="10" t="inlineStr"/>
      <c r="N147" s="10" t="inlineStr"/>
      <c r="O147" s="10" t="inlineStr"/>
      <c r="P147" s="10" t="inlineStr"/>
      <c r="Q147" s="10" t="inlineStr"/>
      <c r="R147" s="10" t="inlineStr">
        <is>
          <t>Saqib Javaid; Zeeshan Ali</t>
        </is>
      </c>
      <c r="S147" s="10" t="inlineStr">
        <is>
          <t>Owners / Operators</t>
        </is>
      </c>
      <c r="T147" s="10" t="inlineStr"/>
      <c r="U147" s="10" t="inlineStr"/>
      <c r="V147" s="10" t="inlineStr">
        <is>
          <t>Medium</t>
        </is>
      </c>
      <c r="W147" s="10" t="inlineStr">
        <is>
          <t>Multi-site retailer; Independent retailer; Relevant category</t>
        </is>
      </c>
      <c r="X147" s="10" t="inlineStr">
        <is>
          <t>Not Found</t>
        </is>
      </c>
      <c r="Y147" s="10" t="inlineStr">
        <is>
          <t>Not Found</t>
        </is>
      </c>
      <c r="Z147" s="10" t="inlineStr">
        <is>
          <t>Low</t>
        </is>
      </c>
      <c r="AA147" s="10" t="inlineStr">
        <is>
          <t>Requires Verification</t>
        </is>
      </c>
      <c r="AB147" s="10" t="inlineStr">
        <is>
          <t>https://forecourttrader.co.uk/latest-news/forecourt-operator-duo-add-wakefield-road-service-station-to-portfolio/708047.article</t>
        </is>
      </c>
    </row>
    <row r="148">
      <c r="A148" s="5" t="inlineStr">
        <is>
          <t>UK-000295</t>
        </is>
      </c>
      <c r="B148" s="5" t="inlineStr">
        <is>
          <t>UK-000295-01</t>
        </is>
      </c>
      <c r="C148" s="5" t="inlineStr"/>
      <c r="D148" s="5" t="inlineStr">
        <is>
          <t>Walkley Beer Company</t>
        </is>
      </c>
      <c r="E148" s="5" t="inlineStr">
        <is>
          <t>Off-Licence</t>
        </is>
      </c>
      <c r="F148" s="5" t="inlineStr">
        <is>
          <t>Craft beer bottle shop / micropub</t>
        </is>
      </c>
      <c r="G148" s="5" t="inlineStr">
        <is>
          <t>Independent</t>
        </is>
      </c>
      <c r="H148" s="5" t="inlineStr">
        <is>
          <t>1</t>
        </is>
      </c>
      <c r="I148" s="5" t="inlineStr"/>
      <c r="J148" s="5" t="inlineStr">
        <is>
          <t>Sheffield</t>
        </is>
      </c>
      <c r="K148" s="5" t="inlineStr"/>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Low</t>
        </is>
      </c>
      <c r="AA148" s="5" t="inlineStr">
        <is>
          <t>Requires Verification</t>
        </is>
      </c>
      <c r="AB148" s="5" t="inlineStr">
        <is>
          <t>https://www.yorkshire.com/sheffield/shopping/off-license</t>
        </is>
      </c>
    </row>
    <row r="149">
      <c r="A149" s="10" t="inlineStr">
        <is>
          <t>WY-0186</t>
        </is>
      </c>
      <c r="B149" s="10" t="inlineStr">
        <is>
          <t>WY-0186-01</t>
        </is>
      </c>
      <c r="C149" s="10" t="inlineStr"/>
      <c r="D149" s="10" t="inlineStr">
        <is>
          <t>Wayward Wines</t>
        </is>
      </c>
      <c r="E149" s="10" t="inlineStr">
        <is>
          <t>Off-Licence</t>
        </is>
      </c>
      <c r="F149" s="10" t="inlineStr">
        <is>
          <t>Natural / organic wine shop</t>
        </is>
      </c>
      <c r="G149" s="10" t="inlineStr">
        <is>
          <t>Independent</t>
        </is>
      </c>
      <c r="H149" s="10" t="inlineStr">
        <is>
          <t>1</t>
        </is>
      </c>
      <c r="I149" s="10" t="inlineStr">
        <is>
          <t>1C Regent Street</t>
        </is>
      </c>
      <c r="J149" s="10" t="inlineStr">
        <is>
          <t>Leeds</t>
        </is>
      </c>
      <c r="K149" s="10" t="inlineStr">
        <is>
          <t>LS7 4PE</t>
        </is>
      </c>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Medium</t>
        </is>
      </c>
      <c r="AA149" s="10" t="inlineStr">
        <is>
          <t>Requires Verification</t>
        </is>
      </c>
      <c r="AB149" s="10" t="inlineStr">
        <is>
          <t>https://confidentials.com/leeds/six-of-the-best-bottle-shops</t>
        </is>
      </c>
    </row>
    <row r="150">
      <c r="A150" s="5" t="inlineStr">
        <is>
          <t>WY-0187</t>
        </is>
      </c>
      <c r="B150" s="5" t="inlineStr">
        <is>
          <t>WY-0187-01</t>
        </is>
      </c>
      <c r="C150" s="5" t="inlineStr"/>
      <c r="D150" s="5" t="inlineStr">
        <is>
          <t>West End Off Licence</t>
        </is>
      </c>
      <c r="E150" s="5" t="inlineStr">
        <is>
          <t>Off-Licence</t>
        </is>
      </c>
      <c r="F150" s="5" t="inlineStr"/>
      <c r="G150" s="5" t="inlineStr">
        <is>
          <t>Independent</t>
        </is>
      </c>
      <c r="H150" s="5" t="inlineStr">
        <is>
          <t>1</t>
        </is>
      </c>
      <c r="I150" s="5" t="inlineStr">
        <is>
          <t>2 Mile Cross Terrace</t>
        </is>
      </c>
      <c r="J150" s="5" t="inlineStr">
        <is>
          <t>Halifax</t>
        </is>
      </c>
      <c r="K150" s="5" t="inlineStr">
        <is>
          <t>HX1 4HP</t>
        </is>
      </c>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Medium</t>
        </is>
      </c>
      <c r="AA150" s="5" t="inlineStr">
        <is>
          <t>Requires Verification</t>
        </is>
      </c>
      <c r="AB150" s="5" t="inlineStr">
        <is>
          <t>https://www.yelp.co.uk/biz/westend-off-licence-rickys-halifax</t>
        </is>
      </c>
    </row>
    <row r="151">
      <c r="A151" s="10" t="inlineStr">
        <is>
          <t>WY-0190</t>
        </is>
      </c>
      <c r="B151" s="10" t="inlineStr">
        <is>
          <t>WY-0190-01</t>
        </is>
      </c>
      <c r="C151" s="10" t="inlineStr"/>
      <c r="D151" s="10" t="inlineStr">
        <is>
          <t>Yorkshire Fuels (Green Lane Service Station)</t>
        </is>
      </c>
      <c r="E151" s="10" t="inlineStr">
        <is>
          <t>Petrol Station / Forecourt</t>
        </is>
      </c>
      <c r="F151" s="10" t="inlineStr">
        <is>
          <t>24-hour forecourt with convenience store</t>
        </is>
      </c>
      <c r="G151" s="10" t="inlineStr">
        <is>
          <t>Independent</t>
        </is>
      </c>
      <c r="H151" s="10" t="inlineStr">
        <is>
          <t>1</t>
        </is>
      </c>
      <c r="I151" s="10" t="inlineStr">
        <is>
          <t>Green Lane</t>
        </is>
      </c>
      <c r="J151" s="10" t="inlineStr">
        <is>
          <t>Yeadon</t>
        </is>
      </c>
      <c r="K151" s="10" t="inlineStr">
        <is>
          <t>LS19 7BU</t>
        </is>
      </c>
      <c r="L151" s="10" t="inlineStr"/>
      <c r="M151" s="10" t="inlineStr"/>
      <c r="N151" s="10" t="inlineStr"/>
      <c r="O151" s="10" t="inlineStr"/>
      <c r="P151" s="10" t="inlineStr"/>
      <c r="Q151" s="10" t="inlineStr"/>
      <c r="R151" s="10" t="inlineStr"/>
      <c r="S151" s="10" t="inlineStr"/>
      <c r="T151" s="10" t="inlineStr">
        <is>
          <t>14479452</t>
        </is>
      </c>
      <c r="U151" s="10" t="inlineStr">
        <is>
          <t>Active</t>
        </is>
      </c>
      <c r="V151" s="10" t="inlineStr">
        <is>
          <t>Low</t>
        </is>
      </c>
      <c r="W151" s="10" t="inlineStr">
        <is>
          <t>Independent retailer; Relevant category</t>
        </is>
      </c>
      <c r="X151" s="10" t="inlineStr">
        <is>
          <t>Not Found</t>
        </is>
      </c>
      <c r="Y151" s="10" t="inlineStr">
        <is>
          <t>Not Found</t>
        </is>
      </c>
      <c r="Z151" s="10" t="inlineStr">
        <is>
          <t>Medium</t>
        </is>
      </c>
      <c r="AA151" s="10" t="inlineStr">
        <is>
          <t>Partially Verified</t>
        </is>
      </c>
      <c r="AB151" s="10" t="inlineStr">
        <is>
          <t>https://find-and-update.company-information.service.gov.uk/company/14479452</t>
        </is>
      </c>
    </row>
    <row r="152">
      <c r="A152" s="5" t="inlineStr">
        <is>
          <t>WY-0192</t>
        </is>
      </c>
      <c r="B152" s="5" t="inlineStr">
        <is>
          <t>WY-0192-01</t>
        </is>
      </c>
      <c r="C152" s="5" t="inlineStr"/>
      <c r="D152" s="5" t="inlineStr">
        <is>
          <t>eVape Outlet</t>
        </is>
      </c>
      <c r="E152" s="5" t="inlineStr">
        <is>
          <t>Vape Shop</t>
        </is>
      </c>
      <c r="F152" s="5" t="inlineStr">
        <is>
          <t>Vape shop</t>
        </is>
      </c>
      <c r="G152" s="5" t="inlineStr">
        <is>
          <t>Independent</t>
        </is>
      </c>
      <c r="H152" s="5" t="inlineStr">
        <is>
          <t>1</t>
        </is>
      </c>
      <c r="I152" s="5" t="inlineStr"/>
      <c r="J152" s="5" t="inlineStr">
        <is>
          <t>Keighley</t>
        </is>
      </c>
      <c r="K152" s="5" t="inlineStr"/>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Independent retailer; Core relevant category</t>
        </is>
      </c>
      <c r="X152" s="5" t="inlineStr">
        <is>
          <t>Not Found</t>
        </is>
      </c>
      <c r="Y152" s="5" t="inlineStr">
        <is>
          <t>Not Found</t>
        </is>
      </c>
      <c r="Z152" s="5" t="inlineStr">
        <is>
          <t>Low</t>
        </is>
      </c>
      <c r="AA152" s="5" t="inlineStr">
        <is>
          <t>Requires Verification</t>
        </is>
      </c>
      <c r="AB152" s="5" t="inlineStr">
        <is>
          <t>https://keighley.cylex-uk.co.uk/company/evape-outlet-27656791.html</t>
        </is>
      </c>
    </row>
    <row r="153">
      <c r="A153" s="10" t="inlineStr">
        <is>
          <t>WY-0193</t>
        </is>
      </c>
      <c r="B153" s="10" t="inlineStr">
        <is>
          <t>WY-0193-01</t>
        </is>
      </c>
      <c r="C153" s="10" t="inlineStr"/>
      <c r="D153" s="10" t="inlineStr">
        <is>
          <t>iVape Lounge</t>
        </is>
      </c>
      <c r="E153" s="10" t="inlineStr">
        <is>
          <t>Vape Shop</t>
        </is>
      </c>
      <c r="F153" s="10" t="inlineStr"/>
      <c r="G153" s="10" t="inlineStr">
        <is>
          <t>Independent</t>
        </is>
      </c>
      <c r="H153" s="10" t="inlineStr">
        <is>
          <t>1</t>
        </is>
      </c>
      <c r="I153" s="10" t="inlineStr">
        <is>
          <t>53 Halifax Road</t>
        </is>
      </c>
      <c r="J153" s="10" t="inlineStr">
        <is>
          <t>Todmorden</t>
        </is>
      </c>
      <c r="K153" s="10" t="inlineStr">
        <is>
          <t>OL14 5BB</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Not Found</t>
        </is>
      </c>
      <c r="Y153" s="10" t="inlineStr">
        <is>
          <t>Not Found</t>
        </is>
      </c>
      <c r="Z153" s="10" t="inlineStr">
        <is>
          <t>Low</t>
        </is>
      </c>
      <c r="AA153" s="10" t="inlineStr">
        <is>
          <t>Requires Verification</t>
        </is>
      </c>
      <c r="AB153" s="10" t="inlineStr">
        <is>
          <t>https://ivape-lounge-todmorden-vape-shop.wheree.com/</t>
        </is>
      </c>
    </row>
  </sheetData>
  <autoFilter ref="A1:AB15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16" customWidth="1" min="9" max="9"/>
    <col width="13" customWidth="1" min="10" max="10"/>
    <col width="10" customWidth="1" min="11" max="11"/>
    <col width="12"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31"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sheetData>
  <autoFilter ref="A1:AB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570"/>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UK-000194</t>
        </is>
      </c>
      <c r="B37" s="10" t="inlineStr">
        <is>
          <t>CRAM Vape</t>
        </is>
      </c>
      <c r="C37" s="10" t="inlineStr">
        <is>
          <t>Scunthorpe</t>
        </is>
      </c>
      <c r="D37" s="10" t="inlineStr">
        <is>
          <t>https://www.cramvape.co.uk/pages/contact-us</t>
        </is>
      </c>
      <c r="E37" s="10" t="inlineStr">
        <is>
          <t>Official Website</t>
        </is>
      </c>
      <c r="F37" s="10" t="inlineStr">
        <is>
          <t>2026-09-16</t>
        </is>
      </c>
      <c r="G37" s="10" t="inlineStr">
        <is>
          <t>two-store footprint, contact page (via search results)</t>
        </is>
      </c>
      <c r="H37" s="10" t="inlineStr">
        <is>
          <t>Verified (website + Companies House)</t>
        </is>
      </c>
    </row>
    <row r="38">
      <c r="A38" s="5" t="inlineStr">
        <is>
          <t>UK-000194</t>
        </is>
      </c>
      <c r="B38" s="5" t="inlineStr">
        <is>
          <t>CRAM Vape</t>
        </is>
      </c>
      <c r="C38" s="5" t="inlineStr">
        <is>
          <t>Scunthorpe</t>
        </is>
      </c>
      <c r="D38" s="5" t="inlineStr">
        <is>
          <t>https://find-and-update.company-information.service.gov.uk/company/07343567</t>
        </is>
      </c>
      <c r="E38" s="5" t="inlineStr">
        <is>
          <t>Companies House</t>
        </is>
      </c>
      <c r="F38" s="5" t="inlineStr">
        <is>
          <t>2026-09-16</t>
        </is>
      </c>
      <c r="G38" s="5" t="inlineStr">
        <is>
          <t>company number, legal name</t>
        </is>
      </c>
      <c r="H38" s="5" t="inlineStr">
        <is>
          <t>Verified (website + Companies House)</t>
        </is>
      </c>
    </row>
    <row r="39">
      <c r="A39" s="10" t="inlineStr">
        <is>
          <t>UK-000194</t>
        </is>
      </c>
      <c r="B39" s="10" t="inlineStr">
        <is>
          <t>CRAM Vape</t>
        </is>
      </c>
      <c r="C39" s="10" t="inlineStr">
        <is>
          <t>Scunthorpe</t>
        </is>
      </c>
      <c r="D39" s="10" t="inlineStr">
        <is>
          <t>https://www.yelp.co.uk/biz/cram-vape-scunthorpe-2</t>
        </is>
      </c>
      <c r="E39" s="10" t="inlineStr">
        <is>
          <t>Directory</t>
        </is>
      </c>
      <c r="F39" s="10" t="inlineStr">
        <is>
          <t>2026-09-16</t>
        </is>
      </c>
      <c r="G39" s="10" t="inlineStr">
        <is>
          <t>190 Ashby Road address, phone (via search results)</t>
        </is>
      </c>
      <c r="H39" s="10" t="inlineStr">
        <is>
          <t>Verified (website + Companies House)</t>
        </is>
      </c>
    </row>
    <row r="40">
      <c r="A40" s="5" t="inlineStr">
        <is>
          <t>WY-0011</t>
        </is>
      </c>
      <c r="B40" s="5" t="inlineStr">
        <is>
          <t>Cheapasmokes</t>
        </is>
      </c>
      <c r="C40" s="5" t="inlineStr">
        <is>
          <t>Halifax</t>
        </is>
      </c>
      <c r="D40" s="5" t="inlineStr">
        <is>
          <t>https://www.cheapasmokes.com/pages/cheapasmokes-halifax</t>
        </is>
      </c>
      <c r="E40" s="5" t="inlineStr">
        <is>
          <t>Official Website</t>
        </is>
      </c>
      <c r="F40" s="5" t="inlineStr">
        <is>
          <t>2026-09-16</t>
        </is>
      </c>
      <c r="G40" s="5" t="inlineStr">
        <is>
          <t>store page, address, description (via search snippet; fetch blocked)</t>
        </is>
      </c>
      <c r="H40" s="5" t="inlineStr">
        <is>
          <t>Partially Verified</t>
        </is>
      </c>
    </row>
    <row r="41">
      <c r="A41" s="10" t="inlineStr">
        <is>
          <t>WY-0011</t>
        </is>
      </c>
      <c r="B41" s="10" t="inlineStr">
        <is>
          <t>Cheapasmokes</t>
        </is>
      </c>
      <c r="C41" s="10" t="inlineStr">
        <is>
          <t>Halifax</t>
        </is>
      </c>
      <c r="D41" s="10" t="inlineStr">
        <is>
          <t>https://cigars.co.uk/location/cheapasmokes-halifax/</t>
        </is>
      </c>
      <c r="E41" s="10" t="inlineStr">
        <is>
          <t>Directory</t>
        </is>
      </c>
      <c r="F41" s="10" t="inlineStr">
        <is>
          <t>2026-09-16</t>
        </is>
      </c>
      <c r="G41" s="10" t="inlineStr">
        <is>
          <t>stockist listing, phone</t>
        </is>
      </c>
      <c r="H41" s="10" t="inlineStr">
        <is>
          <t>Partially Verified</t>
        </is>
      </c>
    </row>
    <row r="42">
      <c r="A42" s="5" t="inlineStr">
        <is>
          <t>WY-0011</t>
        </is>
      </c>
      <c r="B42" s="5" t="inlineStr">
        <is>
          <t>Cheapasmokes</t>
        </is>
      </c>
      <c r="C42" s="5" t="inlineStr">
        <is>
          <t>Halifax</t>
        </is>
      </c>
      <c r="D42" s="5" t="inlineStr">
        <is>
          <t>https://www.yell.com/biz/cheapasmokes-halifax-3579320/</t>
        </is>
      </c>
      <c r="E42" s="5" t="inlineStr">
        <is>
          <t>Yell</t>
        </is>
      </c>
      <c r="F42" s="5" t="inlineStr">
        <is>
          <t>2026-09-16</t>
        </is>
      </c>
      <c r="G42" s="5" t="inlineStr">
        <is>
          <t>listing confirmation</t>
        </is>
      </c>
      <c r="H42" s="5" t="inlineStr">
        <is>
          <t>Partially Verified</t>
        </is>
      </c>
    </row>
    <row r="43">
      <c r="A43" s="10" t="inlineStr">
        <is>
          <t>WY-0011</t>
        </is>
      </c>
      <c r="B43" s="10" t="inlineStr">
        <is>
          <t>Cheapasmokes</t>
        </is>
      </c>
      <c r="C43" s="10" t="inlineStr">
        <is>
          <t>Halifax</t>
        </is>
      </c>
      <c r="D43" s="10" t="inlineStr">
        <is>
          <t>https://www.cheapasmokes.com/pages/contact-us</t>
        </is>
      </c>
      <c r="E43" s="10" t="inlineStr">
        <is>
          <t>Official Website</t>
        </is>
      </c>
      <c r="F43" s="10" t="inlineStr">
        <is>
          <t>2026-09-16</t>
        </is>
      </c>
      <c r="G43" s="10" t="inlineStr">
        <is>
          <t>email (sales)</t>
        </is>
      </c>
      <c r="H43" s="10" t="inlineStr">
        <is>
          <t>Partially Verified</t>
        </is>
      </c>
    </row>
    <row r="44">
      <c r="A44" s="5" t="inlineStr">
        <is>
          <t>UK-000195</t>
        </is>
      </c>
      <c r="B44" s="5" t="inlineStr">
        <is>
          <t>Costcutter Tadcaster</t>
        </is>
      </c>
      <c r="C44" s="5" t="inlineStr">
        <is>
          <t>Tadcaster</t>
        </is>
      </c>
      <c r="D44" s="5" t="inlineStr">
        <is>
          <t>https://www.yorkshire.com/tadcaster/shopping/corner-shops/costcutter-16</t>
        </is>
      </c>
      <c r="E44" s="5" t="inlineStr">
        <is>
          <t>Directory</t>
        </is>
      </c>
      <c r="F44" s="5" t="inlineStr">
        <is>
          <t>2026-09-16</t>
        </is>
      </c>
      <c r="G44" s="5" t="inlineStr">
        <is>
          <t>name, fascia, town</t>
        </is>
      </c>
      <c r="H44" s="5" t="inlineStr">
        <is>
          <t>Requires Verification</t>
        </is>
      </c>
    </row>
    <row r="45">
      <c r="A45" s="10" t="inlineStr">
        <is>
          <t>WY-0012</t>
        </is>
      </c>
      <c r="B45" s="10" t="inlineStr">
        <is>
          <t>C.Gars Leeds (Dominique London)</t>
        </is>
      </c>
      <c r="C45" s="10" t="inlineStr">
        <is>
          <t>Leeds</t>
        </is>
      </c>
      <c r="D45" s="10" t="inlineStr">
        <is>
          <t>https://www.cgarsltd.co.uk/new-cgars-ltd-store-leeds-a-521.html</t>
        </is>
      </c>
      <c r="E45" s="10" t="inlineStr">
        <is>
          <t>Official Website</t>
        </is>
      </c>
      <c r="F45" s="10" t="inlineStr">
        <is>
          <t>2026-09-16</t>
        </is>
      </c>
      <c r="G45" s="10" t="inlineStr">
        <is>
          <t>store address, description (via search results)</t>
        </is>
      </c>
      <c r="H45" s="10" t="inlineStr">
        <is>
          <t>Requires Verification</t>
        </is>
      </c>
    </row>
    <row r="46">
      <c r="A46" s="5" t="inlineStr">
        <is>
          <t>WY-0012</t>
        </is>
      </c>
      <c r="B46" s="5" t="inlineStr">
        <is>
          <t>C.Gars Leeds (Dominique London)</t>
        </is>
      </c>
      <c r="C46" s="5" t="inlineStr">
        <is>
          <t>Leeds</t>
        </is>
      </c>
      <c r="D46" s="5" t="inlineStr">
        <is>
          <t>https://cigars.co.uk/news/new-havana-cigar-specialist-opens-in-leeds/</t>
        </is>
      </c>
      <c r="E46" s="5" t="inlineStr">
        <is>
          <t>News / Trade Press</t>
        </is>
      </c>
      <c r="F46" s="5" t="inlineStr">
        <is>
          <t>2026-09-16</t>
        </is>
      </c>
      <c r="G46" s="5" t="inlineStr">
        <is>
          <t>opening announcement, Thornton's Arcade location (via search results)</t>
        </is>
      </c>
      <c r="H46" s="5" t="inlineStr">
        <is>
          <t>Requires Verification</t>
        </is>
      </c>
    </row>
    <row r="47">
      <c r="A47" s="10" t="inlineStr">
        <is>
          <t>WY-0012</t>
        </is>
      </c>
      <c r="B47" s="10" t="inlineStr">
        <is>
          <t>C.Gars Leeds (Dominique London)</t>
        </is>
      </c>
      <c r="C47" s="10" t="inlineStr">
        <is>
          <t>Leeds</t>
        </is>
      </c>
      <c r="D47" s="10" t="inlineStr">
        <is>
          <t>https://www.cgarsltd.co.uk/cigar-shops/CGars_Leeds_1.html</t>
        </is>
      </c>
      <c r="E47" s="10" t="inlineStr">
        <is>
          <t>Official Website</t>
        </is>
      </c>
      <c r="F47" s="10" t="inlineStr">
        <is>
          <t>2026-09-16</t>
        </is>
      </c>
      <c r="G47" s="10" t="inlineStr">
        <is>
          <t>phone</t>
        </is>
      </c>
      <c r="H47" s="10" t="inlineStr">
        <is>
          <t>Requires Verification</t>
        </is>
      </c>
    </row>
    <row r="48">
      <c r="A48" s="5" t="inlineStr">
        <is>
          <t>WY-0013</t>
        </is>
      </c>
      <c r="B48" s="5" t="inlineStr">
        <is>
          <t>Ecig N Vape South Elmsall</t>
        </is>
      </c>
      <c r="C48" s="5" t="inlineStr">
        <is>
          <t>South Elmsall</t>
        </is>
      </c>
      <c r="D48" s="5" t="inlineStr">
        <is>
          <t>https://www.chamberofcommerce.uk/business-directory/england/south-elmsallsouth-kirkby/miscellaneous/2381504-ecig-n-vape-south-elmsall</t>
        </is>
      </c>
      <c r="E48" s="5" t="inlineStr">
        <is>
          <t>Directory</t>
        </is>
      </c>
      <c r="F48" s="5" t="inlineStr">
        <is>
          <t>2026-09-16</t>
        </is>
      </c>
      <c r="G48" s="5" t="inlineStr">
        <is>
          <t>address 13 Barnsley Rd WF9 2RJ, phone</t>
        </is>
      </c>
      <c r="H48" s="5" t="inlineStr">
        <is>
          <t>Requires Verification</t>
        </is>
      </c>
    </row>
    <row r="49">
      <c r="A49" s="10" t="inlineStr">
        <is>
          <t>WY-0013</t>
        </is>
      </c>
      <c r="B49" s="10" t="inlineStr">
        <is>
          <t>Ecig N Vape South Elmsall</t>
        </is>
      </c>
      <c r="C49" s="10" t="inlineStr">
        <is>
          <t>South Elmsall</t>
        </is>
      </c>
      <c r="D49" s="10" t="inlineStr">
        <is>
          <t>https://www.facebook.com/Ecignvapesouthelmsall/</t>
        </is>
      </c>
      <c r="E49" s="10" t="inlineStr">
        <is>
          <t>Facebook</t>
        </is>
      </c>
      <c r="F49" s="10" t="inlineStr">
        <is>
          <t>2026-09-16</t>
        </is>
      </c>
      <c r="G49" s="10" t="inlineStr">
        <is>
          <t>trading status, second shop announcement</t>
        </is>
      </c>
      <c r="H49" s="10" t="inlineStr">
        <is>
          <t>Requires Verification</t>
        </is>
      </c>
    </row>
    <row r="50">
      <c r="A50" s="5" t="inlineStr">
        <is>
          <t>WY-0013</t>
        </is>
      </c>
      <c r="B50" s="5" t="inlineStr">
        <is>
          <t>Ecig N Vape South Elmsall</t>
        </is>
      </c>
      <c r="C50" s="5" t="inlineStr">
        <is>
          <t>South Elmsall</t>
        </is>
      </c>
      <c r="D50" s="5" t="inlineStr">
        <is>
          <t>https://find-and-update.company-information.service.gov.uk/company/12772350</t>
        </is>
      </c>
      <c r="E50" s="5" t="inlineStr">
        <is>
          <t>Companies House</t>
        </is>
      </c>
      <c r="F50" s="5" t="inlineStr">
        <is>
          <t>2026-09-16</t>
        </is>
      </c>
      <c r="G50" s="5" t="inlineStr">
        <is>
          <t>company number (URL surfaced in search; page not fetched)</t>
        </is>
      </c>
      <c r="H50" s="5" t="inlineStr">
        <is>
          <t>Requires Verification</t>
        </is>
      </c>
    </row>
    <row r="51">
      <c r="A51" s="10" t="inlineStr">
        <is>
          <t>UK-000196</t>
        </is>
      </c>
      <c r="B51" s="10" t="inlineStr">
        <is>
          <t>Electric Vape Rotherham</t>
        </is>
      </c>
      <c r="C51" s="10" t="inlineStr">
        <is>
          <t>Rotherham</t>
        </is>
      </c>
      <c r="D51" s="10" t="inlineStr">
        <is>
          <t>https://www.electricvape.co.uk/rotherham-shop</t>
        </is>
      </c>
      <c r="E51" s="10" t="inlineStr">
        <is>
          <t>Official Website</t>
        </is>
      </c>
      <c r="F51" s="10" t="inlineStr">
        <is>
          <t>2026-09-16</t>
        </is>
      </c>
      <c r="G51" s="10" t="inlineStr">
        <is>
          <t>name, address, postcode, hours</t>
        </is>
      </c>
      <c r="H51" s="10" t="inlineStr">
        <is>
          <t>Requires Verification</t>
        </is>
      </c>
    </row>
    <row r="52">
      <c r="A52" s="5" t="inlineStr">
        <is>
          <t>UK-000197</t>
        </is>
      </c>
      <c r="B52" s="5" t="inlineStr">
        <is>
          <t>Electric Vaper Barnsley</t>
        </is>
      </c>
      <c r="C52" s="5" t="inlineStr">
        <is>
          <t>Barnsley</t>
        </is>
      </c>
      <c r="D52" s="5" t="inlineStr">
        <is>
          <t>https://ecigdirectory.co.uk/vape-shop/listing/electric-vaper-barnsley</t>
        </is>
      </c>
      <c r="E52" s="5" t="inlineStr">
        <is>
          <t>Directory</t>
        </is>
      </c>
      <c r="F52" s="5" t="inlineStr">
        <is>
          <t>2026-09-16</t>
        </is>
      </c>
      <c r="G52" s="5" t="inlineStr">
        <is>
          <t>name, address</t>
        </is>
      </c>
      <c r="H52" s="5" t="inlineStr">
        <is>
          <t>Requires Verification</t>
        </is>
      </c>
    </row>
    <row r="53">
      <c r="A53" s="10" t="inlineStr">
        <is>
          <t>UK-000198</t>
        </is>
      </c>
      <c r="B53" s="10" t="inlineStr">
        <is>
          <t>Ezi Vape Skipton</t>
        </is>
      </c>
      <c r="C53" s="10" t="inlineStr">
        <is>
          <t>Skipton</t>
        </is>
      </c>
      <c r="D53" s="10" t="inlineStr">
        <is>
          <t>https://www.ezi-vape.co.uk/</t>
        </is>
      </c>
      <c r="E53" s="10" t="inlineStr">
        <is>
          <t>Official Website</t>
        </is>
      </c>
      <c r="F53" s="10" t="inlineStr">
        <is>
          <t>2026-09-16</t>
        </is>
      </c>
      <c r="G53" s="10" t="inlineStr">
        <is>
          <t>brand, multi-site (Skipton/Barnoldswick/Ilkley)</t>
        </is>
      </c>
      <c r="H53" s="10" t="inlineStr">
        <is>
          <t>Requires Verification</t>
        </is>
      </c>
    </row>
    <row r="54">
      <c r="A54" s="5" t="inlineStr">
        <is>
          <t>UK-000198</t>
        </is>
      </c>
      <c r="B54" s="5" t="inlineStr">
        <is>
          <t>Ezi Vape Skipton</t>
        </is>
      </c>
      <c r="C54" s="5" t="inlineStr">
        <is>
          <t>Skipton</t>
        </is>
      </c>
      <c r="D54" s="5" t="inlineStr">
        <is>
          <t>https://www.yell.com/s/vape+shops-skipton.html</t>
        </is>
      </c>
      <c r="E54" s="5" t="inlineStr">
        <is>
          <t>Yell</t>
        </is>
      </c>
      <c r="F54" s="5" t="inlineStr">
        <is>
          <t>2026-09-16</t>
        </is>
      </c>
      <c r="G54" s="5" t="inlineStr">
        <is>
          <t>address 25 High St, phone</t>
        </is>
      </c>
      <c r="H54" s="5" t="inlineStr">
        <is>
          <t>Requires Verification</t>
        </is>
      </c>
    </row>
    <row r="55">
      <c r="A55" s="10" t="inlineStr">
        <is>
          <t>UK-000199</t>
        </is>
      </c>
      <c r="B55" s="10" t="inlineStr">
        <is>
          <t>Food Plus Hexthorpe (Polski Sklep)</t>
        </is>
      </c>
      <c r="C55" s="10" t="inlineStr">
        <is>
          <t>Doncaster</t>
        </is>
      </c>
      <c r="D55" s="10" t="inlineStr">
        <is>
          <t>https://www.foodplus.eu/en/map/food-plus-polski-sklep-hexthorpe-dn4-0bd-doncaster</t>
        </is>
      </c>
      <c r="E55" s="10" t="inlineStr">
        <is>
          <t>Official Website</t>
        </is>
      </c>
      <c r="F55" s="10" t="inlineStr">
        <is>
          <t>2026-09-16</t>
        </is>
      </c>
      <c r="G55" s="10" t="inlineStr">
        <is>
          <t>name, area, postcode</t>
        </is>
      </c>
      <c r="H55" s="10" t="inlineStr">
        <is>
          <t>Requires Verification</t>
        </is>
      </c>
    </row>
    <row r="56">
      <c r="A56" s="5" t="inlineStr">
        <is>
          <t>UK-000200</t>
        </is>
      </c>
      <c r="B56" s="5" t="inlineStr">
        <is>
          <t>Food Plus Rotherham (Polski Sklep)</t>
        </is>
      </c>
      <c r="C56" s="5" t="inlineStr">
        <is>
          <t>Rotherham</t>
        </is>
      </c>
      <c r="D56" s="5" t="inlineStr">
        <is>
          <t>https://www.yorkshire.com/rotherham/shopping/grocers</t>
        </is>
      </c>
      <c r="E56" s="5" t="inlineStr">
        <is>
          <t>Directory</t>
        </is>
      </c>
      <c r="F56" s="5" t="inlineStr">
        <is>
          <t>2026-09-16</t>
        </is>
      </c>
      <c r="G56" s="5" t="inlineStr">
        <is>
          <t>name, area, product range</t>
        </is>
      </c>
      <c r="H56" s="5" t="inlineStr">
        <is>
          <t>Requires Verification</t>
        </is>
      </c>
    </row>
    <row r="57">
      <c r="A57" s="10" t="inlineStr">
        <is>
          <t>WY-0014</t>
        </is>
      </c>
      <c r="B57" s="10" t="inlineStr">
        <is>
          <t>GT News (White Rose Shopping Centre)</t>
        </is>
      </c>
      <c r="C57" s="10" t="inlineStr">
        <is>
          <t>Leeds</t>
        </is>
      </c>
      <c r="D57" s="10" t="inlineStr">
        <is>
          <t>https://www.leedsonline.co.uk/info/17974/</t>
        </is>
      </c>
      <c r="E57" s="10" t="inlineStr">
        <is>
          <t>Directory</t>
        </is>
      </c>
      <c r="F57" s="10" t="inlineStr">
        <is>
          <t>2026-09-16</t>
        </is>
      </c>
      <c r="G57" s="10" t="inlineStr">
        <is>
          <t>name, unit addresses, phone, website (via search results)</t>
        </is>
      </c>
      <c r="H57" s="10" t="inlineStr">
        <is>
          <t>Requires Verification</t>
        </is>
      </c>
    </row>
    <row r="58">
      <c r="A58" s="5" t="inlineStr">
        <is>
          <t>WY-0014</t>
        </is>
      </c>
      <c r="B58" s="5" t="inlineStr">
        <is>
          <t>GT News (White Rose Shopping Centre)</t>
        </is>
      </c>
      <c r="C58" s="5" t="inlineStr">
        <is>
          <t>Leeds</t>
        </is>
      </c>
      <c r="D58" s="5" t="inlineStr">
        <is>
          <t>https://www.misterwhat.co.uk/company/2740902-gt-news-leeds</t>
        </is>
      </c>
      <c r="E58" s="5" t="inlineStr">
        <is>
          <t>Directory</t>
        </is>
      </c>
      <c r="F58" s="5" t="inlineStr">
        <is>
          <t>2026-09-16</t>
        </is>
      </c>
      <c r="G58" s="5" t="inlineStr">
        <is>
          <t>postcode</t>
        </is>
      </c>
      <c r="H58" s="5" t="inlineStr">
        <is>
          <t>Requires Verification</t>
        </is>
      </c>
    </row>
    <row r="59">
      <c r="A59" s="10" t="inlineStr">
        <is>
          <t>WY-0015</t>
        </is>
      </c>
      <c r="B59" s="10" t="inlineStr">
        <is>
          <t>KPM Vapes</t>
        </is>
      </c>
      <c r="C59" s="10" t="inlineStr">
        <is>
          <t>Huddersfield</t>
        </is>
      </c>
      <c r="D59" s="10" t="inlineStr">
        <is>
          <t>https://www.instagram.com/kpmvapes/</t>
        </is>
      </c>
      <c r="E59" s="10" t="inlineStr">
        <is>
          <t>Instagram</t>
        </is>
      </c>
      <c r="F59" s="10" t="inlineStr">
        <is>
          <t>2026-09-16</t>
        </is>
      </c>
      <c r="G59" s="10" t="inlineStr">
        <is>
          <t>address 87/89 Wakefield Road HD5 9AB (posted by business)</t>
        </is>
      </c>
      <c r="H59" s="10" t="inlineStr">
        <is>
          <t>Requires Verification</t>
        </is>
      </c>
    </row>
    <row r="60">
      <c r="A60" s="5" t="inlineStr">
        <is>
          <t>WY-0015</t>
        </is>
      </c>
      <c r="B60" s="5" t="inlineStr">
        <is>
          <t>KPM Vapes</t>
        </is>
      </c>
      <c r="C60" s="5" t="inlineStr">
        <is>
          <t>Huddersfield</t>
        </is>
      </c>
      <c r="D60" s="5" t="inlineStr">
        <is>
          <t>https://www.yellowtom.co.uk/1574732</t>
        </is>
      </c>
      <c r="E60" s="5" t="inlineStr">
        <is>
          <t>Directory</t>
        </is>
      </c>
      <c r="F60" s="5" t="inlineStr">
        <is>
          <t>2026-09-16</t>
        </is>
      </c>
      <c r="G60" s="5" t="inlineStr">
        <is>
          <t>phone, email, Bradford branch</t>
        </is>
      </c>
      <c r="H60" s="5" t="inlineStr">
        <is>
          <t>Requires Verification</t>
        </is>
      </c>
    </row>
    <row r="61">
      <c r="A61" s="10" t="inlineStr">
        <is>
          <t>WY-0015</t>
        </is>
      </c>
      <c r="B61" s="10" t="inlineStr">
        <is>
          <t>KPM Vapes</t>
        </is>
      </c>
      <c r="C61" s="10" t="inlineStr">
        <is>
          <t>Huddersfield</t>
        </is>
      </c>
      <c r="D61" s="10" t="inlineStr">
        <is>
          <t>https://www.facebook.com/people/KPM-Vapes/61556161391449/</t>
        </is>
      </c>
      <c r="E61" s="10" t="inlineStr">
        <is>
          <t>Facebook</t>
        </is>
      </c>
      <c r="F61" s="10" t="inlineStr">
        <is>
          <t>2026-09-16</t>
        </is>
      </c>
      <c r="G61" s="10" t="inlineStr">
        <is>
          <t>business Facebook page</t>
        </is>
      </c>
      <c r="H61" s="10" t="inlineStr">
        <is>
          <t>Requires Verification</t>
        </is>
      </c>
    </row>
    <row r="62">
      <c r="A62" s="5" t="inlineStr">
        <is>
          <t>WY-0016</t>
        </is>
      </c>
      <c r="B62" s="5" t="inlineStr">
        <is>
          <t>Chidswell Service Station (Karan Retail)</t>
        </is>
      </c>
      <c r="C62" s="5" t="inlineStr">
        <is>
          <t>Dewsbury</t>
        </is>
      </c>
      <c r="D62" s="5" t="inlineStr">
        <is>
          <t>https://www.asiantrader.biz/karan-retail-chidswell-service-station-acquisition</t>
        </is>
      </c>
      <c r="E62" s="5" t="inlineStr">
        <is>
          <t>News / Trade Press</t>
        </is>
      </c>
      <c r="F62" s="5" t="inlineStr">
        <is>
          <t>2026-09-16</t>
        </is>
      </c>
      <c r="G62" s="5" t="inlineStr">
        <is>
          <t>acquisition of Chidswell Service Station, location off A653</t>
        </is>
      </c>
      <c r="H62" s="5" t="inlineStr">
        <is>
          <t>Requires Verification</t>
        </is>
      </c>
    </row>
    <row r="63">
      <c r="A63" s="10" t="inlineStr">
        <is>
          <t>WY-0017</t>
        </is>
      </c>
      <c r="B63" s="10" t="inlineStr">
        <is>
          <t>Manchester Superstore (Wakefield)</t>
        </is>
      </c>
      <c r="C63" s="10" t="inlineStr">
        <is>
          <t>Wakefield</t>
        </is>
      </c>
      <c r="D63" s="10" t="inlineStr">
        <is>
          <t>https://manchestersuperstores.co.uk/store-locations/manchester-super-stores-in-wakefield/</t>
        </is>
      </c>
      <c r="E63" s="10" t="inlineStr">
        <is>
          <t>Official Website</t>
        </is>
      </c>
      <c r="F63" s="10" t="inlineStr">
        <is>
          <t>2026-09-16</t>
        </is>
      </c>
      <c r="G63" s="10" t="inlineStr">
        <is>
          <t>store existence, description (seen in search results; fetch blocked)</t>
        </is>
      </c>
      <c r="H63" s="10" t="inlineStr">
        <is>
          <t>Requires Verification</t>
        </is>
      </c>
    </row>
    <row r="64">
      <c r="A64" s="5" t="inlineStr">
        <is>
          <t>WY-0017</t>
        </is>
      </c>
      <c r="B64" s="5" t="inlineStr">
        <is>
          <t>Manchester Superstore (Wakefield)</t>
        </is>
      </c>
      <c r="C64" s="5" t="inlineStr">
        <is>
          <t>Wakefield</t>
        </is>
      </c>
      <c r="D64" s="5" t="inlineStr">
        <is>
          <t>http://ukplaces.com/Supermarkets/wakefield/manchester-superstore</t>
        </is>
      </c>
      <c r="E64" s="5" t="inlineStr">
        <is>
          <t>Directory</t>
        </is>
      </c>
      <c r="F64" s="5" t="inlineStr">
        <is>
          <t>2026-09-16</t>
        </is>
      </c>
      <c r="G64" s="5" t="inlineStr">
        <is>
          <t>address 38 Park Lodge Lane WF1 4NL, phone</t>
        </is>
      </c>
      <c r="H64" s="5" t="inlineStr">
        <is>
          <t>Requires Verification</t>
        </is>
      </c>
    </row>
    <row r="65">
      <c r="A65" s="10" t="inlineStr">
        <is>
          <t>WY-0017</t>
        </is>
      </c>
      <c r="B65" s="10" t="inlineStr">
        <is>
          <t>Manchester Superstore (Wakefield)</t>
        </is>
      </c>
      <c r="C65" s="10" t="inlineStr">
        <is>
          <t>Wakefield</t>
        </is>
      </c>
      <c r="D65" s="10" t="inlineStr">
        <is>
          <t>https://find-and-update.company-information.service.gov.uk/company/08447369</t>
        </is>
      </c>
      <c r="E65" s="10" t="inlineStr">
        <is>
          <t>Companies House</t>
        </is>
      </c>
      <c r="F65" s="10" t="inlineStr">
        <is>
          <t>2026-09-16</t>
        </is>
      </c>
      <c r="G65" s="10" t="inlineStr">
        <is>
          <t>company number and registered name (URL surfaced in search)</t>
        </is>
      </c>
      <c r="H65" s="10" t="inlineStr">
        <is>
          <t>Requires Verification</t>
        </is>
      </c>
    </row>
    <row r="66">
      <c r="A66" s="5" t="inlineStr">
        <is>
          <t>WY-0018</t>
        </is>
      </c>
      <c r="B66" s="5" t="inlineStr">
        <is>
          <t>Manchester Superstore Bradford</t>
        </is>
      </c>
      <c r="C66" s="5" t="inlineStr">
        <is>
          <t>Bradford</t>
        </is>
      </c>
      <c r="D66" s="5" t="inlineStr">
        <is>
          <t>https://manchestersuperstores.co.uk/store-locations/manchester-super-stores-in-bradford/</t>
        </is>
      </c>
      <c r="E66" s="5" t="inlineStr">
        <is>
          <t>Official Website</t>
        </is>
      </c>
      <c r="F66" s="5" t="inlineStr">
        <is>
          <t>2026-09-16</t>
        </is>
      </c>
      <c r="G66" s="5" t="inlineStr">
        <is>
          <t>Bradford store page exists (search result; fetch blocked)</t>
        </is>
      </c>
      <c r="H66" s="5" t="inlineStr">
        <is>
          <t>Partially Verified</t>
        </is>
      </c>
    </row>
    <row r="67">
      <c r="A67" s="10" t="inlineStr">
        <is>
          <t>WY-0018</t>
        </is>
      </c>
      <c r="B67" s="10" t="inlineStr">
        <is>
          <t>Manchester Superstore Bradford</t>
        </is>
      </c>
      <c r="C67" s="10" t="inlineStr">
        <is>
          <t>Bradford</t>
        </is>
      </c>
      <c r="D67" s="10" t="inlineStr">
        <is>
          <t>https://gb.near-place.com/manchester-superstore-florence-street-bradford</t>
        </is>
      </c>
      <c r="E67" s="10" t="inlineStr">
        <is>
          <t>Directory</t>
        </is>
      </c>
      <c r="F67" s="10" t="inlineStr">
        <is>
          <t>2026-09-16</t>
        </is>
      </c>
      <c r="G67" s="10" t="inlineStr">
        <is>
          <t>address Florence Street BD3 8EX, phone (search snippet)</t>
        </is>
      </c>
      <c r="H67" s="10" t="inlineStr">
        <is>
          <t>Partially Verified</t>
        </is>
      </c>
    </row>
    <row r="68">
      <c r="A68" s="5" t="inlineStr">
        <is>
          <t>WY-0018</t>
        </is>
      </c>
      <c r="B68" s="5" t="inlineStr">
        <is>
          <t>Manchester Superstore Bradford</t>
        </is>
      </c>
      <c r="C68" s="5" t="inlineStr">
        <is>
          <t>Bradford</t>
        </is>
      </c>
      <c r="D68" s="5" t="inlineStr">
        <is>
          <t>https://www.facebook.com/p/Manchester-SuperStore-Bradford-100066139307711/</t>
        </is>
      </c>
      <c r="E68" s="5" t="inlineStr">
        <is>
          <t>Facebook</t>
        </is>
      </c>
      <c r="F68" s="5" t="inlineStr">
        <is>
          <t>2026-09-16</t>
        </is>
      </c>
      <c r="G68" s="5" t="inlineStr">
        <is>
          <t>email</t>
        </is>
      </c>
      <c r="H68" s="5" t="inlineStr">
        <is>
          <t>Partially Verified</t>
        </is>
      </c>
    </row>
    <row r="69">
      <c r="A69" s="10" t="inlineStr">
        <is>
          <t>WY-0019</t>
        </is>
      </c>
      <c r="B69" s="10" t="inlineStr">
        <is>
          <t>Mullaco (Batley)</t>
        </is>
      </c>
      <c r="C69" s="10" t="inlineStr">
        <is>
          <t>Batley</t>
        </is>
      </c>
      <c r="D69" s="10" t="inlineStr">
        <is>
          <t>https://www.zoominfo.com/c/mullaco-ltd/370332224</t>
        </is>
      </c>
      <c r="E69" s="10" t="inlineStr">
        <is>
          <t>Directory</t>
        </is>
      </c>
      <c r="F69" s="10" t="inlineStr">
        <is>
          <t>2026-09-16</t>
        </is>
      </c>
      <c r="G69" s="10" t="inlineStr">
        <is>
          <t>Batley store address 35 Oxford Street WF17 7PJ, head office</t>
        </is>
      </c>
      <c r="H69" s="10" t="inlineStr">
        <is>
          <t>Requires Verification</t>
        </is>
      </c>
    </row>
    <row r="70">
      <c r="A70" s="5" t="inlineStr">
        <is>
          <t>WY-0019</t>
        </is>
      </c>
      <c r="B70" s="5" t="inlineStr">
        <is>
          <t>Mullaco (Batley)</t>
        </is>
      </c>
      <c r="C70" s="5" t="inlineStr">
        <is>
          <t>Batley</t>
        </is>
      </c>
      <c r="D70" s="5" t="inlineStr">
        <is>
          <t>https://mullaco.co.uk/contact-us/</t>
        </is>
      </c>
      <c r="E70" s="5" t="inlineStr">
        <is>
          <t>Official Website</t>
        </is>
      </c>
      <c r="F70" s="5" t="inlineStr">
        <is>
          <t>2026-09-16</t>
        </is>
      </c>
      <c r="G70" s="5" t="inlineStr">
        <is>
          <t>website URL seen in search results (fetch blocked)</t>
        </is>
      </c>
      <c r="H70" s="5" t="inlineStr">
        <is>
          <t>Requires Verification</t>
        </is>
      </c>
    </row>
    <row r="71">
      <c r="A71" s="10" t="inlineStr">
        <is>
          <t>WY-0019</t>
        </is>
      </c>
      <c r="B71" s="10" t="inlineStr">
        <is>
          <t>Mullaco (Batley)</t>
        </is>
      </c>
      <c r="C71" s="10" t="inlineStr">
        <is>
          <t>Batley</t>
        </is>
      </c>
      <c r="D71" s="10" t="inlineStr">
        <is>
          <t>https://m.yelp.com/biz/mullaco-foods-batley</t>
        </is>
      </c>
      <c r="E71" s="10" t="inlineStr">
        <is>
          <t>Directory</t>
        </is>
      </c>
      <c r="F71" s="10" t="inlineStr">
        <is>
          <t>2026-09-16</t>
        </is>
      </c>
      <c r="G71" s="10" t="inlineStr">
        <is>
          <t>phone</t>
        </is>
      </c>
      <c r="H71" s="10" t="inlineStr">
        <is>
          <t>Requires Verification</t>
        </is>
      </c>
    </row>
    <row r="72">
      <c r="A72" s="5" t="inlineStr">
        <is>
          <t>WY-0020</t>
        </is>
      </c>
      <c r="B72" s="5" t="inlineStr">
        <is>
          <t>Mullaco Minimarket (Dewsbury)</t>
        </is>
      </c>
      <c r="C72" s="5" t="inlineStr">
        <is>
          <t>Dewsbury</t>
        </is>
      </c>
      <c r="D72" s="5" t="inlineStr">
        <is>
          <t>https://www.zoominfo.com/c/mullaco-ltd/370332224</t>
        </is>
      </c>
      <c r="E72" s="5" t="inlineStr">
        <is>
          <t>Directory</t>
        </is>
      </c>
      <c r="F72" s="5" t="inlineStr">
        <is>
          <t>2026-09-16</t>
        </is>
      </c>
      <c r="G72" s="5" t="inlineStr">
        <is>
          <t>minimarket postcode WF12 9LX</t>
        </is>
      </c>
      <c r="H72" s="5" t="inlineStr">
        <is>
          <t>Requires Verification</t>
        </is>
      </c>
    </row>
    <row r="73">
      <c r="A73" s="10" t="inlineStr">
        <is>
          <t>WY-0020</t>
        </is>
      </c>
      <c r="B73" s="10" t="inlineStr">
        <is>
          <t>Mullaco Minimarket (Dewsbury)</t>
        </is>
      </c>
      <c r="C73" s="10" t="inlineStr">
        <is>
          <t>Dewsbury</t>
        </is>
      </c>
      <c r="D73" s="10" t="inlineStr">
        <is>
          <t>https://www.facebook.com/mullaco.supermarket/</t>
        </is>
      </c>
      <c r="E73" s="10" t="inlineStr">
        <is>
          <t>Facebook</t>
        </is>
      </c>
      <c r="F73" s="10" t="inlineStr">
        <is>
          <t>2026-09-16</t>
        </is>
      </c>
      <c r="G73" s="10" t="inlineStr">
        <is>
          <t>social (facebook)</t>
        </is>
      </c>
      <c r="H73" s="10" t="inlineStr">
        <is>
          <t>Requires Verification</t>
        </is>
      </c>
    </row>
    <row r="74">
      <c r="A74" s="5" t="inlineStr">
        <is>
          <t>WY-0021</t>
        </is>
      </c>
      <c r="B74" s="5" t="inlineStr">
        <is>
          <t>Mullaco Supermarket (Dewsbury)</t>
        </is>
      </c>
      <c r="C74" s="5" t="inlineStr">
        <is>
          <t>Dewsbury</t>
        </is>
      </c>
      <c r="D74" s="5" t="inlineStr">
        <is>
          <t>https://dewsbury.cylex-uk.co.uk/company/mullaco-online-23857309.html</t>
        </is>
      </c>
      <c r="E74" s="5" t="inlineStr">
        <is>
          <t>Directory</t>
        </is>
      </c>
      <c r="F74" s="5" t="inlineStr">
        <is>
          <t>2026-09-16</t>
        </is>
      </c>
      <c r="G74" s="5" t="inlineStr">
        <is>
          <t>address, phone</t>
        </is>
      </c>
      <c r="H74" s="5" t="inlineStr">
        <is>
          <t>Requires Verification</t>
        </is>
      </c>
    </row>
    <row r="75">
      <c r="A75" s="10" t="inlineStr">
        <is>
          <t>WY-0021</t>
        </is>
      </c>
      <c r="B75" s="10" t="inlineStr">
        <is>
          <t>Mullaco Supermarket (Dewsbury)</t>
        </is>
      </c>
      <c r="C75" s="10" t="inlineStr">
        <is>
          <t>Dewsbury</t>
        </is>
      </c>
      <c r="D75" s="10" t="inlineStr">
        <is>
          <t>https://www.yorkshire.com/dewsbury/shopping/supermarkets/mullaco-supermarket</t>
        </is>
      </c>
      <c r="E75" s="10" t="inlineStr">
        <is>
          <t>Directory</t>
        </is>
      </c>
      <c r="F75" s="10" t="inlineStr">
        <is>
          <t>2026-09-16</t>
        </is>
      </c>
      <c r="G75" s="10" t="inlineStr">
        <is>
          <t>store description</t>
        </is>
      </c>
      <c r="H75" s="10" t="inlineStr">
        <is>
          <t>Requires Verification</t>
        </is>
      </c>
    </row>
    <row r="76">
      <c r="A76" s="5" t="inlineStr">
        <is>
          <t>WY-0021</t>
        </is>
      </c>
      <c r="B76" s="5" t="inlineStr">
        <is>
          <t>Mullaco Supermarket (Dewsbury)</t>
        </is>
      </c>
      <c r="C76" s="5" t="inlineStr">
        <is>
          <t>Dewsbury</t>
        </is>
      </c>
      <c r="D76" s="5" t="inlineStr">
        <is>
          <t>https://find-and-update.company-information.service.gov.uk/company/06629345</t>
        </is>
      </c>
      <c r="E76" s="5" t="inlineStr">
        <is>
          <t>Companies House</t>
        </is>
      </c>
      <c r="F76" s="5" t="inlineStr">
        <is>
          <t>2026-09-16</t>
        </is>
      </c>
      <c r="G76" s="5" t="inlineStr">
        <is>
          <t>registered company name, company number</t>
        </is>
      </c>
      <c r="H76" s="5" t="inlineStr">
        <is>
          <t>Requires Verification</t>
        </is>
      </c>
    </row>
    <row r="77">
      <c r="A77" s="10" t="inlineStr">
        <is>
          <t>WY-0021</t>
        </is>
      </c>
      <c r="B77" s="10" t="inlineStr">
        <is>
          <t>Mullaco Supermarket (Dewsbury)</t>
        </is>
      </c>
      <c r="C77" s="10" t="inlineStr">
        <is>
          <t>Dewsbury</t>
        </is>
      </c>
      <c r="D77" s="10" t="inlineStr">
        <is>
          <t>https://mullaco.co.uk/contact-us/</t>
        </is>
      </c>
      <c r="E77" s="10" t="inlineStr">
        <is>
          <t>Official Website</t>
        </is>
      </c>
      <c r="F77" s="10" t="inlineStr">
        <is>
          <t>2026-09-16</t>
        </is>
      </c>
      <c r="G77" s="10" t="inlineStr">
        <is>
          <t>website URL seen in search results (fetch blocked)</t>
        </is>
      </c>
      <c r="H77" s="10" t="inlineStr">
        <is>
          <t>Requires Verification</t>
        </is>
      </c>
    </row>
    <row r="78">
      <c r="A78" s="5" t="inlineStr">
        <is>
          <t>UK-000201</t>
        </is>
      </c>
      <c r="B78" s="5" t="inlineStr">
        <is>
          <t>Nisa Express Grimsby (Victor Street)</t>
        </is>
      </c>
      <c r="C78" s="5" t="inlineStr">
        <is>
          <t>Grimsby</t>
        </is>
      </c>
      <c r="D78" s="5" t="inlineStr">
        <is>
          <t>https://www.nisalocally.co.uk/stores/north-east-lincs/grimsby/129-victor-st</t>
        </is>
      </c>
      <c r="E78" s="5" t="inlineStr">
        <is>
          <t>Directory</t>
        </is>
      </c>
      <c r="F78" s="5" t="inlineStr">
        <is>
          <t>2026-09-16</t>
        </is>
      </c>
      <c r="G78" s="5" t="inlineStr">
        <is>
          <t>name, 129 Victor Street address (via search results)</t>
        </is>
      </c>
      <c r="H78" s="5" t="inlineStr">
        <is>
          <t>Requires Verification</t>
        </is>
      </c>
    </row>
    <row r="79">
      <c r="A79" s="10" t="inlineStr">
        <is>
          <t>UK-000202</t>
        </is>
      </c>
      <c r="B79" s="10" t="inlineStr">
        <is>
          <t>Nisa Local Cleethorpes (Grimsby Road)</t>
        </is>
      </c>
      <c r="C79" s="10" t="inlineStr">
        <is>
          <t>Cleethorpes</t>
        </is>
      </c>
      <c r="D79" s="10" t="inlineStr">
        <is>
          <t>https://ratings.food.gov.uk/business/1631635/nisa-local-grimsby-local-store</t>
        </is>
      </c>
      <c r="E79" s="10" t="inlineStr">
        <is>
          <t>Directory</t>
        </is>
      </c>
      <c r="F79" s="10" t="inlineStr">
        <is>
          <t>2026-09-16</t>
        </is>
      </c>
      <c r="G79" s="10" t="inlineStr">
        <is>
          <t>name, Grimsby Road address (via search results)</t>
        </is>
      </c>
      <c r="H79" s="10" t="inlineStr">
        <is>
          <t>Requires Verification</t>
        </is>
      </c>
    </row>
    <row r="80">
      <c r="A80" s="5" t="inlineStr">
        <is>
          <t>UK-000203</t>
        </is>
      </c>
      <c r="B80" s="5" t="inlineStr">
        <is>
          <t>The Local (Marfleet Lane)</t>
        </is>
      </c>
      <c r="C80" s="5" t="inlineStr">
        <is>
          <t>Kingston upon Hull</t>
        </is>
      </c>
      <c r="D80" s="5" t="inlineStr">
        <is>
          <t>https://wholesalemanager.co.uk/new-the-local-store-opens-in-hull/</t>
        </is>
      </c>
      <c r="E80" s="5" t="inlineStr">
        <is>
          <t>News / Trade Press</t>
        </is>
      </c>
      <c r="F80" s="5" t="inlineStr">
        <is>
          <t>2026-09-16</t>
        </is>
      </c>
      <c r="G80" s="5" t="inlineStr">
        <is>
          <t>store, owner name, symbol group (via search results)</t>
        </is>
      </c>
      <c r="H80" s="5" t="inlineStr">
        <is>
          <t>Requires Verification</t>
        </is>
      </c>
    </row>
    <row r="81">
      <c r="A81" s="10" t="inlineStr">
        <is>
          <t>UK-000203</t>
        </is>
      </c>
      <c r="B81" s="10" t="inlineStr">
        <is>
          <t>The Local (Marfleet Lane)</t>
        </is>
      </c>
      <c r="C81" s="10" t="inlineStr">
        <is>
          <t>Kingston upon Hull</t>
        </is>
      </c>
      <c r="D81" s="10" t="inlineStr">
        <is>
          <t>https://www.talkingretail.com/stores/retailer-profiles/mini-profile-new-the-local-store-opens-in-hull-11-07-2024/</t>
        </is>
      </c>
      <c r="E81" s="10" t="inlineStr">
        <is>
          <t>News / Trade Press</t>
        </is>
      </c>
      <c r="F81" s="10" t="inlineStr">
        <is>
          <t>2026-09-16</t>
        </is>
      </c>
      <c r="G81" s="10" t="inlineStr">
        <is>
          <t>Marfleet Lane location, owner (via search results)</t>
        </is>
      </c>
      <c r="H81" s="10" t="inlineStr">
        <is>
          <t>Requires Verification</t>
        </is>
      </c>
    </row>
    <row r="82">
      <c r="A82" s="5" t="inlineStr">
        <is>
          <t>UK-000204</t>
        </is>
      </c>
      <c r="B82" s="5" t="inlineStr">
        <is>
          <t>Premier Stores Ripon</t>
        </is>
      </c>
      <c r="C82" s="5" t="inlineStr">
        <is>
          <t>Ripon</t>
        </is>
      </c>
      <c r="D82" s="5" t="inlineStr">
        <is>
          <t>https://www.localstore.co.uk/store/394275/premier-stores/ripon/</t>
        </is>
      </c>
      <c r="E82" s="5" t="inlineStr">
        <is>
          <t>Directory</t>
        </is>
      </c>
      <c r="F82" s="5" t="inlineStr">
        <is>
          <t>2026-09-16</t>
        </is>
      </c>
      <c r="G82" s="5" t="inlineStr">
        <is>
          <t>name, fascia, address</t>
        </is>
      </c>
      <c r="H82" s="5" t="inlineStr">
        <is>
          <t>Requires Verification</t>
        </is>
      </c>
    </row>
    <row r="83">
      <c r="A83" s="10" t="inlineStr">
        <is>
          <t>UK-000205</t>
        </is>
      </c>
      <c r="B83" s="10" t="inlineStr">
        <is>
          <t>Firth Park Convenience Store</t>
        </is>
      </c>
      <c r="C83" s="10" t="inlineStr">
        <is>
          <t>Sheffield</t>
        </is>
      </c>
      <c r="D83" s="10" t="inlineStr">
        <is>
          <t>https://www.premier-stores.co.uk/our-stores/firth-park-convenience-store</t>
        </is>
      </c>
      <c r="E83" s="10" t="inlineStr">
        <is>
          <t>Official Website</t>
        </is>
      </c>
      <c r="F83" s="10" t="inlineStr">
        <is>
          <t>2026-09-16</t>
        </is>
      </c>
      <c r="G83" s="10" t="inlineStr">
        <is>
          <t>name, address, postcode</t>
        </is>
      </c>
      <c r="H83" s="10" t="inlineStr">
        <is>
          <t>Requires Verification</t>
        </is>
      </c>
    </row>
    <row r="84">
      <c r="A84" s="5" t="inlineStr">
        <is>
          <t>UK-000206</t>
        </is>
      </c>
      <c r="B84" s="5" t="inlineStr">
        <is>
          <t>Premier (Grimsby Road, Cleethorpes)</t>
        </is>
      </c>
      <c r="C84" s="5" t="inlineStr">
        <is>
          <t>Cleethorpes</t>
        </is>
      </c>
      <c r="D84" s="5" t="inlineStr">
        <is>
          <t>https://www.premier-stores.co.uk/our-stores/grimsby-road</t>
        </is>
      </c>
      <c r="E84" s="5" t="inlineStr">
        <is>
          <t>Directory</t>
        </is>
      </c>
      <c r="F84" s="5" t="inlineStr">
        <is>
          <t>2026-09-16</t>
        </is>
      </c>
      <c r="G84" s="5" t="inlineStr">
        <is>
          <t>name, 141-143 Grimsby Road address (via search results)</t>
        </is>
      </c>
      <c r="H84" s="5" t="inlineStr">
        <is>
          <t>Requires Verification</t>
        </is>
      </c>
    </row>
    <row r="85">
      <c r="A85" s="10" t="inlineStr">
        <is>
          <t>UK-000207</t>
        </is>
      </c>
      <c r="B85" s="10" t="inlineStr">
        <is>
          <t>Premier Mexborough Convenience Store</t>
        </is>
      </c>
      <c r="C85" s="10" t="inlineStr">
        <is>
          <t>Mexborough</t>
        </is>
      </c>
      <c r="D85" s="10" t="inlineStr">
        <is>
          <t>https://www.premier-stores.co.uk/our-stores/mexborough-convenience-store</t>
        </is>
      </c>
      <c r="E85" s="10" t="inlineStr">
        <is>
          <t>Official Website</t>
        </is>
      </c>
      <c r="F85" s="10" t="inlineStr">
        <is>
          <t>2026-09-16</t>
        </is>
      </c>
      <c r="G85" s="10" t="inlineStr">
        <is>
          <t>name, address, postcode, phone, services</t>
        </is>
      </c>
      <c r="H85" s="10" t="inlineStr">
        <is>
          <t>Requires Verification</t>
        </is>
      </c>
    </row>
    <row r="86">
      <c r="A86" s="5" t="inlineStr">
        <is>
          <t>UK-000207</t>
        </is>
      </c>
      <c r="B86" s="5" t="inlineStr">
        <is>
          <t>Premier Mexborough Convenience Store</t>
        </is>
      </c>
      <c r="C86" s="5" t="inlineStr">
        <is>
          <t>Mexborough</t>
        </is>
      </c>
      <c r="D86" s="5" t="inlineStr">
        <is>
          <t>https://ratings.food.gov.uk/business/763850</t>
        </is>
      </c>
      <c r="E86" s="5" t="inlineStr">
        <is>
          <t>Other</t>
        </is>
      </c>
      <c r="F86" s="5" t="inlineStr">
        <is>
          <t>2026-09-16</t>
        </is>
      </c>
      <c r="G86" s="5" t="inlineStr">
        <is>
          <t>name, address (food hygiene)</t>
        </is>
      </c>
      <c r="H86" s="5" t="inlineStr">
        <is>
          <t>Requires Verification</t>
        </is>
      </c>
    </row>
    <row r="87">
      <c r="A87" s="10" t="inlineStr">
        <is>
          <t>UK-000208</t>
        </is>
      </c>
      <c r="B87" s="10" t="inlineStr">
        <is>
          <t>Premier Super Convenience Store Barnsley</t>
        </is>
      </c>
      <c r="C87" s="10" t="inlineStr">
        <is>
          <t>Barnsley</t>
        </is>
      </c>
      <c r="D87" s="10" t="inlineStr">
        <is>
          <t>https://web.facebook.com/premier3840/</t>
        </is>
      </c>
      <c r="E87" s="10" t="inlineStr">
        <is>
          <t>Facebook</t>
        </is>
      </c>
      <c r="F87" s="10" t="inlineStr">
        <is>
          <t>2026-09-16</t>
        </is>
      </c>
      <c r="G87" s="10" t="inlineStr">
        <is>
          <t>name, address</t>
        </is>
      </c>
      <c r="H87" s="10" t="inlineStr">
        <is>
          <t>Requires Verification</t>
        </is>
      </c>
    </row>
    <row r="88">
      <c r="A88" s="5" t="inlineStr">
        <is>
          <t>UK-000209</t>
        </is>
      </c>
      <c r="B88" s="5" t="inlineStr">
        <is>
          <t>Premier Wombwell Convenience Store</t>
        </is>
      </c>
      <c r="C88" s="5" t="inlineStr">
        <is>
          <t>Barnsley</t>
        </is>
      </c>
      <c r="D88" s="5" t="inlineStr">
        <is>
          <t>https://www.premier-stores.co.uk/our-stores/wombwell-convenience-store</t>
        </is>
      </c>
      <c r="E88" s="5" t="inlineStr">
        <is>
          <t>Official Website</t>
        </is>
      </c>
      <c r="F88" s="5" t="inlineStr">
        <is>
          <t>2026-09-16</t>
        </is>
      </c>
      <c r="G88" s="5" t="inlineStr">
        <is>
          <t>name, address, postcode</t>
        </is>
      </c>
      <c r="H88" s="5" t="inlineStr">
        <is>
          <t>Requires Verification</t>
        </is>
      </c>
    </row>
    <row r="89">
      <c r="A89" s="10" t="inlineStr">
        <is>
          <t>UK-000210</t>
        </is>
      </c>
      <c r="B89" s="10" t="inlineStr">
        <is>
          <t>Sheffield Road Premier Convenience Store</t>
        </is>
      </c>
      <c r="C89" s="10" t="inlineStr">
        <is>
          <t>Barnsley</t>
        </is>
      </c>
      <c r="D89" s="10" t="inlineStr">
        <is>
          <t>https://www.barnsley.gov.uk/services/licences-and-permissions/premises-licences/pending-premises-licence-applications/sheffield-road-premier-convenience-store-application-for-a-new-premises-licence</t>
        </is>
      </c>
      <c r="E89" s="10" t="inlineStr">
        <is>
          <t>Other</t>
        </is>
      </c>
      <c r="F89" s="10" t="inlineStr">
        <is>
          <t>2026-09-16</t>
        </is>
      </c>
      <c r="G89" s="10" t="inlineStr">
        <is>
          <t>name, address, postcode</t>
        </is>
      </c>
      <c r="H89" s="10" t="inlineStr">
        <is>
          <t>Requires Verification</t>
        </is>
      </c>
    </row>
    <row r="90">
      <c r="A90" s="5" t="inlineStr">
        <is>
          <t>WY-0022</t>
        </is>
      </c>
      <c r="B90" s="5" t="inlineStr">
        <is>
          <t>SMKD</t>
        </is>
      </c>
      <c r="C90" s="5" t="inlineStr">
        <is>
          <t>Halifax</t>
        </is>
      </c>
      <c r="D90" s="5" t="inlineStr">
        <is>
          <t>https://www.ukmalls.co.uk/shopping-centres/england/yorkshire-and-the-humber/halifax/halifax-borough-market/smkd-e-cigarettes-and-vape-shop-halifax</t>
        </is>
      </c>
      <c r="E90" s="5" t="inlineStr">
        <is>
          <t>Directory</t>
        </is>
      </c>
      <c r="F90" s="5" t="inlineStr">
        <is>
          <t>2026-09-16</t>
        </is>
      </c>
      <c r="G90" s="5" t="inlineStr">
        <is>
          <t>address, postcode, opening hours, possible closure note</t>
        </is>
      </c>
      <c r="H90" s="5" t="inlineStr">
        <is>
          <t>Partially Verified</t>
        </is>
      </c>
    </row>
    <row r="91">
      <c r="A91" s="10" t="inlineStr">
        <is>
          <t>WY-0022</t>
        </is>
      </c>
      <c r="B91" s="10" t="inlineStr">
        <is>
          <t>SMKD</t>
        </is>
      </c>
      <c r="C91" s="10" t="inlineStr">
        <is>
          <t>Halifax</t>
        </is>
      </c>
      <c r="D91" s="10" t="inlineStr">
        <is>
          <t>https://smkd.com/vape-shop-locator/smkd-halifax-vape-shop-market-street/</t>
        </is>
      </c>
      <c r="E91" s="10" t="inlineStr">
        <is>
          <t>Official Website</t>
        </is>
      </c>
      <c r="F91" s="10" t="inlineStr">
        <is>
          <t>2026-09-16</t>
        </is>
      </c>
      <c r="G91" s="10" t="inlineStr">
        <is>
          <t>store locator page URL seen in search results (fetch blocked)</t>
        </is>
      </c>
      <c r="H91" s="10" t="inlineStr">
        <is>
          <t>Partially Verified</t>
        </is>
      </c>
    </row>
    <row r="92">
      <c r="A92" s="5" t="inlineStr">
        <is>
          <t>WY-0023</t>
        </is>
      </c>
      <c r="B92" s="5" t="inlineStr">
        <is>
          <t>SMKD</t>
        </is>
      </c>
      <c r="C92" s="5" t="inlineStr">
        <is>
          <t>Hebden Bridge</t>
        </is>
      </c>
      <c r="D92" s="5" t="inlineStr">
        <is>
          <t>https://smkd.com/vape-shop-locator/smkd-hebden-bridge-vape-shop-west-end/</t>
        </is>
      </c>
      <c r="E92" s="5" t="inlineStr">
        <is>
          <t>Official Website</t>
        </is>
      </c>
      <c r="F92" s="5" t="inlineStr">
        <is>
          <t>2026-09-16</t>
        </is>
      </c>
      <c r="G92" s="5" t="inlineStr">
        <is>
          <t>store location, delivery area, central phone and email (via search snippet; fetch blocked)</t>
        </is>
      </c>
      <c r="H92" s="5" t="inlineStr">
        <is>
          <t>Partially Verified</t>
        </is>
      </c>
    </row>
    <row r="93">
      <c r="A93" s="10" t="inlineStr">
        <is>
          <t>WY-0023</t>
        </is>
      </c>
      <c r="B93" s="10" t="inlineStr">
        <is>
          <t>SMKD</t>
        </is>
      </c>
      <c r="C93" s="10" t="inlineStr">
        <is>
          <t>Hebden Bridge</t>
        </is>
      </c>
      <c r="D93" s="10" t="inlineStr">
        <is>
          <t>https://find-and-update.company-information.service.gov.uk/company/16161027</t>
        </is>
      </c>
      <c r="E93" s="10" t="inlineStr">
        <is>
          <t>Companies House</t>
        </is>
      </c>
      <c r="F93" s="10" t="inlineStr">
        <is>
          <t>2026-09-16</t>
        </is>
      </c>
      <c r="G93" s="10" t="inlineStr">
        <is>
          <t>company number, status, incorporation date, registered office (via search snippet)</t>
        </is>
      </c>
      <c r="H93" s="10" t="inlineStr">
        <is>
          <t>Partially Verified</t>
        </is>
      </c>
    </row>
    <row r="94">
      <c r="A94" s="5" t="inlineStr">
        <is>
          <t>WY-0023</t>
        </is>
      </c>
      <c r="B94" s="5" t="inlineStr">
        <is>
          <t>SMKD</t>
        </is>
      </c>
      <c r="C94" s="5" t="inlineStr">
        <is>
          <t>Hebden Bridge</t>
        </is>
      </c>
      <c r="D94" s="5" t="inlineStr">
        <is>
          <t>https://www.facebook.com/SmkdVapeShop/</t>
        </is>
      </c>
      <c r="E94" s="5" t="inlineStr">
        <is>
          <t>Facebook</t>
        </is>
      </c>
      <c r="F94" s="5" t="inlineStr">
        <is>
          <t>2026-09-16</t>
        </is>
      </c>
      <c r="G94" s="5" t="inlineStr">
        <is>
          <t>social (brand facebook)</t>
        </is>
      </c>
      <c r="H94" s="5" t="inlineStr">
        <is>
          <t>Partially Verified</t>
        </is>
      </c>
    </row>
    <row r="95">
      <c r="A95" s="10" t="inlineStr">
        <is>
          <t>WY-0024</t>
        </is>
      </c>
      <c r="B95" s="10" t="inlineStr">
        <is>
          <t>SMKD - E Cigarettes and Vape Shop (Wakefield)</t>
        </is>
      </c>
      <c r="C95" s="10" t="inlineStr">
        <is>
          <t>Wakefield</t>
        </is>
      </c>
      <c r="D95" s="10" t="inlineStr">
        <is>
          <t>https://smkd.com/vape-shop-locator/wakefield-vape-shop-ridings-shopping-centre/</t>
        </is>
      </c>
      <c r="E95" s="10" t="inlineStr">
        <is>
          <t>Official Website</t>
        </is>
      </c>
      <c r="F95" s="10" t="inlineStr">
        <is>
          <t>2026-09-16</t>
        </is>
      </c>
      <c r="G95" s="10" t="inlineStr">
        <is>
          <t>store existence, location (seen in search results; fetch blocked)</t>
        </is>
      </c>
      <c r="H95" s="10" t="inlineStr">
        <is>
          <t>Partially Verified</t>
        </is>
      </c>
    </row>
    <row r="96">
      <c r="A96" s="5" t="inlineStr">
        <is>
          <t>WY-0024</t>
        </is>
      </c>
      <c r="B96" s="5" t="inlineStr">
        <is>
          <t>SMKD - E Cigarettes and Vape Shop (Wakefield)</t>
        </is>
      </c>
      <c r="C96" s="5" t="inlineStr">
        <is>
          <t>Wakefield</t>
        </is>
      </c>
      <c r="D96" s="5" t="inlineStr">
        <is>
          <t>https://www.chamberofcommerce.uk/business-directory/england/wakefield/miscellaneous/271525-smkd-e-cigarettes-and-vape-shop-wakefield</t>
        </is>
      </c>
      <c r="E96" s="5" t="inlineStr">
        <is>
          <t>Directory</t>
        </is>
      </c>
      <c r="F96" s="5" t="inlineStr">
        <is>
          <t>2026-09-16</t>
        </is>
      </c>
      <c r="G96" s="5" t="inlineStr">
        <is>
          <t>address WF1 1DS, phone</t>
        </is>
      </c>
      <c r="H96" s="5" t="inlineStr">
        <is>
          <t>Partially Verified</t>
        </is>
      </c>
    </row>
    <row r="97">
      <c r="A97" s="10" t="inlineStr">
        <is>
          <t>WY-0024</t>
        </is>
      </c>
      <c r="B97" s="10" t="inlineStr">
        <is>
          <t>SMKD - E Cigarettes and Vape Shop (Wakefield)</t>
        </is>
      </c>
      <c r="C97" s="10" t="inlineStr">
        <is>
          <t>Wakefield</t>
        </is>
      </c>
      <c r="D97" s="10" t="inlineStr">
        <is>
          <t>https://wakefield-eng.business-dir.co.uk/smkd-e-cigarettes-and-vape-shop-wakefield/</t>
        </is>
      </c>
      <c r="E97" s="10" t="inlineStr">
        <is>
          <t>Directory</t>
        </is>
      </c>
      <c r="F97" s="10" t="inlineStr">
        <is>
          <t>2026-09-16</t>
        </is>
      </c>
      <c r="G97" s="10" t="inlineStr">
        <is>
          <t>address cross-check</t>
        </is>
      </c>
      <c r="H97" s="10" t="inlineStr">
        <is>
          <t>Partially Verified</t>
        </is>
      </c>
    </row>
    <row r="98">
      <c r="A98" s="5" t="inlineStr">
        <is>
          <t>WY-0024</t>
        </is>
      </c>
      <c r="B98" s="5" t="inlineStr">
        <is>
          <t>SMKD - E Cigarettes and Vape Shop (Wakefield)</t>
        </is>
      </c>
      <c r="C98" s="5" t="inlineStr">
        <is>
          <t>Wakefield</t>
        </is>
      </c>
      <c r="D98" s="5" t="inlineStr">
        <is>
          <t>https://find-and-update.company-information.service.gov.uk/company/16161027</t>
        </is>
      </c>
      <c r="E98" s="5" t="inlineStr">
        <is>
          <t>Companies House</t>
        </is>
      </c>
      <c r="F98" s="5" t="inlineStr">
        <is>
          <t>2026-09-16</t>
        </is>
      </c>
      <c r="G98" s="5" t="inlineStr">
        <is>
          <t>company number, status, incorporation date, registered office (via search snippet)</t>
        </is>
      </c>
      <c r="H98" s="5" t="inlineStr">
        <is>
          <t>Partially Verified</t>
        </is>
      </c>
    </row>
    <row r="99">
      <c r="A99" s="10" t="inlineStr">
        <is>
          <t>WY-0024</t>
        </is>
      </c>
      <c r="B99" s="10" t="inlineStr">
        <is>
          <t>SMKD - E Cigarettes and Vape Shop (Wakefield)</t>
        </is>
      </c>
      <c r="C99" s="10" t="inlineStr">
        <is>
          <t>Wakefield</t>
        </is>
      </c>
      <c r="D99" s="10" t="inlineStr">
        <is>
          <t>https://www.facebook.com/SmkdVapeShop/</t>
        </is>
      </c>
      <c r="E99" s="10" t="inlineStr">
        <is>
          <t>Facebook</t>
        </is>
      </c>
      <c r="F99" s="10" t="inlineStr">
        <is>
          <t>2026-09-16</t>
        </is>
      </c>
      <c r="G99" s="10" t="inlineStr">
        <is>
          <t>social (brand facebook)</t>
        </is>
      </c>
      <c r="H99" s="10" t="inlineStr">
        <is>
          <t>Partially Verified</t>
        </is>
      </c>
    </row>
    <row r="100">
      <c r="A100" s="5" t="inlineStr">
        <is>
          <t>UK-000211</t>
        </is>
      </c>
      <c r="B100" s="5" t="inlineStr">
        <is>
          <t>SMKD Barnsley</t>
        </is>
      </c>
      <c r="C100" s="5" t="inlineStr">
        <is>
          <t>Barnsley</t>
        </is>
      </c>
      <c r="D100" s="5" t="inlineStr">
        <is>
          <t>https://smkd.com/vape-shop-locator/smkd-barnsley-vape-shop-new-street/</t>
        </is>
      </c>
      <c r="E100" s="5" t="inlineStr">
        <is>
          <t>Official Website</t>
        </is>
      </c>
      <c r="F100" s="5" t="inlineStr">
        <is>
          <t>2026-09-16</t>
        </is>
      </c>
      <c r="G100" s="5" t="inlineStr">
        <is>
          <t>name, street, store locator</t>
        </is>
      </c>
      <c r="H100" s="5" t="inlineStr">
        <is>
          <t>Requires Verification</t>
        </is>
      </c>
    </row>
    <row r="101">
      <c r="A101" s="10" t="inlineStr">
        <is>
          <t>UK-000212</t>
        </is>
      </c>
      <c r="B101" s="10" t="inlineStr">
        <is>
          <t>SMKD Rotherham</t>
        </is>
      </c>
      <c r="C101" s="10" t="inlineStr">
        <is>
          <t>Rotherham</t>
        </is>
      </c>
      <c r="D101" s="10" t="inlineStr">
        <is>
          <t>https://smkd.com/vape-shop-locator/smkd-rotherham-vape-shop-effingham-street/</t>
        </is>
      </c>
      <c r="E101" s="10" t="inlineStr">
        <is>
          <t>Official Website</t>
        </is>
      </c>
      <c r="F101" s="10" t="inlineStr">
        <is>
          <t>2026-09-16</t>
        </is>
      </c>
      <c r="G101" s="10" t="inlineStr">
        <is>
          <t>name, address, store locator</t>
        </is>
      </c>
      <c r="H101" s="10" t="inlineStr">
        <is>
          <t>Requires Verification</t>
        </is>
      </c>
    </row>
    <row r="102">
      <c r="A102" s="5" t="inlineStr">
        <is>
          <t>UK-000212</t>
        </is>
      </c>
      <c r="B102" s="5" t="inlineStr">
        <is>
          <t>SMKD Rotherham</t>
        </is>
      </c>
      <c r="C102" s="5" t="inlineStr">
        <is>
          <t>Rotherham</t>
        </is>
      </c>
      <c r="D102" s="5" t="inlineStr">
        <is>
          <t>https://www.chamberofcommerce.uk/business-directory/england/rotherham/miscellaneous/1035065-smkd-e-cigarettes-and-vape-shop-rotherham</t>
        </is>
      </c>
      <c r="E102" s="5" t="inlineStr">
        <is>
          <t>Directory</t>
        </is>
      </c>
      <c r="F102" s="5" t="inlineStr">
        <is>
          <t>2026-09-16</t>
        </is>
      </c>
      <c r="G102" s="5" t="inlineStr">
        <is>
          <t>postcode S65 1AL, phone</t>
        </is>
      </c>
      <c r="H102" s="5" t="inlineStr">
        <is>
          <t>Requires Verification</t>
        </is>
      </c>
    </row>
    <row r="103">
      <c r="A103" s="10" t="inlineStr">
        <is>
          <t>UK-000213</t>
        </is>
      </c>
      <c r="B103" s="10" t="inlineStr">
        <is>
          <t>SPAR Barnsley Road</t>
        </is>
      </c>
      <c r="C103" s="10" t="inlineStr">
        <is>
          <t>Barnsley</t>
        </is>
      </c>
      <c r="D103" s="10" t="inlineStr">
        <is>
          <t>https://www.spar.co.uk/store-locator/afb31700-spar-barnsley-road</t>
        </is>
      </c>
      <c r="E103" s="10" t="inlineStr">
        <is>
          <t>Official Website</t>
        </is>
      </c>
      <c r="F103" s="10" t="inlineStr">
        <is>
          <t>2026-09-16</t>
        </is>
      </c>
      <c r="G103" s="10" t="inlineStr">
        <is>
          <t>name, street, store locator</t>
        </is>
      </c>
      <c r="H103" s="10" t="inlineStr">
        <is>
          <t>Requires Verification</t>
        </is>
      </c>
    </row>
    <row r="104">
      <c r="A104" s="5" t="inlineStr">
        <is>
          <t>WY-0025</t>
        </is>
      </c>
      <c r="B104" s="5" t="inlineStr">
        <is>
          <t>Dewsbury Service Station (Savile Petroleum)</t>
        </is>
      </c>
      <c r="C104" s="5" t="inlineStr">
        <is>
          <t>Dewsbury</t>
        </is>
      </c>
      <c r="D104" s="5" t="inlineStr">
        <is>
          <t>https://find-and-update.company-information.service.gov.uk/company/05197700</t>
        </is>
      </c>
      <c r="E104" s="5" t="inlineStr">
        <is>
          <t>Companies House</t>
        </is>
      </c>
      <c r="F104" s="5" t="inlineStr">
        <is>
          <t>2026-09-16</t>
        </is>
      </c>
      <c r="G104" s="5" t="inlineStr">
        <is>
          <t>company number, status, incorporation date, registered office</t>
        </is>
      </c>
      <c r="H104" s="5" t="inlineStr">
        <is>
          <t>Partially Verified</t>
        </is>
      </c>
    </row>
    <row r="105">
      <c r="A105" s="10" t="inlineStr">
        <is>
          <t>WY-0025</t>
        </is>
      </c>
      <c r="B105" s="10" t="inlineStr">
        <is>
          <t>Dewsbury Service Station (Savile Petroleum)</t>
        </is>
      </c>
      <c r="C105" s="10" t="inlineStr">
        <is>
          <t>Dewsbury</t>
        </is>
      </c>
      <c r="D105" s="10" t="inlineStr">
        <is>
          <t>https://www.petrolprices.com/locations/dewsbury/savile-road/8720</t>
        </is>
      </c>
      <c r="E105" s="10" t="inlineStr">
        <is>
          <t>Directory</t>
        </is>
      </c>
      <c r="F105" s="10" t="inlineStr">
        <is>
          <t>2026-09-16</t>
        </is>
      </c>
      <c r="G105" s="10" t="inlineStr">
        <is>
          <t>site address BP Savile Road WF12 9LR</t>
        </is>
      </c>
      <c r="H105" s="10" t="inlineStr">
        <is>
          <t>Partially Verified</t>
        </is>
      </c>
    </row>
    <row r="106">
      <c r="A106" s="5" t="inlineStr">
        <is>
          <t>WY-0025</t>
        </is>
      </c>
      <c r="B106" s="5" t="inlineStr">
        <is>
          <t>Dewsbury Service Station (Savile Petroleum)</t>
        </is>
      </c>
      <c r="C106" s="5" t="inlineStr">
        <is>
          <t>Dewsbury</t>
        </is>
      </c>
      <c r="D106" s="5" t="inlineStr">
        <is>
          <t>https://www.yorkshire.com/dewsbury/services/petrol-stations/savile-petroleum-limited</t>
        </is>
      </c>
      <c r="E106" s="5" t="inlineStr">
        <is>
          <t>Directory</t>
        </is>
      </c>
      <c r="F106" s="5" t="inlineStr">
        <is>
          <t>2026-09-16</t>
        </is>
      </c>
      <c r="G106" s="5" t="inlineStr">
        <is>
          <t>operator name at Dewsbury forecourt</t>
        </is>
      </c>
      <c r="H106" s="5" t="inlineStr">
        <is>
          <t>Partially Verified</t>
        </is>
      </c>
    </row>
    <row r="107">
      <c r="A107" s="10" t="inlineStr">
        <is>
          <t>WY-0025</t>
        </is>
      </c>
      <c r="B107" s="10" t="inlineStr">
        <is>
          <t>Dewsbury Service Station (Savile Petroleum)</t>
        </is>
      </c>
      <c r="C107" s="10" t="inlineStr">
        <is>
          <t>Dewsbury</t>
        </is>
      </c>
      <c r="D107" s="10" t="inlineStr">
        <is>
          <t>https://map.bp.com/en-GB/GB/petrol-station/dewsbury/dewsbury-s-stn/3824</t>
        </is>
      </c>
      <c r="E107" s="10" t="inlineStr">
        <is>
          <t>Directory</t>
        </is>
      </c>
      <c r="F107" s="10" t="inlineStr">
        <is>
          <t>2026-09-16</t>
        </is>
      </c>
      <c r="G107" s="10" t="inlineStr">
        <is>
          <t>facilities, 24/7 opening</t>
        </is>
      </c>
      <c r="H107" s="10" t="inlineStr">
        <is>
          <t>Partially Verified</t>
        </is>
      </c>
    </row>
    <row r="108">
      <c r="A108" s="5" t="inlineStr">
        <is>
          <t>WY-0026</t>
        </is>
      </c>
      <c r="B108" s="5" t="inlineStr">
        <is>
          <t>Sing Kee Foods (Sheepscar)</t>
        </is>
      </c>
      <c r="C108" s="5" t="inlineStr">
        <is>
          <t>Leeds</t>
        </is>
      </c>
      <c r="D108" s="5" t="inlineStr">
        <is>
          <t>https://ratings.food.gov.uk/business/1557203/sing-kee-foods-sheepscar</t>
        </is>
      </c>
      <c r="E108" s="5" t="inlineStr">
        <is>
          <t>Other</t>
        </is>
      </c>
      <c r="F108" s="5" t="inlineStr">
        <is>
          <t>2026-09-16</t>
        </is>
      </c>
      <c r="G108" s="5" t="inlineStr">
        <is>
          <t>Sheepscar site confirmation (via search results)</t>
        </is>
      </c>
      <c r="H108" s="5" t="inlineStr">
        <is>
          <t>Partially Verified</t>
        </is>
      </c>
    </row>
    <row r="109">
      <c r="A109" s="10" t="inlineStr">
        <is>
          <t>WY-0026</t>
        </is>
      </c>
      <c r="B109" s="10" t="inlineStr">
        <is>
          <t>Sing Kee Foods (Sheepscar)</t>
        </is>
      </c>
      <c r="C109" s="10" t="inlineStr">
        <is>
          <t>Leeds</t>
        </is>
      </c>
      <c r="D109" s="10" t="inlineStr">
        <is>
          <t>https://leeds.cylex-uk.co.uk/company/sing-kee-foods-ltd-leeds-23005733.html</t>
        </is>
      </c>
      <c r="E109" s="10" t="inlineStr">
        <is>
          <t>Directory</t>
        </is>
      </c>
      <c r="F109" s="10" t="inlineStr">
        <is>
          <t>2026-09-16</t>
        </is>
      </c>
      <c r="G109" s="10" t="inlineStr">
        <is>
          <t>address, phone (via search results)</t>
        </is>
      </c>
      <c r="H109" s="10" t="inlineStr">
        <is>
          <t>Partially Verified</t>
        </is>
      </c>
    </row>
    <row r="110">
      <c r="A110" s="5" t="inlineStr">
        <is>
          <t>WY-0026</t>
        </is>
      </c>
      <c r="B110" s="5" t="inlineStr">
        <is>
          <t>Sing Kee Foods (Sheepscar)</t>
        </is>
      </c>
      <c r="C110" s="5" t="inlineStr">
        <is>
          <t>Leeds</t>
        </is>
      </c>
      <c r="D110" s="5" t="inlineStr">
        <is>
          <t>https://find-and-update.company-information.service.gov.uk/company/04025779/persons-with-significant-control</t>
        </is>
      </c>
      <c r="E110" s="5" t="inlineStr">
        <is>
          <t>Companies House</t>
        </is>
      </c>
      <c r="F110" s="5" t="inlineStr">
        <is>
          <t>2026-09-16</t>
        </is>
      </c>
      <c r="G110" s="5" t="inlineStr">
        <is>
          <t>registered name and company number (via search results)</t>
        </is>
      </c>
      <c r="H110" s="5" t="inlineStr">
        <is>
          <t>Partially Verified</t>
        </is>
      </c>
    </row>
    <row r="111">
      <c r="A111" s="10" t="inlineStr">
        <is>
          <t>WY-0026</t>
        </is>
      </c>
      <c r="B111" s="10" t="inlineStr">
        <is>
          <t>Sing Kee Foods (Sheepscar)</t>
        </is>
      </c>
      <c r="C111" s="10" t="inlineStr">
        <is>
          <t>Leeds</t>
        </is>
      </c>
      <c r="D111" s="10" t="inlineStr">
        <is>
          <t>https://singkeefoods.com/gb/contact-us</t>
        </is>
      </c>
      <c r="E111" s="10" t="inlineStr">
        <is>
          <t>Official Website</t>
        </is>
      </c>
      <c r="F111" s="10" t="inlineStr">
        <is>
          <t>2026-09-16</t>
        </is>
      </c>
      <c r="G111" s="10" t="inlineStr">
        <is>
          <t>email (wholesale)</t>
        </is>
      </c>
      <c r="H111" s="10" t="inlineStr">
        <is>
          <t>Partially Verified</t>
        </is>
      </c>
    </row>
    <row r="112">
      <c r="A112" s="5" t="inlineStr">
        <is>
          <t>WY-0027</t>
        </is>
      </c>
      <c r="B112" s="5" t="inlineStr">
        <is>
          <t>Sing Kee Oriental Supermarket (Merrion Centre)</t>
        </is>
      </c>
      <c r="C112" s="5" t="inlineStr">
        <is>
          <t>Leeds</t>
        </is>
      </c>
      <c r="D112" s="5" t="inlineStr">
        <is>
          <t>https://www.merrioncentre.co.uk/units/sing-kee</t>
        </is>
      </c>
      <c r="E112" s="5" t="inlineStr">
        <is>
          <t>Directory</t>
        </is>
      </c>
      <c r="F112" s="5" t="inlineStr">
        <is>
          <t>2026-09-16</t>
        </is>
      </c>
      <c r="G112" s="5" t="inlineStr">
        <is>
          <t>unit location in Merrion Centre (via search results)</t>
        </is>
      </c>
      <c r="H112" s="5" t="inlineStr">
        <is>
          <t>Requires Verification</t>
        </is>
      </c>
    </row>
    <row r="113">
      <c r="A113" s="10" t="inlineStr">
        <is>
          <t>WY-0027</t>
        </is>
      </c>
      <c r="B113" s="10" t="inlineStr">
        <is>
          <t>Sing Kee Oriental Supermarket (Merrion Centre)</t>
        </is>
      </c>
      <c r="C113" s="10" t="inlineStr">
        <is>
          <t>Leeds</t>
        </is>
      </c>
      <c r="D113" s="10" t="inlineStr">
        <is>
          <t>https://foursquare.com/v/sing-kee-oriental-supermarket/55a8e8d0498e6e43c116af26</t>
        </is>
      </c>
      <c r="E113" s="10" t="inlineStr">
        <is>
          <t>Directory</t>
        </is>
      </c>
      <c r="F113" s="10" t="inlineStr">
        <is>
          <t>2026-09-16</t>
        </is>
      </c>
      <c r="G113" s="10" t="inlineStr">
        <is>
          <t>address, postcode (via search results)</t>
        </is>
      </c>
      <c r="H113" s="10" t="inlineStr">
        <is>
          <t>Requires Verification</t>
        </is>
      </c>
    </row>
    <row r="114">
      <c r="A114" s="5" t="inlineStr">
        <is>
          <t>WY-0027</t>
        </is>
      </c>
      <c r="B114" s="5" t="inlineStr">
        <is>
          <t>Sing Kee Oriental Supermarket (Merrion Centre)</t>
        </is>
      </c>
      <c r="C114" s="5" t="inlineStr">
        <is>
          <t>Leeds</t>
        </is>
      </c>
      <c r="D114" s="5" t="inlineStr">
        <is>
          <t>https://singkeefoods.co.uk/gb/stores</t>
        </is>
      </c>
      <c r="E114" s="5" t="inlineStr">
        <is>
          <t>Official Website</t>
        </is>
      </c>
      <c r="F114" s="5" t="inlineStr">
        <is>
          <t>2026-09-16</t>
        </is>
      </c>
      <c r="G114" s="5" t="inlineStr">
        <is>
          <t>store list page existence (via search results; direct fetch blocked by proxy)</t>
        </is>
      </c>
      <c r="H114" s="5" t="inlineStr">
        <is>
          <t>Requires Verification</t>
        </is>
      </c>
    </row>
    <row r="115">
      <c r="A115" s="10" t="inlineStr">
        <is>
          <t>UK-000214</t>
        </is>
      </c>
      <c r="B115" s="10" t="inlineStr">
        <is>
          <t>Spar (Trinity Road, Cleethorpes)</t>
        </is>
      </c>
      <c r="C115" s="10" t="inlineStr">
        <is>
          <t>Cleethorpes</t>
        </is>
      </c>
      <c r="D115" s="10" t="inlineStr">
        <is>
          <t>https://www.192.com/atoz/business/dn35/convenience--stores/</t>
        </is>
      </c>
      <c r="E115" s="10" t="inlineStr">
        <is>
          <t>Directory</t>
        </is>
      </c>
      <c r="F115" s="10" t="inlineStr">
        <is>
          <t>2026-09-16</t>
        </is>
      </c>
      <c r="G115" s="10" t="inlineStr">
        <is>
          <t>name, Trinity Road address (via search results)</t>
        </is>
      </c>
      <c r="H115" s="10" t="inlineStr">
        <is>
          <t>Requires Verification</t>
        </is>
      </c>
    </row>
    <row r="116">
      <c r="A116" s="5" t="inlineStr">
        <is>
          <t>WY-0028</t>
        </is>
      </c>
      <c r="B116" s="5" t="inlineStr">
        <is>
          <t>Glasshoughton Service Station</t>
        </is>
      </c>
      <c r="C116" s="5" t="inlineStr">
        <is>
          <t>Castleford</t>
        </is>
      </c>
      <c r="D116" s="5" t="inlineStr">
        <is>
          <t>https://www.nisalocally.co.uk/stores/west-yorkshire/castleford/bp-glasshoughton-ser-st</t>
        </is>
      </c>
      <c r="E116" s="5" t="inlineStr">
        <is>
          <t>Official Website</t>
        </is>
      </c>
      <c r="F116" s="5" t="inlineStr">
        <is>
          <t>2026-09-16</t>
        </is>
      </c>
      <c r="G116" s="5" t="inlineStr">
        <is>
          <t>store presence on Nisa Locally finder (seen in search results; fetch blocked)</t>
        </is>
      </c>
      <c r="H116" s="5" t="inlineStr">
        <is>
          <t>Requires Verification</t>
        </is>
      </c>
    </row>
    <row r="117">
      <c r="A117" s="10" t="inlineStr">
        <is>
          <t>WY-0028</t>
        </is>
      </c>
      <c r="B117" s="10" t="inlineStr">
        <is>
          <t>Glasshoughton Service Station</t>
        </is>
      </c>
      <c r="C117" s="10" t="inlineStr">
        <is>
          <t>Castleford</t>
        </is>
      </c>
      <c r="D117" s="10" t="inlineStr">
        <is>
          <t>https://map.bp.com/en-GB/GB/petrol-station/castleford/glasshoughton-service-station/17857</t>
        </is>
      </c>
      <c r="E117" s="10" t="inlineStr">
        <is>
          <t>Other</t>
        </is>
      </c>
      <c r="F117" s="10" t="inlineStr">
        <is>
          <t>2026-09-16</t>
        </is>
      </c>
      <c r="G117" s="10" t="inlineStr">
        <is>
          <t>BP site listing, Park Road location</t>
        </is>
      </c>
      <c r="H117" s="10" t="inlineStr">
        <is>
          <t>Requires Verification</t>
        </is>
      </c>
    </row>
    <row r="118">
      <c r="A118" s="5" t="inlineStr">
        <is>
          <t>WY-0028</t>
        </is>
      </c>
      <c r="B118" s="5" t="inlineStr">
        <is>
          <t>Glasshoughton Service Station</t>
        </is>
      </c>
      <c r="C118" s="5" t="inlineStr">
        <is>
          <t>Castleford</t>
        </is>
      </c>
      <c r="D118" s="5" t="inlineStr">
        <is>
          <t>https://ratings.food.gov.uk/business/1264691</t>
        </is>
      </c>
      <c r="E118" s="5" t="inlineStr">
        <is>
          <t>Other</t>
        </is>
      </c>
      <c r="F118" s="5" t="inlineStr">
        <is>
          <t>2026-09-16</t>
        </is>
      </c>
      <c r="G118" s="5" t="inlineStr">
        <is>
          <t>operator name 'Nisa Local @ Speed Petroleum'</t>
        </is>
      </c>
      <c r="H118" s="5" t="inlineStr">
        <is>
          <t>Requires Verification</t>
        </is>
      </c>
    </row>
    <row r="119">
      <c r="A119" s="10" t="inlineStr">
        <is>
          <t>WY-0028</t>
        </is>
      </c>
      <c r="B119" s="10" t="inlineStr">
        <is>
          <t>Glasshoughton Service Station</t>
        </is>
      </c>
      <c r="C119" s="10" t="inlineStr">
        <is>
          <t>Castleford</t>
        </is>
      </c>
      <c r="D119" s="10" t="inlineStr">
        <is>
          <t>https://www.justoffjunction.co.uk/fuel.php?ServiceID=4621</t>
        </is>
      </c>
      <c r="E119" s="10" t="inlineStr">
        <is>
          <t>Directory</t>
        </is>
      </c>
      <c r="F119" s="10" t="inlineStr">
        <is>
          <t>2026-09-16</t>
        </is>
      </c>
      <c r="G119" s="10" t="inlineStr">
        <is>
          <t>M62 J32 location, WF10 4RS</t>
        </is>
      </c>
      <c r="H119" s="10" t="inlineStr">
        <is>
          <t>Requires Verification</t>
        </is>
      </c>
    </row>
    <row r="120">
      <c r="A120" s="5" t="inlineStr">
        <is>
          <t>WY-0029</t>
        </is>
      </c>
      <c r="B120" s="5" t="inlineStr">
        <is>
          <t>TB Cash &amp; Carry (Bradford)</t>
        </is>
      </c>
      <c r="C120" s="5" t="inlineStr">
        <is>
          <t>Bradford</t>
        </is>
      </c>
      <c r="D120" s="5" t="inlineStr">
        <is>
          <t>https://www.yell.com/biz/t-b-cash-and-carry-bradford-949082/</t>
        </is>
      </c>
      <c r="E120" s="5" t="inlineStr">
        <is>
          <t>Yell</t>
        </is>
      </c>
      <c r="F120" s="5" t="inlineStr">
        <is>
          <t>2026-09-16</t>
        </is>
      </c>
      <c r="G120" s="5" t="inlineStr">
        <is>
          <t>address, phone</t>
        </is>
      </c>
      <c r="H120" s="5" t="inlineStr">
        <is>
          <t>Verified (website + Companies House)</t>
        </is>
      </c>
    </row>
    <row r="121">
      <c r="A121" s="10" t="inlineStr">
        <is>
          <t>WY-0029</t>
        </is>
      </c>
      <c r="B121" s="10" t="inlineStr">
        <is>
          <t>TB Cash &amp; Carry (Bradford)</t>
        </is>
      </c>
      <c r="C121" s="10" t="inlineStr">
        <is>
          <t>Bradford</t>
        </is>
      </c>
      <c r="D121" s="10" t="inlineStr">
        <is>
          <t>https://www.touchbradford.com/business/t-b-cash-and-carry/22060903</t>
        </is>
      </c>
      <c r="E121" s="10" t="inlineStr">
        <is>
          <t>Directory</t>
        </is>
      </c>
      <c r="F121" s="10" t="inlineStr">
        <is>
          <t>2026-09-16</t>
        </is>
      </c>
      <c r="G121" s="10" t="inlineStr">
        <is>
          <t>address, phone cross-check</t>
        </is>
      </c>
      <c r="H121" s="10" t="inlineStr">
        <is>
          <t>Verified (website + Companies House)</t>
        </is>
      </c>
    </row>
    <row r="122">
      <c r="A122" s="5" t="inlineStr">
        <is>
          <t>WY-0029</t>
        </is>
      </c>
      <c r="B122" s="5" t="inlineStr">
        <is>
          <t>TB Cash &amp; Carry (Bradford)</t>
        </is>
      </c>
      <c r="C122" s="5" t="inlineStr">
        <is>
          <t>Bradford</t>
        </is>
      </c>
      <c r="D122" s="5" t="inlineStr">
        <is>
          <t>https://tbcashandcarry.co.uk/</t>
        </is>
      </c>
      <c r="E122" s="5" t="inlineStr">
        <is>
          <t>Official Website</t>
        </is>
      </c>
      <c r="F122" s="5" t="inlineStr">
        <is>
          <t>2026-09-16</t>
        </is>
      </c>
      <c r="G122" s="5" t="inlineStr">
        <is>
          <t>confirmation of Bradford store (via search extraction)</t>
        </is>
      </c>
      <c r="H122" s="5" t="inlineStr">
        <is>
          <t>Verified (website + Companies House)</t>
        </is>
      </c>
    </row>
    <row r="123">
      <c r="A123" s="10" t="inlineStr">
        <is>
          <t>WY-0030</t>
        </is>
      </c>
      <c r="B123" s="10" t="inlineStr">
        <is>
          <t>TB Cash &amp; Carry (Leeds)</t>
        </is>
      </c>
      <c r="C123" s="10" t="inlineStr">
        <is>
          <t>Leeds</t>
        </is>
      </c>
      <c r="D123" s="10" t="inlineStr">
        <is>
          <t>https://tbcashandcarry.co.uk/</t>
        </is>
      </c>
      <c r="E123" s="10" t="inlineStr">
        <is>
          <t>Official Website</t>
        </is>
      </c>
      <c r="F123" s="10" t="inlineStr">
        <is>
          <t>2026-09-16</t>
        </is>
      </c>
      <c r="G123" s="10" t="inlineStr">
        <is>
          <t>business description, est. 1985, two stores Leeds &amp; Bradford (via search extraction)</t>
        </is>
      </c>
      <c r="H123" s="10" t="inlineStr">
        <is>
          <t>Verified (website + Companies House)</t>
        </is>
      </c>
    </row>
    <row r="124">
      <c r="A124" s="5" t="inlineStr">
        <is>
          <t>WY-0030</t>
        </is>
      </c>
      <c r="B124" s="5" t="inlineStr">
        <is>
          <t>TB Cash &amp; Carry (Leeds)</t>
        </is>
      </c>
      <c r="C124" s="5" t="inlineStr">
        <is>
          <t>Leeds</t>
        </is>
      </c>
      <c r="D124" s="5" t="inlineStr">
        <is>
          <t>https://www.thomsonlocal.com/search/cash-carry-wholesalers/leeds/t-b-cash-carry/1798109/01132451454</t>
        </is>
      </c>
      <c r="E124" s="5" t="inlineStr">
        <is>
          <t>Directory</t>
        </is>
      </c>
      <c r="F124" s="5" t="inlineStr">
        <is>
          <t>2026-09-16</t>
        </is>
      </c>
      <c r="G124" s="5" t="inlineStr">
        <is>
          <t>address, phone</t>
        </is>
      </c>
      <c r="H124" s="5" t="inlineStr">
        <is>
          <t>Verified (website + Companies House)</t>
        </is>
      </c>
    </row>
    <row r="125">
      <c r="A125" s="10" t="inlineStr">
        <is>
          <t>WY-0030</t>
        </is>
      </c>
      <c r="B125" s="10" t="inlineStr">
        <is>
          <t>TB Cash &amp; Carry (Leeds)</t>
        </is>
      </c>
      <c r="C125" s="10" t="inlineStr">
        <is>
          <t>Leeds</t>
        </is>
      </c>
      <c r="D125" s="10" t="inlineStr">
        <is>
          <t>https://www.dnb.com/business-directory/company-profiles.t_b_cash__carry.91d763aacce69e3c09820f370a739003.html</t>
        </is>
      </c>
      <c r="E125" s="10" t="inlineStr">
        <is>
          <t>Directory</t>
        </is>
      </c>
      <c r="F125" s="10" t="inlineStr">
        <is>
          <t>2026-09-16</t>
        </is>
      </c>
      <c r="G125" s="10" t="inlineStr">
        <is>
          <t>address, phone, email, business classification</t>
        </is>
      </c>
      <c r="H125" s="10" t="inlineStr">
        <is>
          <t>Verified (website + Companies House)</t>
        </is>
      </c>
    </row>
    <row r="126">
      <c r="A126" s="5" t="inlineStr">
        <is>
          <t>UK-000215</t>
        </is>
      </c>
      <c r="B126" s="5" t="inlineStr">
        <is>
          <t>The Dram Shop</t>
        </is>
      </c>
      <c r="C126" s="5" t="inlineStr">
        <is>
          <t>Sheffield</t>
        </is>
      </c>
      <c r="D126" s="5" t="inlineStr">
        <is>
          <t>https://www.yelp.co.uk/biz/dram-shop-sheffield</t>
        </is>
      </c>
      <c r="E126" s="5" t="inlineStr">
        <is>
          <t>Directory</t>
        </is>
      </c>
      <c r="F126" s="5" t="inlineStr">
        <is>
          <t>2026-09-16</t>
        </is>
      </c>
      <c r="G126" s="5" t="inlineStr">
        <is>
          <t>name, address, category</t>
        </is>
      </c>
      <c r="H126" s="5" t="inlineStr">
        <is>
          <t>Requires Verification</t>
        </is>
      </c>
    </row>
    <row r="127">
      <c r="A127" s="10" t="inlineStr">
        <is>
          <t>UK-000215</t>
        </is>
      </c>
      <c r="B127" s="10" t="inlineStr">
        <is>
          <t>The Dram Shop</t>
        </is>
      </c>
      <c r="C127" s="10" t="inlineStr">
        <is>
          <t>Sheffield</t>
        </is>
      </c>
      <c r="D127" s="10" t="inlineStr">
        <is>
          <t>https://find-open.co.uk/sheffield/the-dram-shop-1534489</t>
        </is>
      </c>
      <c r="E127" s="10" t="inlineStr">
        <is>
          <t>Directory</t>
        </is>
      </c>
      <c r="F127" s="10" t="inlineStr">
        <is>
          <t>2026-09-16</t>
        </is>
      </c>
      <c r="G127" s="10" t="inlineStr">
        <is>
          <t>postcode S10 1GA, phone</t>
        </is>
      </c>
      <c r="H127" s="10" t="inlineStr">
        <is>
          <t>Requires Verification</t>
        </is>
      </c>
    </row>
    <row r="128">
      <c r="A128" s="5" t="inlineStr">
        <is>
          <t>WY-0031</t>
        </is>
      </c>
      <c r="B128" s="5" t="inlineStr">
        <is>
          <t>The Vape Centre (Wetherby)</t>
        </is>
      </c>
      <c r="C128" s="5" t="inlineStr">
        <is>
          <t>Wetherby</t>
        </is>
      </c>
      <c r="D128" s="5" t="inlineStr">
        <is>
          <t>https://wetherbytowncouncil.gov.uk/our-businesses/vape-centre/</t>
        </is>
      </c>
      <c r="E128" s="5" t="inlineStr">
        <is>
          <t>Directory</t>
        </is>
      </c>
      <c r="F128" s="5" t="inlineStr">
        <is>
          <t>2026-09-16</t>
        </is>
      </c>
      <c r="G128" s="5" t="inlineStr">
        <is>
          <t>name, address (via search results)</t>
        </is>
      </c>
      <c r="H128" s="5" t="inlineStr">
        <is>
          <t>Requires Verification</t>
        </is>
      </c>
    </row>
    <row r="129">
      <c r="A129" s="10" t="inlineStr">
        <is>
          <t>WY-0031</t>
        </is>
      </c>
      <c r="B129" s="10" t="inlineStr">
        <is>
          <t>The Vape Centre (Wetherby)</t>
        </is>
      </c>
      <c r="C129" s="10" t="inlineStr">
        <is>
          <t>Wetherby</t>
        </is>
      </c>
      <c r="D129" s="10" t="inlineStr">
        <is>
          <t>https://www.wegetyoufound.co.uk/listings/the-vape-centre/wetherby/vaporizer-store</t>
        </is>
      </c>
      <c r="E129" s="10" t="inlineStr">
        <is>
          <t>Directory</t>
        </is>
      </c>
      <c r="F129" s="10" t="inlineStr">
        <is>
          <t>2026-09-16</t>
        </is>
      </c>
      <c r="G129" s="10" t="inlineStr">
        <is>
          <t>address, phone (via search results)</t>
        </is>
      </c>
      <c r="H129" s="10" t="inlineStr">
        <is>
          <t>Requires Verification</t>
        </is>
      </c>
    </row>
    <row r="130">
      <c r="A130" s="5" t="inlineStr">
        <is>
          <t>WY-0031</t>
        </is>
      </c>
      <c r="B130" s="5" t="inlineStr">
        <is>
          <t>The Vape Centre (Wetherby)</t>
        </is>
      </c>
      <c r="C130" s="5" t="inlineStr">
        <is>
          <t>Wetherby</t>
        </is>
      </c>
      <c r="D130" s="5" t="inlineStr">
        <is>
          <t>https://wetherby.cylex-uk.co.uk/company/vape-centre-wetherby-ltd-26120974.html</t>
        </is>
      </c>
      <c r="E130" s="5" t="inlineStr">
        <is>
          <t>Directory</t>
        </is>
      </c>
      <c r="F130" s="5" t="inlineStr">
        <is>
          <t>2026-09-16</t>
        </is>
      </c>
      <c r="G130" s="5" t="inlineStr">
        <is>
          <t>legal company name (via search results)</t>
        </is>
      </c>
      <c r="H130" s="5" t="inlineStr">
        <is>
          <t>Requires Verification</t>
        </is>
      </c>
    </row>
    <row r="131">
      <c r="A131" s="10" t="inlineStr">
        <is>
          <t>WY-0032</t>
        </is>
      </c>
      <c r="B131" s="10" t="inlineStr">
        <is>
          <t>Totally Wicked</t>
        </is>
      </c>
      <c r="C131" s="10" t="inlineStr">
        <is>
          <t>Brighouse</t>
        </is>
      </c>
      <c r="D131" s="10" t="inlineStr">
        <is>
          <t>https://brighouse.cylex-uk.co.uk/vape-shops/</t>
        </is>
      </c>
      <c r="E131" s="10" t="inlineStr">
        <is>
          <t>Directory</t>
        </is>
      </c>
      <c r="F131" s="10" t="inlineStr">
        <is>
          <t>2026-09-16</t>
        </is>
      </c>
      <c r="G131" s="10" t="inlineStr">
        <is>
          <t>address, postcode, phone</t>
        </is>
      </c>
      <c r="H131" s="10" t="inlineStr">
        <is>
          <t>Requires Verification</t>
        </is>
      </c>
    </row>
    <row r="132">
      <c r="A132" s="5" t="inlineStr">
        <is>
          <t>WY-0033</t>
        </is>
      </c>
      <c r="B132" s="5" t="inlineStr">
        <is>
          <t>Totally Wicked</t>
        </is>
      </c>
      <c r="C132" s="5" t="inlineStr">
        <is>
          <t>Halifax</t>
        </is>
      </c>
      <c r="D132" s="5" t="inlineStr">
        <is>
          <t>https://www.totallywicked-eliquid.co.uk/stores/halifax-e-cigs-e-liquid-shop</t>
        </is>
      </c>
      <c r="E132" s="5" t="inlineStr">
        <is>
          <t>Official Website</t>
        </is>
      </c>
      <c r="F132" s="5" t="inlineStr">
        <is>
          <t>2026-09-16</t>
        </is>
      </c>
      <c r="G132" s="5" t="inlineStr">
        <is>
          <t>store existence, stocked brands (via search snippet; fetch blocked)</t>
        </is>
      </c>
      <c r="H132" s="5" t="inlineStr">
        <is>
          <t>Requires Verification</t>
        </is>
      </c>
    </row>
    <row r="133">
      <c r="A133" s="10" t="inlineStr">
        <is>
          <t>WY-0033</t>
        </is>
      </c>
      <c r="B133" s="10" t="inlineStr">
        <is>
          <t>Totally Wicked</t>
        </is>
      </c>
      <c r="C133" s="10" t="inlineStr">
        <is>
          <t>Halifax</t>
        </is>
      </c>
      <c r="D133" s="10" t="inlineStr">
        <is>
          <t>https://www.yell.com/s/tobacconists-halifax.html</t>
        </is>
      </c>
      <c r="E133" s="10" t="inlineStr">
        <is>
          <t>Yell</t>
        </is>
      </c>
      <c r="F133" s="10" t="inlineStr">
        <is>
          <t>2026-09-16</t>
        </is>
      </c>
      <c r="G133" s="10" t="inlineStr">
        <is>
          <t>address, postcode</t>
        </is>
      </c>
      <c r="H133" s="10" t="inlineStr">
        <is>
          <t>Requires Verification</t>
        </is>
      </c>
    </row>
    <row r="134">
      <c r="A134" s="5" t="inlineStr">
        <is>
          <t>WY-0033</t>
        </is>
      </c>
      <c r="B134" s="5" t="inlineStr">
        <is>
          <t>Totally Wicked</t>
        </is>
      </c>
      <c r="C134" s="5" t="inlineStr">
        <is>
          <t>Halifax</t>
        </is>
      </c>
      <c r="D134" s="5" t="inlineStr">
        <is>
          <t>https://directory.birminghampost.co.uk/company/9f1f3f6a595c8b843e37df17c5426f35</t>
        </is>
      </c>
      <c r="E134" s="5" t="inlineStr">
        <is>
          <t>Directory</t>
        </is>
      </c>
      <c r="F134" s="5" t="inlineStr">
        <is>
          <t>2026-09-16</t>
        </is>
      </c>
      <c r="G134" s="5" t="inlineStr">
        <is>
          <t>phone</t>
        </is>
      </c>
      <c r="H134" s="5" t="inlineStr">
        <is>
          <t>Requires Verification</t>
        </is>
      </c>
    </row>
    <row r="135">
      <c r="A135" s="10" t="inlineStr">
        <is>
          <t>UK-000216</t>
        </is>
      </c>
      <c r="B135" s="10" t="inlineStr">
        <is>
          <t>VAPEx Doncaster</t>
        </is>
      </c>
      <c r="C135" s="10" t="inlineStr">
        <is>
          <t>Doncaster</t>
        </is>
      </c>
      <c r="D135" s="10" t="inlineStr">
        <is>
          <t>https://directory.gazettelive.co.uk/company/38099bbaff0399ea2ed5ae56d12efd2e</t>
        </is>
      </c>
      <c r="E135" s="10" t="inlineStr">
        <is>
          <t>Directory</t>
        </is>
      </c>
      <c r="F135" s="10" t="inlineStr">
        <is>
          <t>2026-09-16</t>
        </is>
      </c>
      <c r="G135" s="10" t="inlineStr">
        <is>
          <t>address, postcode DN1 2BY</t>
        </is>
      </c>
      <c r="H135" s="10" t="inlineStr">
        <is>
          <t>Requires Verification</t>
        </is>
      </c>
    </row>
    <row r="136">
      <c r="A136" s="5" t="inlineStr">
        <is>
          <t>UK-000216</t>
        </is>
      </c>
      <c r="B136" s="5" t="inlineStr">
        <is>
          <t>VAPEx Doncaster</t>
        </is>
      </c>
      <c r="C136" s="5" t="inlineStr">
        <is>
          <t>Doncaster</t>
        </is>
      </c>
      <c r="D136" s="5" t="inlineStr">
        <is>
          <t>https://www.thomsonlocal.com/search/smoking-cessation/doncaster/vapex/3267060/01302315051</t>
        </is>
      </c>
      <c r="E136" s="5" t="inlineStr">
        <is>
          <t>Directory</t>
        </is>
      </c>
      <c r="F136" s="5" t="inlineStr">
        <is>
          <t>2026-09-16</t>
        </is>
      </c>
      <c r="G136" s="5" t="inlineStr">
        <is>
          <t>phone 01302 315051</t>
        </is>
      </c>
      <c r="H136" s="5" t="inlineStr">
        <is>
          <t>Requires Verification</t>
        </is>
      </c>
    </row>
    <row r="137">
      <c r="A137" s="10" t="inlineStr">
        <is>
          <t>UK-000217</t>
        </is>
      </c>
      <c r="B137" s="10" t="inlineStr">
        <is>
          <t>Valli Forecourts (Bawtry Road)</t>
        </is>
      </c>
      <c r="C137" s="10" t="inlineStr">
        <is>
          <t>Doncaster</t>
        </is>
      </c>
      <c r="D137" s="10" t="inlineStr">
        <is>
          <t>https://www.mylocalservices.co.uk/24+Hr+Petrol+Stations-Doncaster.html</t>
        </is>
      </c>
      <c r="E137" s="10" t="inlineStr">
        <is>
          <t>Directory</t>
        </is>
      </c>
      <c r="F137" s="10" t="inlineStr">
        <is>
          <t>2026-09-16</t>
        </is>
      </c>
      <c r="G137" s="10" t="inlineStr">
        <is>
          <t>name, street, category</t>
        </is>
      </c>
      <c r="H137" s="10" t="inlineStr">
        <is>
          <t>Requires Verification</t>
        </is>
      </c>
    </row>
    <row r="138">
      <c r="A138" s="5" t="inlineStr">
        <is>
          <t>WY-0034</t>
        </is>
      </c>
      <c r="B138" s="5" t="inlineStr">
        <is>
          <t>BP Gledhow Service Station (Valli Forecourts)</t>
        </is>
      </c>
      <c r="C138" s="5" t="inlineStr">
        <is>
          <t>Leeds</t>
        </is>
      </c>
      <c r="D138" s="5" t="inlineStr">
        <is>
          <t>https://www.petrolprices.com/locations/huddersfield</t>
        </is>
      </c>
      <c r="E138" s="5" t="inlineStr">
        <is>
          <t>Directory</t>
        </is>
      </c>
      <c r="F138" s="5" t="inlineStr">
        <is>
          <t>2026-09-16</t>
        </is>
      </c>
      <c r="G138" s="5" t="inlineStr">
        <is>
          <t>Valli site references in Yorkshire petrol-station listings</t>
        </is>
      </c>
      <c r="H138" s="5" t="inlineStr">
        <is>
          <t>Requires Verification</t>
        </is>
      </c>
    </row>
    <row r="139">
      <c r="A139" s="10" t="inlineStr">
        <is>
          <t>WY-0034</t>
        </is>
      </c>
      <c r="B139" s="10" t="inlineStr">
        <is>
          <t>BP Gledhow Service Station (Valli Forecourts)</t>
        </is>
      </c>
      <c r="C139" s="10" t="inlineStr">
        <is>
          <t>Leeds</t>
        </is>
      </c>
      <c r="D139" s="10" t="inlineStr">
        <is>
          <t>https://uk.linkedin.com/company/valli-forecourts-ltd</t>
        </is>
      </c>
      <c r="E139" s="10" t="inlineStr">
        <is>
          <t>Other</t>
        </is>
      </c>
      <c r="F139" s="10" t="inlineStr">
        <is>
          <t>2026-09-16</t>
        </is>
      </c>
      <c r="G139" s="10" t="inlineStr">
        <is>
          <t>group profile referencing Leeds BP Gledhow Service Station</t>
        </is>
      </c>
      <c r="H139" s="10" t="inlineStr">
        <is>
          <t>Requires Verification</t>
        </is>
      </c>
    </row>
    <row r="140">
      <c r="A140" s="5" t="inlineStr">
        <is>
          <t>WY-0034</t>
        </is>
      </c>
      <c r="B140" s="5" t="inlineStr">
        <is>
          <t>BP Gledhow Service Station (Valli Forecourts)</t>
        </is>
      </c>
      <c r="C140" s="5" t="inlineStr">
        <is>
          <t>Leeds</t>
        </is>
      </c>
      <c r="D140" s="5" t="inlineStr">
        <is>
          <t>https://www.192.com/atoz/business/leeds-ls8/petrol-service-stations/b-p-gledhow-service-station/b2cc5ed266e9de6ac0fa2b011faef822e624c3ac/ml/</t>
        </is>
      </c>
      <c r="E140" s="5" t="inlineStr">
        <is>
          <t>Directory</t>
        </is>
      </c>
      <c r="F140" s="5" t="inlineStr">
        <is>
          <t>2026-09-16</t>
        </is>
      </c>
      <c r="G140" s="5" t="inlineStr">
        <is>
          <t>postcode</t>
        </is>
      </c>
      <c r="H140" s="5" t="inlineStr">
        <is>
          <t>Requires Verification</t>
        </is>
      </c>
    </row>
    <row r="141">
      <c r="A141" s="10" t="inlineStr">
        <is>
          <t>WY-0035</t>
        </is>
      </c>
      <c r="B141" s="10" t="inlineStr">
        <is>
          <t>Valli Forecourts Ltd (Head Office)</t>
        </is>
      </c>
      <c r="C141" s="10" t="inlineStr">
        <is>
          <t>Leeds</t>
        </is>
      </c>
      <c r="D141" s="10" t="inlineStr">
        <is>
          <t>https://uk.linkedin.com/company/valli-forecourts-ltd</t>
        </is>
      </c>
      <c r="E141" s="10" t="inlineStr">
        <is>
          <t>Other</t>
        </is>
      </c>
      <c r="F141" s="10" t="inlineStr">
        <is>
          <t>2026-09-16</t>
        </is>
      </c>
      <c r="G141" s="10" t="inlineStr">
        <is>
          <t>company existence, forecourt operator profile</t>
        </is>
      </c>
      <c r="H141" s="10" t="inlineStr">
        <is>
          <t>Requires Verification</t>
        </is>
      </c>
    </row>
    <row r="142">
      <c r="A142" s="5" t="inlineStr">
        <is>
          <t>WY-0035</t>
        </is>
      </c>
      <c r="B142" s="5" t="inlineStr">
        <is>
          <t>Valli Forecourts Ltd (Head Office)</t>
        </is>
      </c>
      <c r="C142" s="5" t="inlineStr">
        <is>
          <t>Leeds</t>
        </is>
      </c>
      <c r="D142" s="5" t="inlineStr">
        <is>
          <t>https://sweetzone.co.uk/sectors/forecourts-petrol-stations/</t>
        </is>
      </c>
      <c r="E142" s="5" t="inlineStr">
        <is>
          <t>Other</t>
        </is>
      </c>
      <c r="F142" s="5" t="inlineStr">
        <is>
          <t>2026-09-16</t>
        </is>
      </c>
      <c r="G142" s="5" t="inlineStr">
        <is>
          <t>16 sites, Yorkshire-centred footprint</t>
        </is>
      </c>
      <c r="H142" s="5" t="inlineStr">
        <is>
          <t>Requires Verification</t>
        </is>
      </c>
    </row>
    <row r="143">
      <c r="A143" s="10" t="inlineStr">
        <is>
          <t>WY-0035</t>
        </is>
      </c>
      <c r="B143" s="10" t="inlineStr">
        <is>
          <t>Valli Forecourts Ltd (Head Office)</t>
        </is>
      </c>
      <c r="C143" s="10" t="inlineStr">
        <is>
          <t>Leeds</t>
        </is>
      </c>
      <c r="D143" s="10" t="inlineStr">
        <is>
          <t>https://www.yorkshire.com/moortown/transport/petrol-stations/valli-forecourts-ltd-head-office</t>
        </is>
      </c>
      <c r="E143" s="10" t="inlineStr">
        <is>
          <t>Directory</t>
        </is>
      </c>
      <c r="F143" s="10" t="inlineStr">
        <is>
          <t>2026-09-16</t>
        </is>
      </c>
      <c r="G143" s="10" t="inlineStr">
        <is>
          <t>head office location Moortown, Leeds</t>
        </is>
      </c>
      <c r="H143" s="10" t="inlineStr">
        <is>
          <t>Requires Verification</t>
        </is>
      </c>
    </row>
    <row r="144">
      <c r="A144" s="5" t="inlineStr">
        <is>
          <t>WY-0036</t>
        </is>
      </c>
      <c r="B144" s="5" t="inlineStr">
        <is>
          <t>Vaparama (Featherstone)</t>
        </is>
      </c>
      <c r="C144" s="5" t="inlineStr">
        <is>
          <t>Featherstone</t>
        </is>
      </c>
      <c r="D144" s="5" t="inlineStr">
        <is>
          <t>https://pontefract.cylex-uk.co.uk/company/vaparama-26236284.html</t>
        </is>
      </c>
      <c r="E144" s="5" t="inlineStr">
        <is>
          <t>Directory</t>
        </is>
      </c>
      <c r="F144" s="5" t="inlineStr">
        <is>
          <t>2026-09-16</t>
        </is>
      </c>
      <c r="G144" s="5" t="inlineStr">
        <is>
          <t>Featherstone branch address 73-75 Station Lane WF7 5BJ (via search snippet)</t>
        </is>
      </c>
      <c r="H144" s="5" t="inlineStr">
        <is>
          <t>Partially Verified</t>
        </is>
      </c>
    </row>
    <row r="145">
      <c r="A145" s="10" t="inlineStr">
        <is>
          <t>WY-0036</t>
        </is>
      </c>
      <c r="B145" s="10" t="inlineStr">
        <is>
          <t>Vaparama (Featherstone)</t>
        </is>
      </c>
      <c r="C145" s="10" t="inlineStr">
        <is>
          <t>Featherstone</t>
        </is>
      </c>
      <c r="D145" s="10" t="inlineStr">
        <is>
          <t>https://find-and-update.company-information.service.gov.uk/company/09736212</t>
        </is>
      </c>
      <c r="E145" s="10" t="inlineStr">
        <is>
          <t>Companies House</t>
        </is>
      </c>
      <c r="F145" s="10" t="inlineStr">
        <is>
          <t>2026-09-16</t>
        </is>
      </c>
      <c r="G145" s="10" t="inlineStr">
        <is>
          <t>parent company details (via search snippet)</t>
        </is>
      </c>
      <c r="H145" s="10" t="inlineStr">
        <is>
          <t>Partially Verified</t>
        </is>
      </c>
    </row>
    <row r="146">
      <c r="A146" s="5" t="inlineStr">
        <is>
          <t>WY-0036</t>
        </is>
      </c>
      <c r="B146" s="5" t="inlineStr">
        <is>
          <t>Vaparama (Featherstone)</t>
        </is>
      </c>
      <c r="C146" s="5" t="inlineStr">
        <is>
          <t>Featherstone</t>
        </is>
      </c>
      <c r="D146" s="5" t="inlineStr">
        <is>
          <t>https://www.vaparama.co.uk/contact/</t>
        </is>
      </c>
      <c r="E146" s="5" t="inlineStr">
        <is>
          <t>Official Website</t>
        </is>
      </c>
      <c r="F146" s="5" t="inlineStr">
        <is>
          <t>2026-09-16</t>
        </is>
      </c>
      <c r="G146" s="5" t="inlineStr">
        <is>
          <t>email (brand), social (brand facebook)</t>
        </is>
      </c>
      <c r="H146" s="5" t="inlineStr">
        <is>
          <t>Partially Verified</t>
        </is>
      </c>
    </row>
    <row r="147">
      <c r="A147" s="10" t="inlineStr">
        <is>
          <t>WY-0037</t>
        </is>
      </c>
      <c r="B147" s="10" t="inlineStr">
        <is>
          <t>Vaparama (Pontefract)</t>
        </is>
      </c>
      <c r="C147" s="10" t="inlineStr">
        <is>
          <t>Pontefract</t>
        </is>
      </c>
      <c r="D147" s="10" t="inlineStr">
        <is>
          <t>https://pontefract.cylex-uk.co.uk/company/vaparama-26236284.html</t>
        </is>
      </c>
      <c r="E147" s="10" t="inlineStr">
        <is>
          <t>Directory</t>
        </is>
      </c>
      <c r="F147" s="10" t="inlineStr">
        <is>
          <t>2026-09-16</t>
        </is>
      </c>
      <c r="G147" s="10" t="inlineStr">
        <is>
          <t>address, phone, email (via search snippet)</t>
        </is>
      </c>
      <c r="H147" s="10" t="inlineStr">
        <is>
          <t>Partially Verified</t>
        </is>
      </c>
    </row>
    <row r="148">
      <c r="A148" s="5" t="inlineStr">
        <is>
          <t>WY-0037</t>
        </is>
      </c>
      <c r="B148" s="5" t="inlineStr">
        <is>
          <t>Vaparama (Pontefract)</t>
        </is>
      </c>
      <c r="C148" s="5" t="inlineStr">
        <is>
          <t>Pontefract</t>
        </is>
      </c>
      <c r="D148" s="5" t="inlineStr">
        <is>
          <t>https://find-open.co.uk/pontefract/vaparama-1317485</t>
        </is>
      </c>
      <c r="E148" s="5" t="inlineStr">
        <is>
          <t>Directory</t>
        </is>
      </c>
      <c r="F148" s="5" t="inlineStr">
        <is>
          <t>2026-09-16</t>
        </is>
      </c>
      <c r="G148" s="5" t="inlineStr">
        <is>
          <t>address 13 Market Place, postcode WF8 1AG</t>
        </is>
      </c>
      <c r="H148" s="5" t="inlineStr">
        <is>
          <t>Partially Verified</t>
        </is>
      </c>
    </row>
    <row r="149">
      <c r="A149" s="10" t="inlineStr">
        <is>
          <t>WY-0037</t>
        </is>
      </c>
      <c r="B149" s="10" t="inlineStr">
        <is>
          <t>Vaparama (Pontefract)</t>
        </is>
      </c>
      <c r="C149" s="10" t="inlineStr">
        <is>
          <t>Pontefract</t>
        </is>
      </c>
      <c r="D149" s="10" t="inlineStr">
        <is>
          <t>https://vapemaps.co/england/west-yorkshire/pontefract/vaparama-limited/10060</t>
        </is>
      </c>
      <c r="E149" s="10" t="inlineStr">
        <is>
          <t>Directory</t>
        </is>
      </c>
      <c r="F149" s="10" t="inlineStr">
        <is>
          <t>2026-09-16</t>
        </is>
      </c>
      <c r="G149" s="10" t="inlineStr">
        <is>
          <t>multi-store list (Wakefield, Leeds, Doncaster, Featherstone etc.)</t>
        </is>
      </c>
      <c r="H149" s="10" t="inlineStr">
        <is>
          <t>Partially Verified</t>
        </is>
      </c>
    </row>
    <row r="150">
      <c r="A150" s="5" t="inlineStr">
        <is>
          <t>WY-0037</t>
        </is>
      </c>
      <c r="B150" s="5" t="inlineStr">
        <is>
          <t>Vaparama (Pontefract)</t>
        </is>
      </c>
      <c r="C150" s="5" t="inlineStr">
        <is>
          <t>Pontefract</t>
        </is>
      </c>
      <c r="D150" s="5" t="inlineStr">
        <is>
          <t>https://find-and-update.company-information.service.gov.uk/company/09736212</t>
        </is>
      </c>
      <c r="E150" s="5" t="inlineStr">
        <is>
          <t>Companies House</t>
        </is>
      </c>
      <c r="F150" s="5" t="inlineStr">
        <is>
          <t>2026-09-16</t>
        </is>
      </c>
      <c r="G150" s="5" t="inlineStr">
        <is>
          <t>company number, status, incorporation date, registered office (via search snippet)</t>
        </is>
      </c>
      <c r="H150" s="5" t="inlineStr">
        <is>
          <t>Partially Verified</t>
        </is>
      </c>
    </row>
    <row r="151">
      <c r="A151" s="10" t="inlineStr">
        <is>
          <t>WY-0038</t>
        </is>
      </c>
      <c r="B151" s="10" t="inlineStr">
        <is>
          <t>Vaparama (Wakefield)</t>
        </is>
      </c>
      <c r="C151" s="10" t="inlineStr">
        <is>
          <t>Wakefield</t>
        </is>
      </c>
      <c r="D151" s="10" t="inlineStr">
        <is>
          <t>https://vapemaps.co/england/west-yorkshire/pontefract/vaparama-limited/10060</t>
        </is>
      </c>
      <c r="E151" s="10" t="inlineStr">
        <is>
          <t>Directory</t>
        </is>
      </c>
      <c r="F151" s="10" t="inlineStr">
        <is>
          <t>2026-09-16</t>
        </is>
      </c>
      <c r="G151" s="10" t="inlineStr">
        <is>
          <t>branch address Britannia House, 31 Warrengate, Wakefield</t>
        </is>
      </c>
      <c r="H151" s="10" t="inlineStr">
        <is>
          <t>Partially Verified</t>
        </is>
      </c>
    </row>
    <row r="152">
      <c r="A152" s="5" t="inlineStr">
        <is>
          <t>WY-0038</t>
        </is>
      </c>
      <c r="B152" s="5" t="inlineStr">
        <is>
          <t>Vaparama (Wakefield)</t>
        </is>
      </c>
      <c r="C152" s="5" t="inlineStr">
        <is>
          <t>Wakefield</t>
        </is>
      </c>
      <c r="D152" s="5" t="inlineStr">
        <is>
          <t>https://find-and-update.company-information.service.gov.uk/company/09736212</t>
        </is>
      </c>
      <c r="E152" s="5" t="inlineStr">
        <is>
          <t>Companies House</t>
        </is>
      </c>
      <c r="F152" s="5" t="inlineStr">
        <is>
          <t>2026-09-16</t>
        </is>
      </c>
      <c r="G152" s="5" t="inlineStr">
        <is>
          <t>parent company details (via search snippet)</t>
        </is>
      </c>
      <c r="H152" s="5" t="inlineStr">
        <is>
          <t>Partially Verified</t>
        </is>
      </c>
    </row>
    <row r="153">
      <c r="A153" s="10" t="inlineStr">
        <is>
          <t>WY-0038</t>
        </is>
      </c>
      <c r="B153" s="10" t="inlineStr">
        <is>
          <t>Vaparama (Wakefield)</t>
        </is>
      </c>
      <c r="C153" s="10" t="inlineStr">
        <is>
          <t>Wakefield</t>
        </is>
      </c>
      <c r="D153" s="10" t="inlineStr">
        <is>
          <t>https://www.vaparama.co.uk/contact/</t>
        </is>
      </c>
      <c r="E153" s="10" t="inlineStr">
        <is>
          <t>Official Website</t>
        </is>
      </c>
      <c r="F153" s="10" t="inlineStr">
        <is>
          <t>2026-09-16</t>
        </is>
      </c>
      <c r="G153" s="10" t="inlineStr">
        <is>
          <t>email (brand), social (brand facebook)</t>
        </is>
      </c>
      <c r="H153" s="10" t="inlineStr">
        <is>
          <t>Partially Verified</t>
        </is>
      </c>
    </row>
    <row r="154">
      <c r="A154" s="5" t="inlineStr">
        <is>
          <t>UK-000218</t>
        </is>
      </c>
      <c r="B154" s="5" t="inlineStr">
        <is>
          <t>Vape Safe Whitby</t>
        </is>
      </c>
      <c r="C154" s="5" t="inlineStr">
        <is>
          <t>Whitby</t>
        </is>
      </c>
      <c r="D154" s="5" t="inlineStr">
        <is>
          <t>https://vapeshop-nearme.com/listing/vape-safe-whitby/</t>
        </is>
      </c>
      <c r="E154" s="5" t="inlineStr">
        <is>
          <t>Directory</t>
        </is>
      </c>
      <c r="F154" s="5" t="inlineStr">
        <is>
          <t>2026-09-16</t>
        </is>
      </c>
      <c r="G154" s="5" t="inlineStr">
        <is>
          <t>address, postcode, phone</t>
        </is>
      </c>
      <c r="H154" s="5" t="inlineStr">
        <is>
          <t>Requires Verification</t>
        </is>
      </c>
    </row>
    <row r="155">
      <c r="A155" s="10" t="inlineStr">
        <is>
          <t>UK-000218</t>
        </is>
      </c>
      <c r="B155" s="10" t="inlineStr">
        <is>
          <t>Vape Safe Whitby</t>
        </is>
      </c>
      <c r="C155" s="10" t="inlineStr">
        <is>
          <t>Whitby</t>
        </is>
      </c>
      <c r="D155" s="10" t="inlineStr">
        <is>
          <t>https://www.vapesafe.net/</t>
        </is>
      </c>
      <c r="E155" s="10" t="inlineStr">
        <is>
          <t>Official Website</t>
        </is>
      </c>
      <c r="F155" s="10" t="inlineStr">
        <is>
          <t>2026-09-16</t>
        </is>
      </c>
      <c r="G155" s="10" t="inlineStr">
        <is>
          <t>brand, York + Whitby locations</t>
        </is>
      </c>
      <c r="H155" s="10" t="inlineStr">
        <is>
          <t>Requires Verification</t>
        </is>
      </c>
    </row>
    <row r="156">
      <c r="A156" s="5" t="inlineStr">
        <is>
          <t>UK-000219</t>
        </is>
      </c>
      <c r="B156" s="5" t="inlineStr">
        <is>
          <t>Vape Safe York</t>
        </is>
      </c>
      <c r="C156" s="5" t="inlineStr">
        <is>
          <t>York</t>
        </is>
      </c>
      <c r="D156" s="5" t="inlineStr">
        <is>
          <t>https://ecigdirectory.co.uk/vape-shop/listing/vape-safe-york</t>
        </is>
      </c>
      <c r="E156" s="5" t="inlineStr">
        <is>
          <t>Directory</t>
        </is>
      </c>
      <c r="F156" s="5" t="inlineStr">
        <is>
          <t>2026-09-16</t>
        </is>
      </c>
      <c r="G156" s="5" t="inlineStr">
        <is>
          <t>name, address, postcode, phone</t>
        </is>
      </c>
      <c r="H156" s="5" t="inlineStr">
        <is>
          <t>Requires Verification</t>
        </is>
      </c>
    </row>
    <row r="157">
      <c r="A157" s="10" t="inlineStr">
        <is>
          <t>UK-000219</t>
        </is>
      </c>
      <c r="B157" s="10" t="inlineStr">
        <is>
          <t>Vape Safe York</t>
        </is>
      </c>
      <c r="C157" s="10" t="inlineStr">
        <is>
          <t>York</t>
        </is>
      </c>
      <c r="D157" s="10" t="inlineStr">
        <is>
          <t>https://www.vapesafe.net/</t>
        </is>
      </c>
      <c r="E157" s="10" t="inlineStr">
        <is>
          <t>Official Website</t>
        </is>
      </c>
      <c r="F157" s="10" t="inlineStr">
        <is>
          <t>2026-09-16</t>
        </is>
      </c>
      <c r="G157" s="10" t="inlineStr">
        <is>
          <t>brand, multi-site</t>
        </is>
      </c>
      <c r="H157" s="10" t="inlineStr">
        <is>
          <t>Requires Verification</t>
        </is>
      </c>
    </row>
    <row r="158">
      <c r="A158" s="5" t="inlineStr">
        <is>
          <t>UK-000220</t>
        </is>
      </c>
      <c r="B158" s="5" t="inlineStr">
        <is>
          <t>The Vape Shack Beverley</t>
        </is>
      </c>
      <c r="C158" s="5" t="inlineStr">
        <is>
          <t>Beverley</t>
        </is>
      </c>
      <c r="D158" s="5" t="inlineStr">
        <is>
          <t>https://www.vape-shack.co.uk/</t>
        </is>
      </c>
      <c r="E158" s="5" t="inlineStr">
        <is>
          <t>Official Website</t>
        </is>
      </c>
      <c r="F158" s="5" t="inlineStr">
        <is>
          <t>2026-09-16</t>
        </is>
      </c>
      <c r="G158" s="5" t="inlineStr">
        <is>
          <t>brand, website, product range (via search results)</t>
        </is>
      </c>
      <c r="H158" s="5" t="inlineStr">
        <is>
          <t>Partially Verified</t>
        </is>
      </c>
    </row>
    <row r="159">
      <c r="A159" s="10" t="inlineStr">
        <is>
          <t>UK-000220</t>
        </is>
      </c>
      <c r="B159" s="10" t="inlineStr">
        <is>
          <t>The Vape Shack Beverley</t>
        </is>
      </c>
      <c r="C159" s="10" t="inlineStr">
        <is>
          <t>Beverley</t>
        </is>
      </c>
      <c r="D159" s="10" t="inlineStr">
        <is>
          <t>https://find-open.co.uk/beverley/the-vape-shack-beverley-3114235</t>
        </is>
      </c>
      <c r="E159" s="10" t="inlineStr">
        <is>
          <t>Directory</t>
        </is>
      </c>
      <c r="F159" s="10" t="inlineStr">
        <is>
          <t>2026-09-16</t>
        </is>
      </c>
      <c r="G159" s="10" t="inlineStr">
        <is>
          <t>7 Sow Hill Road address, postcode, phone (via search results)</t>
        </is>
      </c>
      <c r="H159" s="10" t="inlineStr">
        <is>
          <t>Partially Verified</t>
        </is>
      </c>
    </row>
    <row r="160">
      <c r="A160" s="5" t="inlineStr">
        <is>
          <t>UK-000221</t>
        </is>
      </c>
      <c r="B160" s="5" t="inlineStr">
        <is>
          <t>Vape Shack Immingham</t>
        </is>
      </c>
      <c r="C160" s="5" t="inlineStr">
        <is>
          <t>Immingham</t>
        </is>
      </c>
      <c r="D160" s="5" t="inlineStr">
        <is>
          <t>https://www.thomsonlocal.com/search/smoking-cessation/brigg-south-humberside/vape-shack-immingham/3239866/01469577493</t>
        </is>
      </c>
      <c r="E160" s="5" t="inlineStr">
        <is>
          <t>Directory</t>
        </is>
      </c>
      <c r="F160" s="5" t="inlineStr">
        <is>
          <t>2026-09-16</t>
        </is>
      </c>
      <c r="G160" s="5" t="inlineStr">
        <is>
          <t>name, 70 Pelham Road address, phone (via search results)</t>
        </is>
      </c>
      <c r="H160" s="5" t="inlineStr">
        <is>
          <t>Requires Verification</t>
        </is>
      </c>
    </row>
    <row r="161">
      <c r="A161" s="10" t="inlineStr">
        <is>
          <t>UK-000221</t>
        </is>
      </c>
      <c r="B161" s="10" t="inlineStr">
        <is>
          <t>Vape Shack Immingham</t>
        </is>
      </c>
      <c r="C161" s="10" t="inlineStr">
        <is>
          <t>Immingham</t>
        </is>
      </c>
      <c r="D161" s="10" t="inlineStr">
        <is>
          <t>https://www.facebook.com/vapeshackimmingham/</t>
        </is>
      </c>
      <c r="E161" s="10" t="inlineStr">
        <is>
          <t>Facebook</t>
        </is>
      </c>
      <c r="F161" s="10" t="inlineStr">
        <is>
          <t>2026-09-16</t>
        </is>
      </c>
      <c r="G161" s="10" t="inlineStr">
        <is>
          <t>name, product range</t>
        </is>
      </c>
      <c r="H161" s="10" t="inlineStr">
        <is>
          <t>Requires Verification</t>
        </is>
      </c>
    </row>
    <row r="162">
      <c r="A162" s="5" t="inlineStr">
        <is>
          <t>UK-000222</t>
        </is>
      </c>
      <c r="B162" s="5" t="inlineStr">
        <is>
          <t>Vape Shop Guy Boroughbridge</t>
        </is>
      </c>
      <c r="C162" s="5" t="inlineStr">
        <is>
          <t>Boroughbridge</t>
        </is>
      </c>
      <c r="D162" s="5" t="inlineStr">
        <is>
          <t>https://vapeshopguy.co.uk/locations</t>
        </is>
      </c>
      <c r="E162" s="5" t="inlineStr">
        <is>
          <t>Official Website</t>
        </is>
      </c>
      <c r="F162" s="5" t="inlineStr">
        <is>
          <t>2026-09-16</t>
        </is>
      </c>
      <c r="G162" s="5" t="inlineStr">
        <is>
          <t>address, phone (search snippet)</t>
        </is>
      </c>
      <c r="H162" s="5" t="inlineStr">
        <is>
          <t>Requires Verification</t>
        </is>
      </c>
    </row>
    <row r="163">
      <c r="A163" s="10" t="inlineStr">
        <is>
          <t>UK-000223</t>
        </is>
      </c>
      <c r="B163" s="10" t="inlineStr">
        <is>
          <t>Vape Shop Guy Ripon</t>
        </is>
      </c>
      <c r="C163" s="10" t="inlineStr">
        <is>
          <t>Ripon</t>
        </is>
      </c>
      <c r="D163" s="10" t="inlineStr">
        <is>
          <t>https://vapeshopguy.co.uk/locations</t>
        </is>
      </c>
      <c r="E163" s="10" t="inlineStr">
        <is>
          <t>Official Website</t>
        </is>
      </c>
      <c r="F163" s="10" t="inlineStr">
        <is>
          <t>2026-09-16</t>
        </is>
      </c>
      <c r="G163" s="10" t="inlineStr">
        <is>
          <t>address (search snippet)</t>
        </is>
      </c>
      <c r="H163" s="10" t="inlineStr">
        <is>
          <t>Requires Verification</t>
        </is>
      </c>
    </row>
    <row r="164">
      <c r="A164" s="5" t="inlineStr">
        <is>
          <t>UK-000223</t>
        </is>
      </c>
      <c r="B164" s="5" t="inlineStr">
        <is>
          <t>Vape Shop Guy Ripon</t>
        </is>
      </c>
      <c r="C164" s="5" t="inlineStr">
        <is>
          <t>Ripon</t>
        </is>
      </c>
      <c r="D164" s="5" t="inlineStr">
        <is>
          <t>https://find-and-update.company-information.service.gov.uk/company/16398053</t>
        </is>
      </c>
      <c r="E164" s="5" t="inlineStr">
        <is>
          <t>Companies House</t>
        </is>
      </c>
      <c r="F164" s="5" t="inlineStr">
        <is>
          <t>2026-09-16</t>
        </is>
      </c>
      <c r="G164" s="5" t="inlineStr">
        <is>
          <t>registered company name, company number</t>
        </is>
      </c>
      <c r="H164" s="5" t="inlineStr">
        <is>
          <t>Requires Verification</t>
        </is>
      </c>
    </row>
    <row r="165">
      <c r="A165" s="10" t="inlineStr">
        <is>
          <t>UK-000224</t>
        </is>
      </c>
      <c r="B165" s="10" t="inlineStr">
        <is>
          <t>Vape Shop Guy Thirsk</t>
        </is>
      </c>
      <c r="C165" s="10" t="inlineStr">
        <is>
          <t>Thirsk</t>
        </is>
      </c>
      <c r="D165" s="10" t="inlineStr">
        <is>
          <t>https://vapeshopguy.co.uk/locations</t>
        </is>
      </c>
      <c r="E165" s="10" t="inlineStr">
        <is>
          <t>Official Website</t>
        </is>
      </c>
      <c r="F165" s="10" t="inlineStr">
        <is>
          <t>2026-09-16</t>
        </is>
      </c>
      <c r="G165" s="10" t="inlineStr">
        <is>
          <t>address (search snippet)</t>
        </is>
      </c>
      <c r="H165" s="10" t="inlineStr">
        <is>
          <t>Requires Verification</t>
        </is>
      </c>
    </row>
    <row r="166">
      <c r="A166" s="5" t="inlineStr">
        <is>
          <t>UK-000224</t>
        </is>
      </c>
      <c r="B166" s="5" t="inlineStr">
        <is>
          <t>Vape Shop Guy Thirsk</t>
        </is>
      </c>
      <c r="C166" s="5" t="inlineStr">
        <is>
          <t>Thirsk</t>
        </is>
      </c>
      <c r="D166" s="5" t="inlineStr">
        <is>
          <t>https://find-and-update.company-information.service.gov.uk/company/15869863</t>
        </is>
      </c>
      <c r="E166" s="5" t="inlineStr">
        <is>
          <t>Companies House</t>
        </is>
      </c>
      <c r="F166" s="5" t="inlineStr">
        <is>
          <t>2026-09-16</t>
        </is>
      </c>
      <c r="G166" s="5" t="inlineStr">
        <is>
          <t>registered company name, company number</t>
        </is>
      </c>
      <c r="H166" s="5" t="inlineStr">
        <is>
          <t>Requires Verification</t>
        </is>
      </c>
    </row>
    <row r="167">
      <c r="A167" s="10" t="inlineStr">
        <is>
          <t>UK-000225</t>
        </is>
      </c>
      <c r="B167" s="10" t="inlineStr">
        <is>
          <t>Vapour Worx Knaresborough</t>
        </is>
      </c>
      <c r="C167" s="10" t="inlineStr">
        <is>
          <t>Knaresborough</t>
        </is>
      </c>
      <c r="D167" s="10" t="inlineStr">
        <is>
          <t>https://directory.crewechronicle.co.uk/company/1223189121957890</t>
        </is>
      </c>
      <c r="E167" s="10" t="inlineStr">
        <is>
          <t>Directory</t>
        </is>
      </c>
      <c r="F167" s="10" t="inlineStr">
        <is>
          <t>2026-09-16</t>
        </is>
      </c>
      <c r="G167" s="10" t="inlineStr">
        <is>
          <t>address, postcode</t>
        </is>
      </c>
      <c r="H167" s="10" t="inlineStr">
        <is>
          <t>Requires Verification</t>
        </is>
      </c>
    </row>
    <row r="168">
      <c r="A168" s="5" t="inlineStr">
        <is>
          <t>UK-000225</t>
        </is>
      </c>
      <c r="B168" s="5" t="inlineStr">
        <is>
          <t>Vapour Worx Knaresborough</t>
        </is>
      </c>
      <c r="C168" s="5" t="inlineStr">
        <is>
          <t>Knaresborough</t>
        </is>
      </c>
      <c r="D168" s="5" t="inlineStr">
        <is>
          <t>https://vymaps.com/GB/Vapour-Worx-Knaresborough-318766375170972/</t>
        </is>
      </c>
      <c r="E168" s="5" t="inlineStr">
        <is>
          <t>Directory</t>
        </is>
      </c>
      <c r="F168" s="5" t="inlineStr">
        <is>
          <t>2026-09-16</t>
        </is>
      </c>
      <c r="G168" s="5" t="inlineStr">
        <is>
          <t>phone</t>
        </is>
      </c>
      <c r="H168" s="5" t="inlineStr">
        <is>
          <t>Requires Verification</t>
        </is>
      </c>
    </row>
    <row r="169">
      <c r="A169" s="10" t="inlineStr">
        <is>
          <t>UK-000225</t>
        </is>
      </c>
      <c r="B169" s="10" t="inlineStr">
        <is>
          <t>Vapour Worx Knaresborough</t>
        </is>
      </c>
      <c r="C169" s="10" t="inlineStr">
        <is>
          <t>Knaresborough</t>
        </is>
      </c>
      <c r="D169" s="10" t="inlineStr">
        <is>
          <t>https://totallylocallyknaresborough.org/vapour-worx-vape-shop-guy/</t>
        </is>
      </c>
      <c r="E169" s="10" t="inlineStr">
        <is>
          <t>Directory</t>
        </is>
      </c>
      <c r="F169" s="10" t="inlineStr">
        <is>
          <t>2026-09-16</t>
        </is>
      </c>
      <c r="G169" s="10" t="inlineStr">
        <is>
          <t>Vape Shop Guy group affiliation</t>
        </is>
      </c>
      <c r="H169" s="10" t="inlineStr">
        <is>
          <t>Requires Verification</t>
        </is>
      </c>
    </row>
    <row r="170">
      <c r="A170" s="5" t="inlineStr">
        <is>
          <t>WY-0039</t>
        </is>
      </c>
      <c r="B170" s="5" t="inlineStr">
        <is>
          <t>WOW Vape (Castleford)</t>
        </is>
      </c>
      <c r="C170" s="5" t="inlineStr">
        <is>
          <t>Castleford</t>
        </is>
      </c>
      <c r="D170" s="5" t="inlineStr">
        <is>
          <t>https://www.yelp.com/biz/wow-vape-castleford</t>
        </is>
      </c>
      <c r="E170" s="5" t="inlineStr">
        <is>
          <t>Directory</t>
        </is>
      </c>
      <c r="F170" s="5" t="inlineStr">
        <is>
          <t>2026-09-16</t>
        </is>
      </c>
      <c r="G170" s="5" t="inlineStr">
        <is>
          <t>address 45 Carlton Street, phone, hours</t>
        </is>
      </c>
      <c r="H170" s="5" t="inlineStr">
        <is>
          <t>Requires Verification</t>
        </is>
      </c>
    </row>
    <row r="171">
      <c r="A171" s="10" t="inlineStr">
        <is>
          <t>WY-0039</t>
        </is>
      </c>
      <c r="B171" s="10" t="inlineStr">
        <is>
          <t>WOW Vape (Castleford)</t>
        </is>
      </c>
      <c r="C171" s="10" t="inlineStr">
        <is>
          <t>Castleford</t>
        </is>
      </c>
      <c r="D171" s="10" t="inlineStr">
        <is>
          <t>https://tobaccoshops.co.uk/04574728/WOW_Castleford_Vape_Shop</t>
        </is>
      </c>
      <c r="E171" s="10" t="inlineStr">
        <is>
          <t>Directory</t>
        </is>
      </c>
      <c r="F171" s="10" t="inlineStr">
        <is>
          <t>2026-09-16</t>
        </is>
      </c>
      <c r="G171" s="10" t="inlineStr">
        <is>
          <t>listing cross-check</t>
        </is>
      </c>
      <c r="H171" s="10" t="inlineStr">
        <is>
          <t>Requires Verification</t>
        </is>
      </c>
    </row>
    <row r="172">
      <c r="A172" s="5" t="inlineStr">
        <is>
          <t>WY-0039</t>
        </is>
      </c>
      <c r="B172" s="5" t="inlineStr">
        <is>
          <t>WOW Vape (Castleford)</t>
        </is>
      </c>
      <c r="C172" s="5" t="inlineStr">
        <is>
          <t>Castleford</t>
        </is>
      </c>
      <c r="D172" s="5" t="inlineStr">
        <is>
          <t>https://www.facebook.com/wowvapecas/</t>
        </is>
      </c>
      <c r="E172" s="5" t="inlineStr">
        <is>
          <t>Facebook</t>
        </is>
      </c>
      <c r="F172" s="5" t="inlineStr">
        <is>
          <t>2026-09-16</t>
        </is>
      </c>
      <c r="G172" s="5" t="inlineStr">
        <is>
          <t>trading status, opening hours</t>
        </is>
      </c>
      <c r="H172" s="5" t="inlineStr">
        <is>
          <t>Requires Verification</t>
        </is>
      </c>
    </row>
    <row r="173">
      <c r="A173" s="10" t="inlineStr">
        <is>
          <t>WY-0040</t>
        </is>
      </c>
      <c r="B173" s="10" t="inlineStr">
        <is>
          <t>WOW Vape (Wakefield)</t>
        </is>
      </c>
      <c r="C173" s="10" t="inlineStr">
        <is>
          <t>Wakefield</t>
        </is>
      </c>
      <c r="D173" s="10" t="inlineStr">
        <is>
          <t>https://www.instagram.com/wowvapewakefield/</t>
        </is>
      </c>
      <c r="E173" s="10" t="inlineStr">
        <is>
          <t>Instagram</t>
        </is>
      </c>
      <c r="F173" s="10" t="inlineStr">
        <is>
          <t>2026-09-16</t>
        </is>
      </c>
      <c r="G173" s="10" t="inlineStr">
        <is>
          <t>existence, branding</t>
        </is>
      </c>
      <c r="H173" s="10" t="inlineStr">
        <is>
          <t>Requires Verification</t>
        </is>
      </c>
    </row>
    <row r="174">
      <c r="A174" s="5" t="inlineStr">
        <is>
          <t>WY-0040</t>
        </is>
      </c>
      <c r="B174" s="5" t="inlineStr">
        <is>
          <t>WOW Vape (Wakefield)</t>
        </is>
      </c>
      <c r="C174" s="5" t="inlineStr">
        <is>
          <t>Wakefield</t>
        </is>
      </c>
      <c r="D174" s="5" t="inlineStr">
        <is>
          <t>https://vapeshops.puffingbird.com/yorkshire-and-the-humber/wakefield/wow-vape-wakefield</t>
        </is>
      </c>
      <c r="E174" s="5" t="inlineStr">
        <is>
          <t>Directory</t>
        </is>
      </c>
      <c r="F174" s="5" t="inlineStr">
        <is>
          <t>2026-09-16</t>
        </is>
      </c>
      <c r="G174" s="5" t="inlineStr">
        <is>
          <t>listing as Wakefield vape shop</t>
        </is>
      </c>
      <c r="H174" s="5" t="inlineStr">
        <is>
          <t>Requires Verification</t>
        </is>
      </c>
    </row>
    <row r="175">
      <c r="A175" s="10" t="inlineStr">
        <is>
          <t>WY-0041</t>
        </is>
      </c>
      <c r="B175" s="10" t="inlineStr">
        <is>
          <t>We Are Vapes</t>
        </is>
      </c>
      <c r="C175" s="10" t="inlineStr">
        <is>
          <t>Bradford</t>
        </is>
      </c>
      <c r="D175" s="10" t="inlineStr">
        <is>
          <t>https://www.yelp.co.uk/biz/we-are-vapes-bradford-3</t>
        </is>
      </c>
      <c r="E175" s="10" t="inlineStr">
        <is>
          <t>Directory</t>
        </is>
      </c>
      <c r="F175" s="10" t="inlineStr">
        <is>
          <t>2026-09-16</t>
        </is>
      </c>
      <c r="G175" s="10" t="inlineStr">
        <is>
          <t>branch address 287 Tong Street, Bradford (search snippet)</t>
        </is>
      </c>
      <c r="H175" s="10" t="inlineStr">
        <is>
          <t>Requires Verification</t>
        </is>
      </c>
    </row>
    <row r="176">
      <c r="A176" s="5" t="inlineStr">
        <is>
          <t>WY-0041</t>
        </is>
      </c>
      <c r="B176" s="5" t="inlineStr">
        <is>
          <t>We Are Vapes</t>
        </is>
      </c>
      <c r="C176" s="5" t="inlineStr">
        <is>
          <t>Bradford</t>
        </is>
      </c>
      <c r="D176" s="5" t="inlineStr">
        <is>
          <t>https://www.wearevapes.com/</t>
        </is>
      </c>
      <c r="E176" s="5" t="inlineStr">
        <is>
          <t>Official Website</t>
        </is>
      </c>
      <c r="F176" s="5" t="inlineStr">
        <is>
          <t>2026-09-16</t>
        </is>
      </c>
      <c r="G176" s="5" t="inlineStr">
        <is>
          <t>brand/website existence confirmed via search results (fetch blocked)</t>
        </is>
      </c>
      <c r="H176" s="5" t="inlineStr">
        <is>
          <t>Requires Verification</t>
        </is>
      </c>
    </row>
    <row r="177">
      <c r="A177" s="10" t="inlineStr">
        <is>
          <t>WY-0042</t>
        </is>
      </c>
      <c r="B177" s="10" t="inlineStr">
        <is>
          <t>We Are Vapes</t>
        </is>
      </c>
      <c r="C177" s="10" t="inlineStr">
        <is>
          <t>Bradford</t>
        </is>
      </c>
      <c r="D177" s="10" t="inlineStr">
        <is>
          <t>https://www.yelp.com/biz/we-are-vapes-bradford-2</t>
        </is>
      </c>
      <c r="E177" s="10" t="inlineStr">
        <is>
          <t>Directory</t>
        </is>
      </c>
      <c r="F177" s="10" t="inlineStr">
        <is>
          <t>2026-09-16</t>
        </is>
      </c>
      <c r="G177" s="10" t="inlineStr">
        <is>
          <t>branch address 220 High Street, Wibsey; phone (search snippet)</t>
        </is>
      </c>
      <c r="H177" s="10" t="inlineStr">
        <is>
          <t>Requires Verification</t>
        </is>
      </c>
    </row>
    <row r="178">
      <c r="A178" s="5" t="inlineStr">
        <is>
          <t>WY-0042</t>
        </is>
      </c>
      <c r="B178" s="5" t="inlineStr">
        <is>
          <t>We Are Vapes</t>
        </is>
      </c>
      <c r="C178" s="5" t="inlineStr">
        <is>
          <t>Bradford</t>
        </is>
      </c>
      <c r="D178" s="5" t="inlineStr">
        <is>
          <t>https://www.wearevapes.com/</t>
        </is>
      </c>
      <c r="E178" s="5" t="inlineStr">
        <is>
          <t>Official Website</t>
        </is>
      </c>
      <c r="F178" s="5" t="inlineStr">
        <is>
          <t>2026-09-16</t>
        </is>
      </c>
      <c r="G178" s="5" t="inlineStr">
        <is>
          <t>brand/website existence confirmed via search results (fetch blocked)</t>
        </is>
      </c>
      <c r="H178" s="5" t="inlineStr">
        <is>
          <t>Requires Verification</t>
        </is>
      </c>
    </row>
    <row r="179">
      <c r="A179" s="10" t="inlineStr">
        <is>
          <t>WY-0043</t>
        </is>
      </c>
      <c r="B179" s="10" t="inlineStr">
        <is>
          <t>We Are Vapes</t>
        </is>
      </c>
      <c r="C179" s="10" t="inlineStr">
        <is>
          <t>Bradford</t>
        </is>
      </c>
      <c r="D179" s="10" t="inlineStr">
        <is>
          <t>https://www.yelp.com/biz/we-are-vapes-bradford</t>
        </is>
      </c>
      <c r="E179" s="10" t="inlineStr">
        <is>
          <t>Directory</t>
        </is>
      </c>
      <c r="F179" s="10" t="inlineStr">
        <is>
          <t>2026-09-16</t>
        </is>
      </c>
      <c r="G179" s="10" t="inlineStr">
        <is>
          <t>branch address 446 Killinghall Road, Bradford (search snippet)</t>
        </is>
      </c>
      <c r="H179" s="10" t="inlineStr">
        <is>
          <t>Requires Verification</t>
        </is>
      </c>
    </row>
    <row r="180">
      <c r="A180" s="5" t="inlineStr">
        <is>
          <t>WY-0043</t>
        </is>
      </c>
      <c r="B180" s="5" t="inlineStr">
        <is>
          <t>We Are Vapes</t>
        </is>
      </c>
      <c r="C180" s="5" t="inlineStr">
        <is>
          <t>Bradford</t>
        </is>
      </c>
      <c r="D180" s="5" t="inlineStr">
        <is>
          <t>https://www.wearevapes.com/</t>
        </is>
      </c>
      <c r="E180" s="5" t="inlineStr">
        <is>
          <t>Official Website</t>
        </is>
      </c>
      <c r="F180" s="5" t="inlineStr">
        <is>
          <t>2026-09-16</t>
        </is>
      </c>
      <c r="G180" s="5" t="inlineStr">
        <is>
          <t>brand/website existence confirmed via search results (fetch blocked)</t>
        </is>
      </c>
      <c r="H180" s="5" t="inlineStr">
        <is>
          <t>Requires Verification</t>
        </is>
      </c>
    </row>
    <row r="181">
      <c r="A181" s="10" t="inlineStr">
        <is>
          <t>WY-0044</t>
        </is>
      </c>
      <c r="B181" s="10" t="inlineStr">
        <is>
          <t>Worldwide Foods Bradford (Great Horton Road)</t>
        </is>
      </c>
      <c r="C181" s="10" t="inlineStr">
        <is>
          <t>Bradford</t>
        </is>
      </c>
      <c r="D181" s="10" t="inlineStr">
        <is>
          <t>https://worldwidefoods.co.uk/worldwide-bradford-great-horton-road/</t>
        </is>
      </c>
      <c r="E181" s="10" t="inlineStr">
        <is>
          <t>Official Website</t>
        </is>
      </c>
      <c r="F181" s="10" t="inlineStr">
        <is>
          <t>2026-09-16</t>
        </is>
      </c>
      <c r="G181" s="10" t="inlineStr">
        <is>
          <t>store page exists for Great Horton Road (search result; fetch blocked)</t>
        </is>
      </c>
      <c r="H181" s="10" t="inlineStr">
        <is>
          <t>Partially Verified</t>
        </is>
      </c>
    </row>
    <row r="182">
      <c r="A182" s="5" t="inlineStr">
        <is>
          <t>WY-0044</t>
        </is>
      </c>
      <c r="B182" s="5" t="inlineStr">
        <is>
          <t>Worldwide Foods Bradford (Great Horton Road)</t>
        </is>
      </c>
      <c r="C182" s="5" t="inlineStr">
        <is>
          <t>Bradford</t>
        </is>
      </c>
      <c r="D182" s="5" t="inlineStr">
        <is>
          <t>https://www.misterwhat.co.uk/company/2255875-worldwide-foods-bradford-bradford</t>
        </is>
      </c>
      <c r="E182" s="5" t="inlineStr">
        <is>
          <t>Directory</t>
        </is>
      </c>
      <c r="F182" s="5" t="inlineStr">
        <is>
          <t>2026-09-16</t>
        </is>
      </c>
      <c r="G182" s="5" t="inlineStr">
        <is>
          <t>address 607 Great Horton Road BD7 4ED, phone (search snippet)</t>
        </is>
      </c>
      <c r="H182" s="5" t="inlineStr">
        <is>
          <t>Partially Verified</t>
        </is>
      </c>
    </row>
    <row r="183">
      <c r="A183" s="10" t="inlineStr">
        <is>
          <t>WY-0044</t>
        </is>
      </c>
      <c r="B183" s="10" t="inlineStr">
        <is>
          <t>Worldwide Foods Bradford (Great Horton Road)</t>
        </is>
      </c>
      <c r="C183" s="10" t="inlineStr">
        <is>
          <t>Bradford</t>
        </is>
      </c>
      <c r="D183" s="10" t="inlineStr">
        <is>
          <t>https://worldwidefoods.co.uk/contact-us/</t>
        </is>
      </c>
      <c r="E183" s="10" t="inlineStr">
        <is>
          <t>Official Website</t>
        </is>
      </c>
      <c r="F183" s="10" t="inlineStr">
        <is>
          <t>2026-09-16</t>
        </is>
      </c>
      <c r="G183" s="10" t="inlineStr">
        <is>
          <t>email</t>
        </is>
      </c>
      <c r="H183" s="10" t="inlineStr">
        <is>
          <t>Partially Verified</t>
        </is>
      </c>
    </row>
    <row r="184">
      <c r="A184" s="5" t="inlineStr">
        <is>
          <t>WY-0045</t>
        </is>
      </c>
      <c r="B184" s="5" t="inlineStr">
        <is>
          <t>Worldwide Foods Bradford (Leeds Road)</t>
        </is>
      </c>
      <c r="C184" s="5" t="inlineStr">
        <is>
          <t>Bradford</t>
        </is>
      </c>
      <c r="D184" s="5" t="inlineStr">
        <is>
          <t>https://worldwidefoods.co.uk/worldwide-bradford-leeds-road/</t>
        </is>
      </c>
      <c r="E184" s="5" t="inlineStr">
        <is>
          <t>Official Website</t>
        </is>
      </c>
      <c r="F184" s="5" t="inlineStr">
        <is>
          <t>2026-09-16</t>
        </is>
      </c>
      <c r="G184" s="5" t="inlineStr">
        <is>
          <t>store page exists for Leeds Road Bradford (search result; fetch blocked)</t>
        </is>
      </c>
      <c r="H184" s="5" t="inlineStr">
        <is>
          <t>Partially Verified</t>
        </is>
      </c>
    </row>
    <row r="185">
      <c r="A185" s="10" t="inlineStr">
        <is>
          <t>WY-0045</t>
        </is>
      </c>
      <c r="B185" s="10" t="inlineStr">
        <is>
          <t>Worldwide Foods Bradford (Leeds Road)</t>
        </is>
      </c>
      <c r="C185" s="10" t="inlineStr">
        <is>
          <t>Bradford</t>
        </is>
      </c>
      <c r="D185" s="10" t="inlineStr">
        <is>
          <t>https://b99.co.uk/convenience-store/bradford/worldwide-foods/</t>
        </is>
      </c>
      <c r="E185" s="10" t="inlineStr">
        <is>
          <t>Directory</t>
        </is>
      </c>
      <c r="F185" s="10" t="inlineStr">
        <is>
          <t>2026-09-16</t>
        </is>
      </c>
      <c r="G185" s="10" t="inlineStr">
        <is>
          <t>address 1001 Leeds Road BD3 7NH, phone, 24h opening (search snippet)</t>
        </is>
      </c>
      <c r="H185" s="10" t="inlineStr">
        <is>
          <t>Partially Verified</t>
        </is>
      </c>
    </row>
    <row r="186">
      <c r="A186" s="5" t="inlineStr">
        <is>
          <t>WY-0045</t>
        </is>
      </c>
      <c r="B186" s="5" t="inlineStr">
        <is>
          <t>Worldwide Foods Bradford (Leeds Road)</t>
        </is>
      </c>
      <c r="C186" s="5" t="inlineStr">
        <is>
          <t>Bradford</t>
        </is>
      </c>
      <c r="D186" s="5" t="inlineStr">
        <is>
          <t>https://find-and-update.company-information.service.gov.uk/company/04179487</t>
        </is>
      </c>
      <c r="E186" s="5" t="inlineStr">
        <is>
          <t>Companies House</t>
        </is>
      </c>
      <c r="F186" s="5" t="inlineStr">
        <is>
          <t>2026-09-16</t>
        </is>
      </c>
      <c r="G186" s="5" t="inlineStr">
        <is>
          <t>company Worldwide Foods (Bradford) Limited 04179487 (search result; direct fetch blocked)</t>
        </is>
      </c>
      <c r="H186" s="5" t="inlineStr">
        <is>
          <t>Partially Verified</t>
        </is>
      </c>
    </row>
    <row r="187">
      <c r="A187" s="10" t="inlineStr">
        <is>
          <t>WY-0046</t>
        </is>
      </c>
      <c r="B187" s="10" t="inlineStr">
        <is>
          <t>Worldwide Foods Bradford (Woodhead Road)</t>
        </is>
      </c>
      <c r="C187" s="10" t="inlineStr">
        <is>
          <t>Bradford</t>
        </is>
      </c>
      <c r="D187" s="10" t="inlineStr">
        <is>
          <t>https://worldwidefoods.co.uk/locations/</t>
        </is>
      </c>
      <c r="E187" s="10" t="inlineStr">
        <is>
          <t>Official Website</t>
        </is>
      </c>
      <c r="F187" s="10" t="inlineStr">
        <is>
          <t>2026-09-16</t>
        </is>
      </c>
      <c r="G187" s="10" t="inlineStr">
        <is>
          <t>Woodhead Road listed among Bradford stores (search snippet; fetch blocked)</t>
        </is>
      </c>
      <c r="H187" s="10" t="inlineStr">
        <is>
          <t>Partially Verified</t>
        </is>
      </c>
    </row>
    <row r="188">
      <c r="A188" s="5" t="inlineStr">
        <is>
          <t>WY-0046</t>
        </is>
      </c>
      <c r="B188" s="5" t="inlineStr">
        <is>
          <t>Worldwide Foods Bradford (Woodhead Road)</t>
        </is>
      </c>
      <c r="C188" s="5" t="inlineStr">
        <is>
          <t>Bradford</t>
        </is>
      </c>
      <c r="D188" s="5" t="inlineStr">
        <is>
          <t>https://www.yelp.co.uk/biz/al-halal-supermarket-bradford</t>
        </is>
      </c>
      <c r="E188" s="5" t="inlineStr">
        <is>
          <t>Directory</t>
        </is>
      </c>
      <c r="F188" s="5" t="inlineStr">
        <is>
          <t>2026-09-16</t>
        </is>
      </c>
      <c r="G188" s="5" t="inlineStr">
        <is>
          <t>Al Halal Supermarket, Woodhead Road, Bradford (search result)</t>
        </is>
      </c>
      <c r="H188" s="5" t="inlineStr">
        <is>
          <t>Partially Verified</t>
        </is>
      </c>
    </row>
    <row r="189">
      <c r="A189" s="10" t="inlineStr">
        <is>
          <t>UK-000226</t>
        </is>
      </c>
      <c r="B189" s="10" t="inlineStr">
        <is>
          <t>Fodder</t>
        </is>
      </c>
      <c r="C189" s="10" t="inlineStr">
        <is>
          <t>Harrogate</t>
        </is>
      </c>
      <c r="D189" s="10" t="inlineStr">
        <is>
          <t>https://fodder.co.uk/</t>
        </is>
      </c>
      <c r="E189" s="10" t="inlineStr">
        <is>
          <t>Official Website</t>
        </is>
      </c>
      <c r="F189" s="10" t="inlineStr">
        <is>
          <t>2026-09-16</t>
        </is>
      </c>
      <c r="G189" s="10" t="inlineStr">
        <is>
          <t>brand, product range, email (search snippet)</t>
        </is>
      </c>
      <c r="H189" s="10" t="inlineStr">
        <is>
          <t>Requires Verification</t>
        </is>
      </c>
    </row>
    <row r="190">
      <c r="A190" s="5" t="inlineStr">
        <is>
          <t>UK-000226</t>
        </is>
      </c>
      <c r="B190" s="5" t="inlineStr">
        <is>
          <t>Fodder</t>
        </is>
      </c>
      <c r="C190" s="5" t="inlineStr">
        <is>
          <t>Harrogate</t>
        </is>
      </c>
      <c r="D190" s="5" t="inlineStr">
        <is>
          <t>https://visitharrogate.co.uk/business-directory/fodder-farm-shop-and-cafe</t>
        </is>
      </c>
      <c r="E190" s="5" t="inlineStr">
        <is>
          <t>Directory</t>
        </is>
      </c>
      <c r="F190" s="5" t="inlineStr">
        <is>
          <t>2026-09-16</t>
        </is>
      </c>
      <c r="G190" s="5" t="inlineStr">
        <is>
          <t>address, phone</t>
        </is>
      </c>
      <c r="H190" s="5" t="inlineStr">
        <is>
          <t>Requires Verification</t>
        </is>
      </c>
    </row>
    <row r="191">
      <c r="A191" s="10" t="inlineStr">
        <is>
          <t>UK-000226</t>
        </is>
      </c>
      <c r="B191" s="10" t="inlineStr">
        <is>
          <t>Fodder</t>
        </is>
      </c>
      <c r="C191" s="10" t="inlineStr">
        <is>
          <t>Harrogate</t>
        </is>
      </c>
      <c r="D191" s="10" t="inlineStr">
        <is>
          <t>https://www.192.com/atoz/business/harrogate-hg2/farm-shops/fodder/3b2a3d5a1e50e64f1b0a2cae388eb2f17de893f2/ml/</t>
        </is>
      </c>
      <c r="E191" s="10" t="inlineStr">
        <is>
          <t>Directory</t>
        </is>
      </c>
      <c r="F191" s="10" t="inlineStr">
        <is>
          <t>2026-09-16</t>
        </is>
      </c>
      <c r="G191" s="10" t="inlineStr">
        <is>
          <t>postcode HG2 8NZ</t>
        </is>
      </c>
      <c r="H191" s="10" t="inlineStr">
        <is>
          <t>Requires Verification</t>
        </is>
      </c>
    </row>
    <row r="192">
      <c r="A192" s="5" t="inlineStr">
        <is>
          <t>UK-000227</t>
        </is>
      </c>
      <c r="B192" s="5" t="inlineStr">
        <is>
          <t>eCigarette Outlet</t>
        </is>
      </c>
      <c r="C192" s="5" t="inlineStr">
        <is>
          <t>Kingston upon Hull</t>
        </is>
      </c>
      <c r="D192" s="5" t="inlineStr">
        <is>
          <t>https://www.facebook.com/EcigaretteoutletHull/</t>
        </is>
      </c>
      <c r="E192" s="5" t="inlineStr">
        <is>
          <t>Facebook</t>
        </is>
      </c>
      <c r="F192" s="5" t="inlineStr">
        <is>
          <t>2026-09-16</t>
        </is>
      </c>
      <c r="G192" s="5" t="inlineStr">
        <is>
          <t>name, 53 Jameson Street address</t>
        </is>
      </c>
      <c r="H192" s="5" t="inlineStr">
        <is>
          <t>Partially Verified</t>
        </is>
      </c>
    </row>
    <row r="193">
      <c r="A193" s="10" t="inlineStr">
        <is>
          <t>UK-000227</t>
        </is>
      </c>
      <c r="B193" s="10" t="inlineStr">
        <is>
          <t>eCigarette Outlet</t>
        </is>
      </c>
      <c r="C193" s="10" t="inlineStr">
        <is>
          <t>Kingston upon Hull</t>
        </is>
      </c>
      <c r="D193" s="10" t="inlineStr">
        <is>
          <t>https://ecigdirectory.co.uk/vape-shop-hull-listings/</t>
        </is>
      </c>
      <c r="E193" s="10" t="inlineStr">
        <is>
          <t>Directory</t>
        </is>
      </c>
      <c r="F193" s="10" t="inlineStr">
        <is>
          <t>2026-09-16</t>
        </is>
      </c>
      <c r="G193" s="10" t="inlineStr">
        <is>
          <t>Hull branch addresses, email, website (via search results)</t>
        </is>
      </c>
      <c r="H193" s="10" t="inlineStr">
        <is>
          <t>Partially Verified</t>
        </is>
      </c>
    </row>
    <row r="194">
      <c r="A194" s="5" t="inlineStr">
        <is>
          <t>UK-000228</t>
        </is>
      </c>
      <c r="B194" s="5" t="inlineStr">
        <is>
          <t>eCigarette Outlet Cleethorpes</t>
        </is>
      </c>
      <c r="C194" s="5" t="inlineStr">
        <is>
          <t>Cleethorpes</t>
        </is>
      </c>
      <c r="D194" s="5" t="inlineStr">
        <is>
          <t>https://vapeshop-nearme.com/listing/ecigarette-outlet-cleethorpes/</t>
        </is>
      </c>
      <c r="E194" s="5" t="inlineStr">
        <is>
          <t>Directory</t>
        </is>
      </c>
      <c r="F194" s="5" t="inlineStr">
        <is>
          <t>2026-09-16</t>
        </is>
      </c>
      <c r="G194" s="5" t="inlineStr">
        <is>
          <t>3 St Peter's Ave address, phone (via search results)</t>
        </is>
      </c>
      <c r="H194" s="5" t="inlineStr">
        <is>
          <t>Partially Verified</t>
        </is>
      </c>
    </row>
    <row r="195">
      <c r="A195" s="10" t="inlineStr">
        <is>
          <t>UK-000229</t>
        </is>
      </c>
      <c r="B195" s="10" t="inlineStr">
        <is>
          <t>eCigarette Outlet Scunthorpe</t>
        </is>
      </c>
      <c r="C195" s="10" t="inlineStr">
        <is>
          <t>Scunthorpe</t>
        </is>
      </c>
      <c r="D195" s="10" t="inlineStr">
        <is>
          <t>https://www.facebook.com/Ecigaretteoutlet/</t>
        </is>
      </c>
      <c r="E195" s="10" t="inlineStr">
        <is>
          <t>Facebook</t>
        </is>
      </c>
      <c r="F195" s="10" t="inlineStr">
        <is>
          <t>2026-09-16</t>
        </is>
      </c>
      <c r="G195" s="10" t="inlineStr">
        <is>
          <t>name, Scunthorpe High Street presence</t>
        </is>
      </c>
      <c r="H195" s="10" t="inlineStr">
        <is>
          <t>Partially Verified</t>
        </is>
      </c>
    </row>
    <row r="196">
      <c r="A196" s="5" t="inlineStr">
        <is>
          <t>UK-000229</t>
        </is>
      </c>
      <c r="B196" s="5" t="inlineStr">
        <is>
          <t>eCigarette Outlet Scunthorpe</t>
        </is>
      </c>
      <c r="C196" s="5" t="inlineStr">
        <is>
          <t>Scunthorpe</t>
        </is>
      </c>
      <c r="D196" s="5" t="inlineStr">
        <is>
          <t>https://vapeshop-nearme.com/listing/ecigarette-outlet-scunthorpe/</t>
        </is>
      </c>
      <c r="E196" s="5" t="inlineStr">
        <is>
          <t>Directory</t>
        </is>
      </c>
      <c r="F196" s="5" t="inlineStr">
        <is>
          <t>2026-09-16</t>
        </is>
      </c>
      <c r="G196" s="5" t="inlineStr">
        <is>
          <t>14 Laneham Street address (via search results)</t>
        </is>
      </c>
      <c r="H196" s="5" t="inlineStr">
        <is>
          <t>Partially Verified</t>
        </is>
      </c>
    </row>
    <row r="197">
      <c r="A197" s="10" t="inlineStr">
        <is>
          <t>UK-000230</t>
        </is>
      </c>
      <c r="B197" s="10" t="inlineStr">
        <is>
          <t>iVape Harrogate</t>
        </is>
      </c>
      <c r="C197" s="10" t="inlineStr">
        <is>
          <t>Harrogate</t>
        </is>
      </c>
      <c r="D197" s="10" t="inlineStr">
        <is>
          <t>https://ivapestore.co.uk/stores/ivape-harrogate</t>
        </is>
      </c>
      <c r="E197" s="10" t="inlineStr">
        <is>
          <t>Official Website</t>
        </is>
      </c>
      <c r="F197" s="10" t="inlineStr">
        <is>
          <t>2026-09-16</t>
        </is>
      </c>
      <c r="G197" s="10" t="inlineStr">
        <is>
          <t>store page, address (search snippet)</t>
        </is>
      </c>
      <c r="H197" s="10" t="inlineStr">
        <is>
          <t>Requires Verification</t>
        </is>
      </c>
    </row>
    <row r="198">
      <c r="A198" s="5" t="inlineStr">
        <is>
          <t>UK-000230</t>
        </is>
      </c>
      <c r="B198" s="5" t="inlineStr">
        <is>
          <t>iVape Harrogate</t>
        </is>
      </c>
      <c r="C198" s="5" t="inlineStr">
        <is>
          <t>Harrogate</t>
        </is>
      </c>
      <c r="D198" s="5" t="inlineStr">
        <is>
          <t>https://harrogate.cylex-uk.co.uk/vape-shops/</t>
        </is>
      </c>
      <c r="E198" s="5" t="inlineStr">
        <is>
          <t>Directory</t>
        </is>
      </c>
      <c r="F198" s="5" t="inlineStr">
        <is>
          <t>2026-09-16</t>
        </is>
      </c>
      <c r="G198" s="5" t="inlineStr">
        <is>
          <t>address, postcode, phone</t>
        </is>
      </c>
      <c r="H198" s="5" t="inlineStr">
        <is>
          <t>Requires Verification</t>
        </is>
      </c>
    </row>
    <row r="199">
      <c r="A199" s="10" t="inlineStr">
        <is>
          <t>WY-0047</t>
        </is>
      </c>
      <c r="B199" s="10" t="inlineStr">
        <is>
          <t>A &amp; B Stores</t>
        </is>
      </c>
      <c r="C199" s="10" t="inlineStr">
        <is>
          <t>Bingley</t>
        </is>
      </c>
      <c r="D199" s="10" t="inlineStr">
        <is>
          <t>https://www.yorkshire.com/bingley/shopping/off-license/a-b-stores</t>
        </is>
      </c>
      <c r="E199" s="10" t="inlineStr">
        <is>
          <t>Directory</t>
        </is>
      </c>
      <c r="F199" s="10" t="inlineStr">
        <is>
          <t>2026-09-16</t>
        </is>
      </c>
      <c r="G199" s="10" t="inlineStr">
        <is>
          <t>name and Bingley location (search result)</t>
        </is>
      </c>
      <c r="H199" s="10" t="inlineStr">
        <is>
          <t>Requires Verification</t>
        </is>
      </c>
    </row>
    <row r="200">
      <c r="A200" s="5" t="inlineStr">
        <is>
          <t>UK-000231</t>
        </is>
      </c>
      <c r="B200" s="5" t="inlineStr">
        <is>
          <t>A Touch of Glass</t>
        </is>
      </c>
      <c r="C200" s="5" t="inlineStr">
        <is>
          <t>Bridlington</t>
        </is>
      </c>
      <c r="D200" s="5" t="inlineStr">
        <is>
          <t>https://ecigdirectory.co.uk/vape-shop/listing/a-touch-of-class-bridlington</t>
        </is>
      </c>
      <c r="E200" s="5" t="inlineStr">
        <is>
          <t>Directory</t>
        </is>
      </c>
      <c r="F200" s="5" t="inlineStr">
        <is>
          <t>2026-09-16</t>
        </is>
      </c>
      <c r="G200" s="5" t="inlineStr">
        <is>
          <t>name, address, phone (via search results)</t>
        </is>
      </c>
      <c r="H200" s="5" t="inlineStr">
        <is>
          <t>Requires Verification</t>
        </is>
      </c>
    </row>
    <row r="201">
      <c r="A201" s="10" t="inlineStr">
        <is>
          <t>UK-000231</t>
        </is>
      </c>
      <c r="B201" s="10" t="inlineStr">
        <is>
          <t>A Touch of Glass</t>
        </is>
      </c>
      <c r="C201" s="10" t="inlineStr">
        <is>
          <t>Bridlington</t>
        </is>
      </c>
      <c r="D201" s="10" t="inlineStr">
        <is>
          <t>https://www.totallywicked-eliquid.co.uk/stores/bridlington-e-cigs-e-liquid-touch-of-glass</t>
        </is>
      </c>
      <c r="E201" s="10" t="inlineStr">
        <is>
          <t>Directory</t>
        </is>
      </c>
      <c r="F201" s="10" t="inlineStr">
        <is>
          <t>2026-09-16</t>
        </is>
      </c>
      <c r="G201" s="10" t="inlineStr">
        <is>
          <t>Totally Wicked stockist listing (via search results)</t>
        </is>
      </c>
      <c r="H201" s="10" t="inlineStr">
        <is>
          <t>Requires Verification</t>
        </is>
      </c>
    </row>
    <row r="202">
      <c r="A202" s="5" t="inlineStr">
        <is>
          <t>UK-000232</t>
        </is>
      </c>
      <c r="B202" s="5" t="inlineStr">
        <is>
          <t>AA Off Licence</t>
        </is>
      </c>
      <c r="C202" s="5" t="inlineStr">
        <is>
          <t>Kingston upon Hull</t>
        </is>
      </c>
      <c r="D202" s="5" t="inlineStr">
        <is>
          <t>https://www.yorkshire.com/hull/shopping/off-license/aa-off-licence</t>
        </is>
      </c>
      <c r="E202" s="5" t="inlineStr">
        <is>
          <t>Directory</t>
        </is>
      </c>
      <c r="F202" s="5" t="inlineStr">
        <is>
          <t>2026-09-16</t>
        </is>
      </c>
      <c r="G202" s="5" t="inlineStr">
        <is>
          <t>name, Hessle Road location, hours (via search results)</t>
        </is>
      </c>
      <c r="H202" s="5" t="inlineStr">
        <is>
          <t>Requires Verification</t>
        </is>
      </c>
    </row>
    <row r="203">
      <c r="A203" s="10" t="inlineStr">
        <is>
          <t>WY-0048</t>
        </is>
      </c>
      <c r="B203" s="10" t="inlineStr">
        <is>
          <t>AV &amp; JI Stores</t>
        </is>
      </c>
      <c r="C203" s="10" t="inlineStr">
        <is>
          <t>Sowerby Bridge</t>
        </is>
      </c>
      <c r="D203" s="10" t="inlineStr">
        <is>
          <t>https://www.facebook.com/people/Premier-AV-JI-Stores/61567311514140/</t>
        </is>
      </c>
      <c r="E203" s="10" t="inlineStr">
        <is>
          <t>Facebook</t>
        </is>
      </c>
      <c r="F203" s="10" t="inlineStr">
        <is>
          <t>2026-09-16</t>
        </is>
      </c>
      <c r="G203" s="10" t="inlineStr">
        <is>
          <t>name, address, Premier fascia</t>
        </is>
      </c>
      <c r="H203" s="10" t="inlineStr">
        <is>
          <t>Requires Verification</t>
        </is>
      </c>
    </row>
    <row r="204">
      <c r="A204" s="5" t="inlineStr">
        <is>
          <t>WY-0048</t>
        </is>
      </c>
      <c r="B204" s="5" t="inlineStr">
        <is>
          <t>AV &amp; JI Stores</t>
        </is>
      </c>
      <c r="C204" s="5" t="inlineStr">
        <is>
          <t>Sowerby Bridge</t>
        </is>
      </c>
      <c r="D204" s="5" t="inlineStr">
        <is>
          <t>https://www.yorkshire.com/sowerby-bridge/shopping/corner-shops/av-ji-stores-premier-sowerby-off-licence-</t>
        </is>
      </c>
      <c r="E204" s="5" t="inlineStr">
        <is>
          <t>Directory</t>
        </is>
      </c>
      <c r="F204" s="5" t="inlineStr">
        <is>
          <t>2026-09-16</t>
        </is>
      </c>
      <c r="G204" s="5" t="inlineStr">
        <is>
          <t>listing confirmation</t>
        </is>
      </c>
      <c r="H204" s="5" t="inlineStr">
        <is>
          <t>Requires Verification</t>
        </is>
      </c>
    </row>
    <row r="205">
      <c r="A205" s="10" t="inlineStr">
        <is>
          <t>WY-0048</t>
        </is>
      </c>
      <c r="B205" s="10" t="inlineStr">
        <is>
          <t>AV &amp; JI Stores</t>
        </is>
      </c>
      <c r="C205" s="10" t="inlineStr">
        <is>
          <t>Sowerby Bridge</t>
        </is>
      </c>
      <c r="D205" s="10" t="inlineStr">
        <is>
          <t>https://sowerby-bridge.cylex-uk.co.uk/company/av---ji-stores-premier---sowerby-off-licence---28777382.html</t>
        </is>
      </c>
      <c r="E205" s="10" t="inlineStr">
        <is>
          <t>Directory</t>
        </is>
      </c>
      <c r="F205" s="10" t="inlineStr">
        <is>
          <t>2026-09-16</t>
        </is>
      </c>
      <c r="G205" s="10" t="inlineStr">
        <is>
          <t>address, postcode</t>
        </is>
      </c>
      <c r="H205" s="10" t="inlineStr">
        <is>
          <t>Requires Verification</t>
        </is>
      </c>
    </row>
    <row r="206">
      <c r="A206" s="5" t="inlineStr">
        <is>
          <t>UK-000233</t>
        </is>
      </c>
      <c r="B206" s="5" t="inlineStr">
        <is>
          <t>Agha Lounge</t>
        </is>
      </c>
      <c r="C206" s="5" t="inlineStr">
        <is>
          <t>Sheffield</t>
        </is>
      </c>
      <c r="D206" s="5" t="inlineStr">
        <is>
          <t>https://aghalounge.com/about-us/</t>
        </is>
      </c>
      <c r="E206" s="5" t="inlineStr">
        <is>
          <t>Official Website</t>
        </is>
      </c>
      <c r="F206" s="5" t="inlineStr">
        <is>
          <t>2026-09-16</t>
        </is>
      </c>
      <c r="G206" s="5" t="inlineStr">
        <is>
          <t>name, address, description</t>
        </is>
      </c>
      <c r="H206" s="5" t="inlineStr">
        <is>
          <t>Requires Verification</t>
        </is>
      </c>
    </row>
    <row r="207">
      <c r="A207" s="10" t="inlineStr">
        <is>
          <t>UK-000234</t>
        </is>
      </c>
      <c r="B207" s="10" t="inlineStr">
        <is>
          <t>Ainsty Farm Shop</t>
        </is>
      </c>
      <c r="C207" s="10" t="inlineStr">
        <is>
          <t>York</t>
        </is>
      </c>
      <c r="D207" s="10" t="inlineStr">
        <is>
          <t>https://www.ainstyfarmshop.co.uk/home.html</t>
        </is>
      </c>
      <c r="E207" s="10" t="inlineStr">
        <is>
          <t>Official Website</t>
        </is>
      </c>
      <c r="F207" s="10" t="inlineStr">
        <is>
          <t>2026-09-16</t>
        </is>
      </c>
      <c r="G207" s="10" t="inlineStr">
        <is>
          <t>brand, product range</t>
        </is>
      </c>
      <c r="H207" s="10" t="inlineStr">
        <is>
          <t>Requires Verification</t>
        </is>
      </c>
    </row>
    <row r="208">
      <c r="A208" s="5" t="inlineStr">
        <is>
          <t>UK-000234</t>
        </is>
      </c>
      <c r="B208" s="5" t="inlineStr">
        <is>
          <t>Ainsty Farm Shop</t>
        </is>
      </c>
      <c r="C208" s="5" t="inlineStr">
        <is>
          <t>York</t>
        </is>
      </c>
      <c r="D208" s="5" t="inlineStr">
        <is>
          <t>https://www.farminguk.com/agricultural-directory/ainsty-farm-shop_56319.html</t>
        </is>
      </c>
      <c r="E208" s="5" t="inlineStr">
        <is>
          <t>Directory</t>
        </is>
      </c>
      <c r="F208" s="5" t="inlineStr">
        <is>
          <t>2026-09-16</t>
        </is>
      </c>
      <c r="G208" s="5" t="inlineStr">
        <is>
          <t>address, phone</t>
        </is>
      </c>
      <c r="H208" s="5" t="inlineStr">
        <is>
          <t>Requires Verification</t>
        </is>
      </c>
    </row>
    <row r="209">
      <c r="A209" s="10" t="inlineStr">
        <is>
          <t>UK-000234</t>
        </is>
      </c>
      <c r="B209" s="10" t="inlineStr">
        <is>
          <t>Ainsty Farm Shop</t>
        </is>
      </c>
      <c r="C209" s="10" t="inlineStr">
        <is>
          <t>York</t>
        </is>
      </c>
      <c r="D209" s="10" t="inlineStr">
        <is>
          <t>https://yellowsitesuk.com/detail/2439682/ainsty-farm-shop-york</t>
        </is>
      </c>
      <c r="E209" s="10" t="inlineStr">
        <is>
          <t>Directory</t>
        </is>
      </c>
      <c r="F209" s="10" t="inlineStr">
        <is>
          <t>2026-09-16</t>
        </is>
      </c>
      <c r="G209" s="10" t="inlineStr">
        <is>
          <t>postcode YO26 8EQ, phone</t>
        </is>
      </c>
      <c r="H209" s="10" t="inlineStr">
        <is>
          <t>Requires Verification</t>
        </is>
      </c>
    </row>
    <row r="210">
      <c r="A210" s="5" t="inlineStr">
        <is>
          <t>WY-0049</t>
        </is>
      </c>
      <c r="B210" s="5" t="inlineStr">
        <is>
          <t>Al-Falah Supermarket</t>
        </is>
      </c>
      <c r="C210" s="5" t="inlineStr">
        <is>
          <t>Bradford</t>
        </is>
      </c>
      <c r="D210" s="5" t="inlineStr">
        <is>
          <t>https://www.facebook.com/alfalahbradford/</t>
        </is>
      </c>
      <c r="E210" s="5" t="inlineStr">
        <is>
          <t>Facebook</t>
        </is>
      </c>
      <c r="F210" s="5" t="inlineStr">
        <is>
          <t>2026-09-16</t>
        </is>
      </c>
      <c r="G210" s="5" t="inlineStr">
        <is>
          <t>business description, 20+ years trading (search snippet)</t>
        </is>
      </c>
      <c r="H210" s="5" t="inlineStr">
        <is>
          <t>Requires Verification</t>
        </is>
      </c>
    </row>
    <row r="211">
      <c r="A211" s="10" t="inlineStr">
        <is>
          <t>WY-0049</t>
        </is>
      </c>
      <c r="B211" s="10" t="inlineStr">
        <is>
          <t>Al-Falah Supermarket</t>
        </is>
      </c>
      <c r="C211" s="10" t="inlineStr">
        <is>
          <t>Bradford</t>
        </is>
      </c>
      <c r="D211" s="10" t="inlineStr">
        <is>
          <t>https://en.halalguide.me/bradford/produktoviy-magazin/al-falah-supermarket</t>
        </is>
      </c>
      <c r="E211" s="10" t="inlineStr">
        <is>
          <t>Directory</t>
        </is>
      </c>
      <c r="F211" s="10" t="inlineStr">
        <is>
          <t>2026-09-16</t>
        </is>
      </c>
      <c r="G211" s="10" t="inlineStr">
        <is>
          <t>address 150 Manningham Lane (search snippet)</t>
        </is>
      </c>
      <c r="H211" s="10" t="inlineStr">
        <is>
          <t>Requires Verification</t>
        </is>
      </c>
    </row>
    <row r="212">
      <c r="A212" s="5" t="inlineStr">
        <is>
          <t>UK-000235</t>
        </is>
      </c>
      <c r="B212" s="5" t="inlineStr">
        <is>
          <t>Alchemist Vape Shop Parkgate</t>
        </is>
      </c>
      <c r="C212" s="5" t="inlineStr">
        <is>
          <t>Rotherham</t>
        </is>
      </c>
      <c r="D212" s="5" t="inlineStr">
        <is>
          <t>https://www.facebook.com/AlchemistParkgate/</t>
        </is>
      </c>
      <c r="E212" s="5" t="inlineStr">
        <is>
          <t>Facebook</t>
        </is>
      </c>
      <c r="F212" s="5" t="inlineStr">
        <is>
          <t>2026-09-16</t>
        </is>
      </c>
      <c r="G212" s="5" t="inlineStr">
        <is>
          <t>name, area, product range</t>
        </is>
      </c>
      <c r="H212" s="5" t="inlineStr">
        <is>
          <t>Requires Verification</t>
        </is>
      </c>
    </row>
    <row r="213">
      <c r="A213" s="10" t="inlineStr">
        <is>
          <t>UK-000236</t>
        </is>
      </c>
      <c r="B213" s="10" t="inlineStr">
        <is>
          <t>Angel Smoke e-Cigarettes</t>
        </is>
      </c>
      <c r="C213" s="10" t="inlineStr">
        <is>
          <t>Rotherham</t>
        </is>
      </c>
      <c r="D213" s="10" t="inlineStr">
        <is>
          <t>https://www.chamberofcommerce.uk/business-directory/england/sheffield/miscellaneous/307306-angel-smoke-vape-shop-rotherham-fireworks</t>
        </is>
      </c>
      <c r="E213" s="10" t="inlineStr">
        <is>
          <t>Directory</t>
        </is>
      </c>
      <c r="F213" s="10" t="inlineStr">
        <is>
          <t>2026-09-16</t>
        </is>
      </c>
      <c r="G213" s="10" t="inlineStr">
        <is>
          <t>postcode S62 6EU, name</t>
        </is>
      </c>
      <c r="H213" s="10" t="inlineStr">
        <is>
          <t>Requires Verification</t>
        </is>
      </c>
    </row>
    <row r="214">
      <c r="A214" s="5" t="inlineStr">
        <is>
          <t>UK-000236</t>
        </is>
      </c>
      <c r="B214" s="5" t="inlineStr">
        <is>
          <t>Angel Smoke e-Cigarettes</t>
        </is>
      </c>
      <c r="C214" s="5" t="inlineStr">
        <is>
          <t>Rotherham</t>
        </is>
      </c>
      <c r="D214" s="5" t="inlineStr">
        <is>
          <t>https://angel-smoke-vape-shop-rotherham-fireworks.wheree.com/</t>
        </is>
      </c>
      <c r="E214" s="5" t="inlineStr">
        <is>
          <t>Directory</t>
        </is>
      </c>
      <c r="F214" s="5" t="inlineStr">
        <is>
          <t>2026-09-16</t>
        </is>
      </c>
      <c r="G214" s="5" t="inlineStr">
        <is>
          <t>address, phone</t>
        </is>
      </c>
      <c r="H214" s="5" t="inlineStr">
        <is>
          <t>Requires Verification</t>
        </is>
      </c>
    </row>
    <row r="215">
      <c r="A215" s="10" t="inlineStr">
        <is>
          <t>WY-0050</t>
        </is>
      </c>
      <c r="B215" s="10" t="inlineStr">
        <is>
          <t>Anwarsons Newsagency</t>
        </is>
      </c>
      <c r="C215" s="10" t="inlineStr">
        <is>
          <t>Brighouse</t>
        </is>
      </c>
      <c r="D215" s="10" t="inlineStr">
        <is>
          <t>https://thomsonlocal.com/search/Newsagents/Wyke-West-Yorkshire/Anwarsons-Newsagency/2652959/01484717622</t>
        </is>
      </c>
      <c r="E215" s="10" t="inlineStr">
        <is>
          <t>Directory</t>
        </is>
      </c>
      <c r="F215" s="10" t="inlineStr">
        <is>
          <t>2026-09-16</t>
        </is>
      </c>
      <c r="G215" s="10" t="inlineStr">
        <is>
          <t>phone</t>
        </is>
      </c>
      <c r="H215" s="10" t="inlineStr">
        <is>
          <t>Requires Verification</t>
        </is>
      </c>
    </row>
    <row r="216">
      <c r="A216" s="5" t="inlineStr">
        <is>
          <t>WY-0050</t>
        </is>
      </c>
      <c r="B216" s="5" t="inlineStr">
        <is>
          <t>Anwarsons Newsagency</t>
        </is>
      </c>
      <c r="C216" s="5" t="inlineStr">
        <is>
          <t>Brighouse</t>
        </is>
      </c>
      <c r="D216" s="5" t="inlineStr">
        <is>
          <t>https://www.misterwhat.co.uk/company/540928-anwarsons-quality-tobacconists-brighouse</t>
        </is>
      </c>
      <c r="E216" s="5" t="inlineStr">
        <is>
          <t>Directory</t>
        </is>
      </c>
      <c r="F216" s="5" t="inlineStr">
        <is>
          <t>2026-09-16</t>
        </is>
      </c>
      <c r="G216" s="5" t="inlineStr">
        <is>
          <t>address, postcode, tobacconist offer</t>
        </is>
      </c>
      <c r="H216" s="5" t="inlineStr">
        <is>
          <t>Requires Verification</t>
        </is>
      </c>
    </row>
    <row r="217">
      <c r="A217" s="10" t="inlineStr">
        <is>
          <t>WY-0050</t>
        </is>
      </c>
      <c r="B217" s="10" t="inlineStr">
        <is>
          <t>Anwarsons Newsagency</t>
        </is>
      </c>
      <c r="C217" s="10" t="inlineStr">
        <is>
          <t>Brighouse</t>
        </is>
      </c>
      <c r="D217" s="10" t="inlineStr">
        <is>
          <t>https://b99.co.uk/tobacconist/brighouse/anwarsons/</t>
        </is>
      </c>
      <c r="E217" s="10" t="inlineStr">
        <is>
          <t>Directory</t>
        </is>
      </c>
      <c r="F217" s="10" t="inlineStr">
        <is>
          <t>2026-09-16</t>
        </is>
      </c>
      <c r="G217" s="10" t="inlineStr">
        <is>
          <t>listing confirmation</t>
        </is>
      </c>
      <c r="H217" s="10" t="inlineStr">
        <is>
          <t>Requires Verification</t>
        </is>
      </c>
    </row>
    <row r="218">
      <c r="A218" s="5" t="inlineStr">
        <is>
          <t>WY-0051</t>
        </is>
      </c>
      <c r="B218" s="5" t="inlineStr">
        <is>
          <t>Armley Ridge Road Convenience Store &amp; Off-Licence</t>
        </is>
      </c>
      <c r="C218" s="5" t="inlineStr">
        <is>
          <t>Leeds</t>
        </is>
      </c>
      <c r="D218" s="5" t="inlineStr">
        <is>
          <t>https://www.facebook.com/NoProblemArmley/</t>
        </is>
      </c>
      <c r="E218" s="5" t="inlineStr">
        <is>
          <t>Facebook</t>
        </is>
      </c>
      <c r="F218" s="5" t="inlineStr">
        <is>
          <t>2026-09-16</t>
        </is>
      </c>
      <c r="G218" s="5" t="inlineStr">
        <is>
          <t>name, area (via search results)</t>
        </is>
      </c>
      <c r="H218" s="5" t="inlineStr">
        <is>
          <t>Requires Verification</t>
        </is>
      </c>
    </row>
    <row r="219">
      <c r="A219" s="10" t="inlineStr">
        <is>
          <t>WY-0052</t>
        </is>
      </c>
      <c r="B219" s="10" t="inlineStr">
        <is>
          <t>Asia Foods</t>
        </is>
      </c>
      <c r="C219" s="10" t="inlineStr">
        <is>
          <t>Huddersfield</t>
        </is>
      </c>
      <c r="D219" s="10" t="inlineStr">
        <is>
          <t>https://asia-foods-huddersfield.edan.io/</t>
        </is>
      </c>
      <c r="E219" s="10" t="inlineStr">
        <is>
          <t>Directory</t>
        </is>
      </c>
      <c r="F219" s="10" t="inlineStr">
        <is>
          <t>2026-09-16</t>
        </is>
      </c>
      <c r="G219" s="10" t="inlineStr">
        <is>
          <t>address, phone</t>
        </is>
      </c>
      <c r="H219" s="10" t="inlineStr">
        <is>
          <t>Requires Verification</t>
        </is>
      </c>
    </row>
    <row r="220">
      <c r="A220" s="5" t="inlineStr">
        <is>
          <t>WY-0052</t>
        </is>
      </c>
      <c r="B220" s="5" t="inlineStr">
        <is>
          <t>Asia Foods</t>
        </is>
      </c>
      <c r="C220" s="5" t="inlineStr">
        <is>
          <t>Huddersfield</t>
        </is>
      </c>
      <c r="D220" s="5" t="inlineStr">
        <is>
          <t>https://www.yorkshire.com/huddersfield/shopping/grocers/asia-foods</t>
        </is>
      </c>
      <c r="E220" s="5" t="inlineStr">
        <is>
          <t>Directory</t>
        </is>
      </c>
      <c r="F220" s="5" t="inlineStr">
        <is>
          <t>2026-09-16</t>
        </is>
      </c>
      <c r="G220" s="5" t="inlineStr">
        <is>
          <t>cross-check of name and town</t>
        </is>
      </c>
      <c r="H220" s="5" t="inlineStr">
        <is>
          <t>Requires Verification</t>
        </is>
      </c>
    </row>
    <row r="221">
      <c r="A221" s="10" t="inlineStr">
        <is>
          <t>WY-0053</t>
        </is>
      </c>
      <c r="B221" s="10" t="inlineStr">
        <is>
          <t>Azeem's Vape Shop</t>
        </is>
      </c>
      <c r="C221" s="10" t="inlineStr">
        <is>
          <t>Keighley</t>
        </is>
      </c>
      <c r="D221" s="10" t="inlineStr">
        <is>
          <t>https://m.yelp.com/biz/azeems-vape-shop-keighley</t>
        </is>
      </c>
      <c r="E221" s="10" t="inlineStr">
        <is>
          <t>Directory</t>
        </is>
      </c>
      <c r="F221" s="10" t="inlineStr">
        <is>
          <t>2026-09-16</t>
        </is>
      </c>
      <c r="G221" s="10" t="inlineStr">
        <is>
          <t>address 130 Lawkholme Lane BD21 3LU, phone, hours (search snippet)</t>
        </is>
      </c>
      <c r="H221" s="10" t="inlineStr">
        <is>
          <t>Partially Verified</t>
        </is>
      </c>
    </row>
    <row r="222">
      <c r="A222" s="5" t="inlineStr">
        <is>
          <t>WY-0053</t>
        </is>
      </c>
      <c r="B222" s="5" t="inlineStr">
        <is>
          <t>Azeem's Vape Shop</t>
        </is>
      </c>
      <c r="C222" s="5" t="inlineStr">
        <is>
          <t>Keighley</t>
        </is>
      </c>
      <c r="D222" s="5" t="inlineStr">
        <is>
          <t>https://find-and-update.company-information.service.gov.uk/company/13574720</t>
        </is>
      </c>
      <c r="E222" s="5" t="inlineStr">
        <is>
          <t>Companies House</t>
        </is>
      </c>
      <c r="F222" s="5" t="inlineStr">
        <is>
          <t>2026-09-16</t>
        </is>
      </c>
      <c r="G222" s="5" t="inlineStr">
        <is>
          <t>company number, dissolved status (search snippet; direct fetch blocked)</t>
        </is>
      </c>
      <c r="H222" s="5" t="inlineStr">
        <is>
          <t>Partially Verified</t>
        </is>
      </c>
    </row>
    <row r="223">
      <c r="A223" s="10" t="inlineStr">
        <is>
          <t>WY-0053</t>
        </is>
      </c>
      <c r="B223" s="10" t="inlineStr">
        <is>
          <t>Azeem's Vape Shop</t>
        </is>
      </c>
      <c r="C223" s="10" t="inlineStr">
        <is>
          <t>Keighley</t>
        </is>
      </c>
      <c r="D223" s="10" t="inlineStr">
        <is>
          <t>https://azeemsvapeshop.co.uk/contact/</t>
        </is>
      </c>
      <c r="E223" s="10" t="inlineStr">
        <is>
          <t>Official Website</t>
        </is>
      </c>
      <c r="F223" s="10" t="inlineStr">
        <is>
          <t>2026-09-16</t>
        </is>
      </c>
      <c r="G223" s="10" t="inlineStr">
        <is>
          <t>official website existence (fetch blocked)</t>
        </is>
      </c>
      <c r="H223" s="10" t="inlineStr">
        <is>
          <t>Partially Verified</t>
        </is>
      </c>
    </row>
    <row r="224">
      <c r="A224" s="5" t="inlineStr">
        <is>
          <t>WY-0054</t>
        </is>
      </c>
      <c r="B224" s="5" t="inlineStr">
        <is>
          <t>Azeem's Vape Shop</t>
        </is>
      </c>
      <c r="C224" s="5" t="inlineStr">
        <is>
          <t>Todmorden</t>
        </is>
      </c>
      <c r="D224" s="5" t="inlineStr">
        <is>
          <t>https://tobaccoshops.co.uk/05958051/Azeem%E2%80%99s_vape_shop</t>
        </is>
      </c>
      <c r="E224" s="5" t="inlineStr">
        <is>
          <t>Directory</t>
        </is>
      </c>
      <c r="F224" s="5" t="inlineStr">
        <is>
          <t>2026-09-16</t>
        </is>
      </c>
      <c r="G224" s="5" t="inlineStr">
        <is>
          <t>name, town listing</t>
        </is>
      </c>
      <c r="H224" s="5" t="inlineStr">
        <is>
          <t>Requires Verification</t>
        </is>
      </c>
    </row>
    <row r="225">
      <c r="A225" s="10" t="inlineStr">
        <is>
          <t>WY-0054</t>
        </is>
      </c>
      <c r="B225" s="10" t="inlineStr">
        <is>
          <t>Azeem's Vape Shop</t>
        </is>
      </c>
      <c r="C225" s="10" t="inlineStr">
        <is>
          <t>Todmorden</t>
        </is>
      </c>
      <c r="D225" s="10" t="inlineStr">
        <is>
          <t>https://www.yelp.com/search?cflt=vapeshops&amp;find_loc=Todmorden%2C+West+Yorkshire</t>
        </is>
      </c>
      <c r="E225" s="10" t="inlineStr">
        <is>
          <t>Directory</t>
        </is>
      </c>
      <c r="F225" s="10" t="inlineStr">
        <is>
          <t>2026-09-16</t>
        </is>
      </c>
      <c r="G225" s="10" t="inlineStr">
        <is>
          <t>listed among Todmorden vape shops</t>
        </is>
      </c>
      <c r="H225" s="10" t="inlineStr">
        <is>
          <t>Requires Verification</t>
        </is>
      </c>
    </row>
    <row r="226">
      <c r="A226" s="5" t="inlineStr">
        <is>
          <t>WY-0055</t>
        </is>
      </c>
      <c r="B226" s="5" t="inlineStr">
        <is>
          <t>BGC Wholesale</t>
        </is>
      </c>
      <c r="C226" s="5" t="inlineStr">
        <is>
          <t>Bradford</t>
        </is>
      </c>
      <c r="D226" s="5" t="inlineStr">
        <is>
          <t>https://bradford.cylex-uk.co.uk/company/bgc-wholesale-ltd-27159538.html</t>
        </is>
      </c>
      <c r="E226" s="5" t="inlineStr">
        <is>
          <t>Directory</t>
        </is>
      </c>
      <c r="F226" s="5" t="inlineStr">
        <is>
          <t>2026-09-16</t>
        </is>
      </c>
      <c r="G226" s="5" t="inlineStr">
        <is>
          <t>address 12 Roydsdale Way, Euroway Estate BD4 6SE, phone (search snippet)</t>
        </is>
      </c>
      <c r="H226" s="5" t="inlineStr">
        <is>
          <t>Partially Verified</t>
        </is>
      </c>
    </row>
    <row r="227">
      <c r="A227" s="10" t="inlineStr">
        <is>
          <t>WY-0055</t>
        </is>
      </c>
      <c r="B227" s="10" t="inlineStr">
        <is>
          <t>BGC Wholesale</t>
        </is>
      </c>
      <c r="C227" s="10" t="inlineStr">
        <is>
          <t>Bradford</t>
        </is>
      </c>
      <c r="D227" s="10" t="inlineStr">
        <is>
          <t>https://find-and-update.company-information.service.gov.uk/company/12428420/officers</t>
        </is>
      </c>
      <c r="E227" s="10" t="inlineStr">
        <is>
          <t>Companies House</t>
        </is>
      </c>
      <c r="F227" s="10" t="inlineStr">
        <is>
          <t>2026-09-16</t>
        </is>
      </c>
      <c r="G227" s="10" t="inlineStr">
        <is>
          <t>company number 12428420 (search snippet; direct fetch blocked)</t>
        </is>
      </c>
      <c r="H227" s="10" t="inlineStr">
        <is>
          <t>Partially Verified</t>
        </is>
      </c>
    </row>
    <row r="228">
      <c r="A228" s="5" t="inlineStr">
        <is>
          <t>WY-0055</t>
        </is>
      </c>
      <c r="B228" s="5" t="inlineStr">
        <is>
          <t>BGC Wholesale</t>
        </is>
      </c>
      <c r="C228" s="5" t="inlineStr">
        <is>
          <t>Bradford</t>
        </is>
      </c>
      <c r="D228" s="5" t="inlineStr">
        <is>
          <t>https://tiger-feet-limited-previously-bgc-wholesale.wheree.com/</t>
        </is>
      </c>
      <c r="E228" s="5" t="inlineStr">
        <is>
          <t>Directory</t>
        </is>
      </c>
      <c r="F228" s="5" t="inlineStr">
        <is>
          <t>2026-09-16</t>
        </is>
      </c>
      <c r="G228" s="5" t="inlineStr">
        <is>
          <t>rebrand to Tiger Feet Limited, Wyke Bradford (search result)</t>
        </is>
      </c>
      <c r="H228" s="5" t="inlineStr">
        <is>
          <t>Partially Verified</t>
        </is>
      </c>
    </row>
    <row r="229">
      <c r="A229" s="10" t="inlineStr">
        <is>
          <t>WY-0056</t>
        </is>
      </c>
      <c r="B229" s="10" t="inlineStr">
        <is>
          <t>Baildon Green Convenience Store</t>
        </is>
      </c>
      <c r="C229" s="10" t="inlineStr">
        <is>
          <t>Shipley</t>
        </is>
      </c>
      <c r="D229" s="10" t="inlineStr">
        <is>
          <t>https://www.yorkshire.com/shipley/shopping/corner-shops/baildon-green-convenience-store</t>
        </is>
      </c>
      <c r="E229" s="10" t="inlineStr">
        <is>
          <t>Directory</t>
        </is>
      </c>
      <c r="F229" s="10" t="inlineStr">
        <is>
          <t>2026-09-16</t>
        </is>
      </c>
      <c r="G229" s="10" t="inlineStr">
        <is>
          <t>name, Cliffe Lane West Baildon location, hours (search snippet)</t>
        </is>
      </c>
      <c r="H229" s="10" t="inlineStr">
        <is>
          <t>Requires Verification</t>
        </is>
      </c>
    </row>
    <row r="230">
      <c r="A230" s="5" t="inlineStr">
        <is>
          <t>WY-0057</t>
        </is>
      </c>
      <c r="B230" s="5" t="inlineStr">
        <is>
          <t>Baildon Off Licence</t>
        </is>
      </c>
      <c r="C230" s="5" t="inlineStr">
        <is>
          <t>Shipley</t>
        </is>
      </c>
      <c r="D230" s="5" t="inlineStr">
        <is>
          <t>https://www.yorkshire.com/saltaire/shopping/off-license/baildon-off-licence</t>
        </is>
      </c>
      <c r="E230" s="5" t="inlineStr">
        <is>
          <t>Directory</t>
        </is>
      </c>
      <c r="F230" s="5" t="inlineStr">
        <is>
          <t>2026-09-16</t>
        </is>
      </c>
      <c r="G230" s="5" t="inlineStr">
        <is>
          <t>name, Coach Road Baildon location, hours (search snippet)</t>
        </is>
      </c>
      <c r="H230" s="5" t="inlineStr">
        <is>
          <t>Requires Verification</t>
        </is>
      </c>
    </row>
    <row r="231">
      <c r="A231" s="10" t="inlineStr">
        <is>
          <t>WY-0058</t>
        </is>
      </c>
      <c r="B231" s="10" t="inlineStr">
        <is>
          <t>Bar Market</t>
        </is>
      </c>
      <c r="C231" s="10" t="inlineStr">
        <is>
          <t>Halifax</t>
        </is>
      </c>
      <c r="D231" s="10" t="inlineStr">
        <is>
          <t>https://www.yorkshire.com/halifax/shopping/off-license/bar-market-ltd</t>
        </is>
      </c>
      <c r="E231" s="10" t="inlineStr">
        <is>
          <t>Directory</t>
        </is>
      </c>
      <c r="F231" s="10" t="inlineStr">
        <is>
          <t>2026-09-16</t>
        </is>
      </c>
      <c r="G231" s="10" t="inlineStr">
        <is>
          <t>name, street, description</t>
        </is>
      </c>
      <c r="H231" s="10" t="inlineStr">
        <is>
          <t>Requires Verification</t>
        </is>
      </c>
    </row>
    <row r="232">
      <c r="A232" s="5" t="inlineStr">
        <is>
          <t>UK-000237</t>
        </is>
      </c>
      <c r="B232" s="5" t="inlineStr">
        <is>
          <t>Bargains Cash &amp; Carry Ltd</t>
        </is>
      </c>
      <c r="C232" s="5" t="inlineStr">
        <is>
          <t>Sheffield</t>
        </is>
      </c>
      <c r="D232" s="5" t="inlineStr">
        <is>
          <t>https://sheffield.cylex-uk.co.uk/company/bargains-cash---carry-ltd-27419816.html</t>
        </is>
      </c>
      <c r="E232" s="5" t="inlineStr">
        <is>
          <t>Directory</t>
        </is>
      </c>
      <c r="F232" s="5" t="inlineStr">
        <is>
          <t>2026-09-16</t>
        </is>
      </c>
      <c r="G232" s="5" t="inlineStr">
        <is>
          <t>name, town, category</t>
        </is>
      </c>
      <c r="H232" s="5" t="inlineStr">
        <is>
          <t>Requires Verification</t>
        </is>
      </c>
    </row>
    <row r="233">
      <c r="A233" s="10" t="inlineStr">
        <is>
          <t>WY-0059</t>
        </is>
      </c>
      <c r="B233" s="10" t="inlineStr">
        <is>
          <t>Barry's Cash &amp; Carry</t>
        </is>
      </c>
      <c r="C233" s="10" t="inlineStr">
        <is>
          <t>Halifax</t>
        </is>
      </c>
      <c r="D233" s="10" t="inlineStr">
        <is>
          <t>https://cutpricebarrys.co.uk/barrys-cash-and-carry/</t>
        </is>
      </c>
      <c r="E233" s="10" t="inlineStr">
        <is>
          <t>Official Website</t>
        </is>
      </c>
      <c r="F233" s="10" t="inlineStr">
        <is>
          <t>2026-09-16</t>
        </is>
      </c>
      <c r="G233" s="10" t="inlineStr">
        <is>
          <t>business description (via search snippet; fetch blocked)</t>
        </is>
      </c>
      <c r="H233" s="10" t="inlineStr">
        <is>
          <t>Partially Verified</t>
        </is>
      </c>
    </row>
    <row r="234">
      <c r="A234" s="5" t="inlineStr">
        <is>
          <t>WY-0059</t>
        </is>
      </c>
      <c r="B234" s="5" t="inlineStr">
        <is>
          <t>Barry's Cash &amp; Carry</t>
        </is>
      </c>
      <c r="C234" s="5" t="inlineStr">
        <is>
          <t>Halifax</t>
        </is>
      </c>
      <c r="D234" s="5" t="inlineStr">
        <is>
          <t>https://find-and-update.company-information.service.gov.uk/company/11123434</t>
        </is>
      </c>
      <c r="E234" s="5" t="inlineStr">
        <is>
          <t>Companies House</t>
        </is>
      </c>
      <c r="F234" s="5" t="inlineStr">
        <is>
          <t>2026-09-16</t>
        </is>
      </c>
      <c r="G234" s="5" t="inlineStr">
        <is>
          <t>company number, status, incorporation date, registered office (via search snippet)</t>
        </is>
      </c>
      <c r="H234" s="5" t="inlineStr">
        <is>
          <t>Partially Verified</t>
        </is>
      </c>
    </row>
    <row r="235">
      <c r="A235" s="10" t="inlineStr">
        <is>
          <t>WY-0059</t>
        </is>
      </c>
      <c r="B235" s="10" t="inlineStr">
        <is>
          <t>Barry's Cash &amp; Carry</t>
        </is>
      </c>
      <c r="C235" s="10" t="inlineStr">
        <is>
          <t>Halifax</t>
        </is>
      </c>
      <c r="D235" s="10" t="inlineStr">
        <is>
          <t>https://www.bizseek.co.uk/barrys-cash-carry-01422-646060</t>
        </is>
      </c>
      <c r="E235" s="10" t="inlineStr">
        <is>
          <t>Directory</t>
        </is>
      </c>
      <c r="F235" s="10" t="inlineStr">
        <is>
          <t>2026-09-16</t>
        </is>
      </c>
      <c r="G235" s="10" t="inlineStr">
        <is>
          <t>phone</t>
        </is>
      </c>
      <c r="H235" s="10" t="inlineStr">
        <is>
          <t>Partially Verified</t>
        </is>
      </c>
    </row>
    <row r="236">
      <c r="A236" s="5" t="inlineStr">
        <is>
          <t>WY-0059</t>
        </is>
      </c>
      <c r="B236" s="5" t="inlineStr">
        <is>
          <t>Barry's Cash &amp; Carry</t>
        </is>
      </c>
      <c r="C236" s="5" t="inlineStr">
        <is>
          <t>Halifax</t>
        </is>
      </c>
      <c r="D236" s="5" t="inlineStr">
        <is>
          <t>https://www.chamberofcommerce.uk/business-directory/england/halifax/cash-and-carry-wholesaler/923587-barrys-cash-carry</t>
        </is>
      </c>
      <c r="E236" s="5" t="inlineStr">
        <is>
          <t>Directory</t>
        </is>
      </c>
      <c r="F236" s="5" t="inlineStr">
        <is>
          <t>2026-09-16</t>
        </is>
      </c>
      <c r="G236" s="5" t="inlineStr">
        <is>
          <t>address, email</t>
        </is>
      </c>
      <c r="H236" s="5" t="inlineStr">
        <is>
          <t>Partially Verified</t>
        </is>
      </c>
    </row>
    <row r="237">
      <c r="A237" s="10" t="inlineStr">
        <is>
          <t>WY-0059</t>
        </is>
      </c>
      <c r="B237" s="10" t="inlineStr">
        <is>
          <t>Barry's Cash &amp; Carry</t>
        </is>
      </c>
      <c r="C237" s="10" t="inlineStr">
        <is>
          <t>Halifax</t>
        </is>
      </c>
      <c r="D237" s="10" t="inlineStr">
        <is>
          <t>https://www.instagram.com/barryscashandcarry/</t>
        </is>
      </c>
      <c r="E237" s="10" t="inlineStr">
        <is>
          <t>Instagram</t>
        </is>
      </c>
      <c r="F237" s="10" t="inlineStr">
        <is>
          <t>2026-09-16</t>
        </is>
      </c>
      <c r="G237" s="10" t="inlineStr">
        <is>
          <t>social (facebook, instagram)</t>
        </is>
      </c>
      <c r="H237" s="10" t="inlineStr">
        <is>
          <t>Partially Verified</t>
        </is>
      </c>
    </row>
    <row r="238">
      <c r="A238" s="5" t="inlineStr">
        <is>
          <t>WY-0060</t>
        </is>
      </c>
      <c r="B238" s="5" t="inlineStr">
        <is>
          <t>Batley Bargain Centre</t>
        </is>
      </c>
      <c r="C238" s="5" t="inlineStr">
        <is>
          <t>Batley</t>
        </is>
      </c>
      <c r="D238" s="5" t="inlineStr">
        <is>
          <t>https://www.batleybargaincentre.com/</t>
        </is>
      </c>
      <c r="E238" s="5" t="inlineStr">
        <is>
          <t>Official Website</t>
        </is>
      </c>
      <c r="F238" s="5" t="inlineStr">
        <is>
          <t>2026-09-16</t>
        </is>
      </c>
      <c r="G238" s="5" t="inlineStr">
        <is>
          <t>business name, town, product mix (from search result snippet)</t>
        </is>
      </c>
      <c r="H238" s="5" t="inlineStr">
        <is>
          <t>Partially Verified</t>
        </is>
      </c>
    </row>
    <row r="239">
      <c r="A239" s="10" t="inlineStr">
        <is>
          <t>WY-0060</t>
        </is>
      </c>
      <c r="B239" s="10" t="inlineStr">
        <is>
          <t>Batley Bargain Centre</t>
        </is>
      </c>
      <c r="C239" s="10" t="inlineStr">
        <is>
          <t>Batley</t>
        </is>
      </c>
      <c r="D239" s="10" t="inlineStr">
        <is>
          <t>https://www.misterwhat.co.uk/company/550608-batley-bargain-centre-batley</t>
        </is>
      </c>
      <c r="E239" s="10" t="inlineStr">
        <is>
          <t>Directory</t>
        </is>
      </c>
      <c r="F239" s="10" t="inlineStr">
        <is>
          <t>2026-09-16</t>
        </is>
      </c>
      <c r="G239" s="10" t="inlineStr">
        <is>
          <t>postcode, phone, email, social (facebook, instagram)</t>
        </is>
      </c>
      <c r="H239" s="10" t="inlineStr">
        <is>
          <t>Partially Verified</t>
        </is>
      </c>
    </row>
    <row r="240">
      <c r="A240" s="5" t="inlineStr">
        <is>
          <t>WY-0061</t>
        </is>
      </c>
      <c r="B240" s="5" t="inlineStr">
        <is>
          <t>Beer Ritz</t>
        </is>
      </c>
      <c r="C240" s="5" t="inlineStr">
        <is>
          <t>Leeds</t>
        </is>
      </c>
      <c r="D240" s="5" t="inlineStr">
        <is>
          <t>https://www.yelp.co.uk/biz/beer-ritz-leeds</t>
        </is>
      </c>
      <c r="E240" s="5" t="inlineStr">
        <is>
          <t>Directory</t>
        </is>
      </c>
      <c r="F240" s="5" t="inlineStr">
        <is>
          <t>2026-09-16</t>
        </is>
      </c>
      <c r="G240" s="5" t="inlineStr">
        <is>
          <t>address, phone, hours (via search results)</t>
        </is>
      </c>
      <c r="H240" s="5" t="inlineStr">
        <is>
          <t>Partially Verified</t>
        </is>
      </c>
    </row>
    <row r="241">
      <c r="A241" s="10" t="inlineStr">
        <is>
          <t>WY-0061</t>
        </is>
      </c>
      <c r="B241" s="10" t="inlineStr">
        <is>
          <t>Beer Ritz</t>
        </is>
      </c>
      <c r="C241" s="10" t="inlineStr">
        <is>
          <t>Leeds</t>
        </is>
      </c>
      <c r="D241" s="10" t="inlineStr">
        <is>
          <t>https://www.beerritz.co.uk/contact-us</t>
        </is>
      </c>
      <c r="E241" s="10" t="inlineStr">
        <is>
          <t>Official Website</t>
        </is>
      </c>
      <c r="F241" s="10" t="inlineStr">
        <is>
          <t>2026-09-16</t>
        </is>
      </c>
      <c r="G241" s="10" t="inlineStr">
        <is>
          <t>website/contact page existence (via search results; direct fetch blocked by proxy)</t>
        </is>
      </c>
      <c r="H241" s="10" t="inlineStr">
        <is>
          <t>Partially Verified</t>
        </is>
      </c>
    </row>
    <row r="242">
      <c r="A242" s="5" t="inlineStr">
        <is>
          <t>WY-0061</t>
        </is>
      </c>
      <c r="B242" s="5" t="inlineStr">
        <is>
          <t>Beer Ritz</t>
        </is>
      </c>
      <c r="C242" s="5" t="inlineStr">
        <is>
          <t>Leeds</t>
        </is>
      </c>
      <c r="D242" s="5" t="inlineStr">
        <is>
          <t>https://www.headingleyleeds.com/offlicences</t>
        </is>
      </c>
      <c r="E242" s="5" t="inlineStr">
        <is>
          <t>Directory</t>
        </is>
      </c>
      <c r="F242" s="5" t="inlineStr">
        <is>
          <t>2026-09-16</t>
        </is>
      </c>
      <c r="G242" s="5" t="inlineStr">
        <is>
          <t>Headingley off-licence listing (via search results)</t>
        </is>
      </c>
      <c r="H242" s="5" t="inlineStr">
        <is>
          <t>Partially Verified</t>
        </is>
      </c>
    </row>
    <row r="243">
      <c r="A243" s="10" t="inlineStr">
        <is>
          <t>WY-0062</t>
        </is>
      </c>
      <c r="B243" s="10" t="inlineStr">
        <is>
          <t>Bespoke Shisha</t>
        </is>
      </c>
      <c r="C243" s="10" t="inlineStr">
        <is>
          <t>Dewsbury</t>
        </is>
      </c>
      <c r="D243" s="10" t="inlineStr">
        <is>
          <t>https://suitableforvegetarian.com/business/detail/bespoke-shisha</t>
        </is>
      </c>
      <c r="E243" s="10" t="inlineStr">
        <is>
          <t>Directory</t>
        </is>
      </c>
      <c r="F243" s="10" t="inlineStr">
        <is>
          <t>2026-09-16</t>
        </is>
      </c>
      <c r="G243" s="10" t="inlineStr">
        <is>
          <t>name, address, postcode</t>
        </is>
      </c>
      <c r="H243" s="10" t="inlineStr">
        <is>
          <t>Requires Verification</t>
        </is>
      </c>
    </row>
    <row r="244">
      <c r="A244" s="5" t="inlineStr">
        <is>
          <t>WY-0063</t>
        </is>
      </c>
      <c r="B244" s="5" t="inlineStr">
        <is>
          <t>Best Choice Wholesale</t>
        </is>
      </c>
      <c r="C244" s="5" t="inlineStr">
        <is>
          <t>Leeds</t>
        </is>
      </c>
      <c r="D244" s="5" t="inlineStr">
        <is>
          <t>https://www.bestchoicewholesale.co.uk/contact-us/</t>
        </is>
      </c>
      <c r="E244" s="5" t="inlineStr">
        <is>
          <t>Official Website</t>
        </is>
      </c>
      <c r="F244" s="5" t="inlineStr">
        <is>
          <t>2026-09-16</t>
        </is>
      </c>
      <c r="G244" s="5" t="inlineStr">
        <is>
          <t>address, phone, email (via search results)</t>
        </is>
      </c>
      <c r="H244" s="5" t="inlineStr">
        <is>
          <t>Requires Verification</t>
        </is>
      </c>
    </row>
    <row r="245">
      <c r="A245" s="10" t="inlineStr">
        <is>
          <t>WY-0063</t>
        </is>
      </c>
      <c r="B245" s="10" t="inlineStr">
        <is>
          <t>Best Choice Wholesale</t>
        </is>
      </c>
      <c r="C245" s="10" t="inlineStr">
        <is>
          <t>Leeds</t>
        </is>
      </c>
      <c r="D245" s="10" t="inlineStr">
        <is>
          <t>https://www.scoot.co.uk/England/West-Yorkshire/Leeds/Best-Choice-Wholesale-16993082.html</t>
        </is>
      </c>
      <c r="E245" s="10" t="inlineStr">
        <is>
          <t>Directory</t>
        </is>
      </c>
      <c r="F245" s="10" t="inlineStr">
        <is>
          <t>2026-09-16</t>
        </is>
      </c>
      <c r="G245" s="10" t="inlineStr">
        <is>
          <t>listing cross-check (via search results)</t>
        </is>
      </c>
      <c r="H245" s="10" t="inlineStr">
        <is>
          <t>Requires Verification</t>
        </is>
      </c>
    </row>
    <row r="246">
      <c r="A246" s="5" t="inlineStr">
        <is>
          <t>WY-0063</t>
        </is>
      </c>
      <c r="B246" s="5" t="inlineStr">
        <is>
          <t>Best Choice Wholesale</t>
        </is>
      </c>
      <c r="C246" s="5" t="inlineStr">
        <is>
          <t>Leeds</t>
        </is>
      </c>
      <c r="D246" s="5" t="inlineStr">
        <is>
          <t>https://www.yell.com/biz/best-choice-wholesale-leeds-9089835/</t>
        </is>
      </c>
      <c r="E246" s="5" t="inlineStr">
        <is>
          <t>Yell</t>
        </is>
      </c>
      <c r="F246" s="5" t="inlineStr">
        <is>
          <t>2026-09-16</t>
        </is>
      </c>
      <c r="G246" s="5" t="inlineStr">
        <is>
          <t>category, description (via search results)</t>
        </is>
      </c>
      <c r="H246" s="5" t="inlineStr">
        <is>
          <t>Requires Verification</t>
        </is>
      </c>
    </row>
    <row r="247">
      <c r="A247" s="10" t="inlineStr">
        <is>
          <t>UK-000238</t>
        </is>
      </c>
      <c r="B247" s="10" t="inlineStr">
        <is>
          <t>Beverley International Foods</t>
        </is>
      </c>
      <c r="C247" s="10" t="inlineStr">
        <is>
          <t>Kingston upon Hull</t>
        </is>
      </c>
      <c r="D247" s="10" t="inlineStr">
        <is>
          <t>https://www.yorkshire.com/hull/shopping/supermarkets/beverley-international-foods</t>
        </is>
      </c>
      <c r="E247" s="10" t="inlineStr">
        <is>
          <t>Directory</t>
        </is>
      </c>
      <c r="F247" s="10" t="inlineStr">
        <is>
          <t>2026-09-16</t>
        </is>
      </c>
      <c r="G247" s="10" t="inlineStr">
        <is>
          <t>name, Beverley Road location (via search results)</t>
        </is>
      </c>
      <c r="H247" s="10" t="inlineStr">
        <is>
          <t>Requires Verification</t>
        </is>
      </c>
    </row>
    <row r="248">
      <c r="A248" s="5" t="inlineStr">
        <is>
          <t>WY-0064</t>
        </is>
      </c>
      <c r="B248" s="5" t="inlineStr">
        <is>
          <t>Big D Vapes</t>
        </is>
      </c>
      <c r="C248" s="5" t="inlineStr">
        <is>
          <t>Slaithwaite</t>
        </is>
      </c>
      <c r="D248" s="5" t="inlineStr">
        <is>
          <t>https://slaithwaite.cylex-uk.co.uk/company/big-d-vapes-slaithwaite-27713821.html</t>
        </is>
      </c>
      <c r="E248" s="5" t="inlineStr">
        <is>
          <t>Directory</t>
        </is>
      </c>
      <c r="F248" s="5" t="inlineStr">
        <is>
          <t>2026-09-16</t>
        </is>
      </c>
      <c r="G248" s="5" t="inlineStr">
        <is>
          <t>address, phone</t>
        </is>
      </c>
      <c r="H248" s="5" t="inlineStr">
        <is>
          <t>Requires Verification</t>
        </is>
      </c>
    </row>
    <row r="249">
      <c r="A249" s="10" t="inlineStr">
        <is>
          <t>WY-0064</t>
        </is>
      </c>
      <c r="B249" s="10" t="inlineStr">
        <is>
          <t>Big D Vapes</t>
        </is>
      </c>
      <c r="C249" s="10" t="inlineStr">
        <is>
          <t>Slaithwaite</t>
        </is>
      </c>
      <c r="D249" s="10" t="inlineStr">
        <is>
          <t>https://www.facebook.com/BigDVapesSlaithwaite</t>
        </is>
      </c>
      <c r="E249" s="10" t="inlineStr">
        <is>
          <t>Facebook</t>
        </is>
      </c>
      <c r="F249" s="10" t="inlineStr">
        <is>
          <t>2026-09-16</t>
        </is>
      </c>
      <c r="G249" s="10" t="inlineStr">
        <is>
          <t>business Facebook page, service area</t>
        </is>
      </c>
      <c r="H249" s="10" t="inlineStr">
        <is>
          <t>Requires Verification</t>
        </is>
      </c>
    </row>
    <row r="250">
      <c r="A250" s="5" t="inlineStr">
        <is>
          <t>WY-0064</t>
        </is>
      </c>
      <c r="B250" s="5" t="inlineStr">
        <is>
          <t>Big D Vapes</t>
        </is>
      </c>
      <c r="C250" s="5" t="inlineStr">
        <is>
          <t>Slaithwaite</t>
        </is>
      </c>
      <c r="D250" s="5" t="inlineStr">
        <is>
          <t>https://find-and-update.company-information.service.gov.uk/company/12029439</t>
        </is>
      </c>
      <c r="E250" s="5" t="inlineStr">
        <is>
          <t>Companies House</t>
        </is>
      </c>
      <c r="F250" s="5" t="inlineStr">
        <is>
          <t>2026-09-16</t>
        </is>
      </c>
      <c r="G250" s="5" t="inlineStr">
        <is>
          <t>registered company name, company number</t>
        </is>
      </c>
      <c r="H250" s="5" t="inlineStr">
        <is>
          <t>Requires Verification</t>
        </is>
      </c>
    </row>
    <row r="251">
      <c r="A251" s="10" t="inlineStr">
        <is>
          <t>WY-0064</t>
        </is>
      </c>
      <c r="B251" s="10" t="inlineStr">
        <is>
          <t>Big D Vapes</t>
        </is>
      </c>
      <c r="C251" s="10" t="inlineStr">
        <is>
          <t>Slaithwaite</t>
        </is>
      </c>
      <c r="D251" s="10" t="inlineStr">
        <is>
          <t>https://ratings.food.gov.uk/business/1669648</t>
        </is>
      </c>
      <c r="E251" s="10" t="inlineStr">
        <is>
          <t>Other</t>
        </is>
      </c>
      <c r="F251" s="10" t="inlineStr">
        <is>
          <t>2026-09-16</t>
        </is>
      </c>
      <c r="G251" s="10" t="inlineStr">
        <is>
          <t>FSA-registered business in Huddersfield area (existence check)</t>
        </is>
      </c>
      <c r="H251" s="10" t="inlineStr">
        <is>
          <t>Requires Verification</t>
        </is>
      </c>
    </row>
    <row r="252">
      <c r="A252" s="5" t="inlineStr">
        <is>
          <t>WY-0065</t>
        </is>
      </c>
      <c r="B252" s="5" t="inlineStr">
        <is>
          <t>Bingley Vape Shop</t>
        </is>
      </c>
      <c r="C252" s="5" t="inlineStr">
        <is>
          <t>Bingley</t>
        </is>
      </c>
      <c r="D252" s="5" t="inlineStr">
        <is>
          <t>https://find-and-update.company-information.service.gov.uk/company/11788618</t>
        </is>
      </c>
      <c r="E252" s="5" t="inlineStr">
        <is>
          <t>Companies House</t>
        </is>
      </c>
      <c r="F252" s="5" t="inlineStr">
        <is>
          <t>2026-09-16</t>
        </is>
      </c>
      <c r="G252" s="5" t="inlineStr">
        <is>
          <t>company number, registered name and office 67-69 Main Street BD16 2JA (search snippet; direct fetch blocked)</t>
        </is>
      </c>
      <c r="H252" s="5" t="inlineStr">
        <is>
          <t>Partially Verified</t>
        </is>
      </c>
    </row>
    <row r="253">
      <c r="A253" s="10" t="inlineStr">
        <is>
          <t>WY-0065</t>
        </is>
      </c>
      <c r="B253" s="10" t="inlineStr">
        <is>
          <t>Bingley Vape Shop</t>
        </is>
      </c>
      <c r="C253" s="10" t="inlineStr">
        <is>
          <t>Bingley</t>
        </is>
      </c>
      <c r="D253" s="10" t="inlineStr">
        <is>
          <t>https://www.facebook.com/BingleyVapeShop/</t>
        </is>
      </c>
      <c r="E253" s="10" t="inlineStr">
        <is>
          <t>Facebook</t>
        </is>
      </c>
      <c r="F253" s="10" t="inlineStr">
        <is>
          <t>2026-09-16</t>
        </is>
      </c>
      <c r="G253" s="10" t="inlineStr">
        <is>
          <t>active page, product range, phone (search snippet)</t>
        </is>
      </c>
      <c r="H253" s="10" t="inlineStr">
        <is>
          <t>Partially Verified</t>
        </is>
      </c>
    </row>
    <row r="254">
      <c r="A254" s="5" t="inlineStr">
        <is>
          <t>WY-0066</t>
        </is>
      </c>
      <c r="B254" s="5" t="inlineStr">
        <is>
          <t>Boothtown Post Office &amp; Off-Licence</t>
        </is>
      </c>
      <c r="C254" s="5" t="inlineStr">
        <is>
          <t>Halifax</t>
        </is>
      </c>
      <c r="D254" s="5" t="inlineStr">
        <is>
          <t>https://findit.halifaxcourier.co.uk/search/halifax/off-licence</t>
        </is>
      </c>
      <c r="E254" s="5" t="inlineStr">
        <is>
          <t>Directory</t>
        </is>
      </c>
      <c r="F254" s="5" t="inlineStr">
        <is>
          <t>2026-09-16</t>
        </is>
      </c>
      <c r="G254" s="5" t="inlineStr">
        <is>
          <t>name, town, category</t>
        </is>
      </c>
      <c r="H254" s="5" t="inlineStr">
        <is>
          <t>Requires Verification</t>
        </is>
      </c>
    </row>
    <row r="255">
      <c r="A255" s="10" t="inlineStr">
        <is>
          <t>WY-0067</t>
        </is>
      </c>
      <c r="B255" s="10" t="inlineStr">
        <is>
          <t>Booze Express</t>
        </is>
      </c>
      <c r="C255" s="10" t="inlineStr">
        <is>
          <t>Halifax</t>
        </is>
      </c>
      <c r="D255" s="10" t="inlineStr">
        <is>
          <t>https://findit.halifaxcourier.co.uk/company/1155715525128193</t>
        </is>
      </c>
      <c r="E255" s="10" t="inlineStr">
        <is>
          <t>Directory</t>
        </is>
      </c>
      <c r="F255" s="10" t="inlineStr">
        <is>
          <t>2026-09-16</t>
        </is>
      </c>
      <c r="G255" s="10" t="inlineStr">
        <is>
          <t>address, postcode</t>
        </is>
      </c>
      <c r="H255" s="10" t="inlineStr">
        <is>
          <t>Partially Verified</t>
        </is>
      </c>
    </row>
    <row r="256">
      <c r="A256" s="5" t="inlineStr">
        <is>
          <t>WY-0067</t>
        </is>
      </c>
      <c r="B256" s="5" t="inlineStr">
        <is>
          <t>Booze Express</t>
        </is>
      </c>
      <c r="C256" s="5" t="inlineStr">
        <is>
          <t>Halifax</t>
        </is>
      </c>
      <c r="D256" s="5" t="inlineStr">
        <is>
          <t>https://www.yorkshire.com/halifax/shopping/off-license/booze-express</t>
        </is>
      </c>
      <c r="E256" s="5" t="inlineStr">
        <is>
          <t>Directory</t>
        </is>
      </c>
      <c r="F256" s="5" t="inlineStr">
        <is>
          <t>2026-09-16</t>
        </is>
      </c>
      <c r="G256" s="5" t="inlineStr">
        <is>
          <t>current listing</t>
        </is>
      </c>
      <c r="H256" s="5" t="inlineStr">
        <is>
          <t>Partially Verified</t>
        </is>
      </c>
    </row>
    <row r="257">
      <c r="A257" s="10" t="inlineStr">
        <is>
          <t>WY-0067</t>
        </is>
      </c>
      <c r="B257" s="10" t="inlineStr">
        <is>
          <t>Booze Express</t>
        </is>
      </c>
      <c r="C257" s="10" t="inlineStr">
        <is>
          <t>Halifax</t>
        </is>
      </c>
      <c r="D257" s="10" t="inlineStr">
        <is>
          <t>https://find-and-update.company-information.service.gov.uk/company/10264056</t>
        </is>
      </c>
      <c r="E257" s="10" t="inlineStr">
        <is>
          <t>Companies House</t>
        </is>
      </c>
      <c r="F257" s="10" t="inlineStr">
        <is>
          <t>2026-09-16</t>
        </is>
      </c>
      <c r="G257" s="10" t="inlineStr">
        <is>
          <t>former company dissolved 2019 (via search snippet)</t>
        </is>
      </c>
      <c r="H257" s="10" t="inlineStr">
        <is>
          <t>Partially Verified</t>
        </is>
      </c>
    </row>
    <row r="258">
      <c r="A258" s="5" t="inlineStr">
        <is>
          <t>WY-0068</t>
        </is>
      </c>
      <c r="B258" s="5" t="inlineStr">
        <is>
          <t>Bottle and Bean</t>
        </is>
      </c>
      <c r="C258" s="5" t="inlineStr">
        <is>
          <t>Wetherby</t>
        </is>
      </c>
      <c r="D258" s="5" t="inlineStr">
        <is>
          <t>https://www.yorkshire.com/wetherby/shopping/off-license/bottle-and-bean</t>
        </is>
      </c>
      <c r="E258" s="5" t="inlineStr">
        <is>
          <t>Directory</t>
        </is>
      </c>
      <c r="F258" s="5" t="inlineStr">
        <is>
          <t>2026-09-16</t>
        </is>
      </c>
      <c r="G258" s="5" t="inlineStr">
        <is>
          <t>name, town, description (via search results)</t>
        </is>
      </c>
      <c r="H258" s="5" t="inlineStr">
        <is>
          <t>Requires Verification</t>
        </is>
      </c>
    </row>
    <row r="259">
      <c r="A259" s="10" t="inlineStr">
        <is>
          <t>WY-0069</t>
        </is>
      </c>
      <c r="B259" s="10" t="inlineStr">
        <is>
          <t>Bridge Off Licence Convenience Store</t>
        </is>
      </c>
      <c r="C259" s="10" t="inlineStr">
        <is>
          <t>Sowerby Bridge</t>
        </is>
      </c>
      <c r="D259" s="10" t="inlineStr">
        <is>
          <t>https://www.yorkshire.com/sowerby-bridge/shopping/off-license/bridge-off-licence-convenience-store</t>
        </is>
      </c>
      <c r="E259" s="10" t="inlineStr">
        <is>
          <t>Directory</t>
        </is>
      </c>
      <c r="F259" s="10" t="inlineStr">
        <is>
          <t>2026-09-16</t>
        </is>
      </c>
      <c r="G259" s="10" t="inlineStr">
        <is>
          <t>name, town, category</t>
        </is>
      </c>
      <c r="H259" s="10" t="inlineStr">
        <is>
          <t>Requires Verification</t>
        </is>
      </c>
    </row>
    <row r="260">
      <c r="A260" s="5" t="inlineStr">
        <is>
          <t>WY-0070</t>
        </is>
      </c>
      <c r="B260" s="5" t="inlineStr">
        <is>
          <t>Brooks News</t>
        </is>
      </c>
      <c r="C260" s="5" t="inlineStr">
        <is>
          <t>Pudsey</t>
        </is>
      </c>
      <c r="D260" s="5" t="inlineStr">
        <is>
          <t>https://www.thomsonlocal.com/search/newsagents/morley-west-yorkshire</t>
        </is>
      </c>
      <c r="E260" s="5" t="inlineStr">
        <is>
          <t>Directory</t>
        </is>
      </c>
      <c r="F260" s="5" t="inlineStr">
        <is>
          <t>2026-09-16</t>
        </is>
      </c>
      <c r="G260" s="5" t="inlineStr">
        <is>
          <t>directory search context (via search results)</t>
        </is>
      </c>
      <c r="H260" s="5" t="inlineStr">
        <is>
          <t>Requires Verification</t>
        </is>
      </c>
    </row>
    <row r="261">
      <c r="A261" s="10" t="inlineStr">
        <is>
          <t>WY-0070</t>
        </is>
      </c>
      <c r="B261" s="10" t="inlineStr">
        <is>
          <t>Brooks News</t>
        </is>
      </c>
      <c r="C261" s="10" t="inlineStr">
        <is>
          <t>Pudsey</t>
        </is>
      </c>
      <c r="D261" s="10" t="inlineStr">
        <is>
          <t>https://findit.yorkshireeveningpost.co.uk/search/leeds/newsagent</t>
        </is>
      </c>
      <c r="E261" s="10" t="inlineStr">
        <is>
          <t>Directory</t>
        </is>
      </c>
      <c r="F261" s="10" t="inlineStr">
        <is>
          <t>2026-09-16</t>
        </is>
      </c>
      <c r="G261" s="10" t="inlineStr">
        <is>
          <t>name, address, phone (via search results)</t>
        </is>
      </c>
      <c r="H261" s="10" t="inlineStr">
        <is>
          <t>Requires Verification</t>
        </is>
      </c>
    </row>
    <row r="262">
      <c r="A262" s="5" t="inlineStr">
        <is>
          <t>WY-0071</t>
        </is>
      </c>
      <c r="B262" s="5" t="inlineStr">
        <is>
          <t>C Booth and Son</t>
        </is>
      </c>
      <c r="C262" s="5" t="inlineStr">
        <is>
          <t>Huddersfield</t>
        </is>
      </c>
      <c r="D262" s="5" t="inlineStr">
        <is>
          <t>https://www.examinerlive.co.uk/news/west-yorkshire-news/the-shop-sells-everything-c-9967957</t>
        </is>
      </c>
      <c r="E262" s="5" t="inlineStr">
        <is>
          <t>News / Trade Press</t>
        </is>
      </c>
      <c r="F262" s="5" t="inlineStr">
        <is>
          <t>2026-09-16</t>
        </is>
      </c>
      <c r="G262" s="5" t="inlineStr">
        <is>
          <t>business history, tobacco offer, Cross Church Street location</t>
        </is>
      </c>
      <c r="H262" s="5" t="inlineStr">
        <is>
          <t>Requires Verification</t>
        </is>
      </c>
    </row>
    <row r="263">
      <c r="A263" s="10" t="inlineStr">
        <is>
          <t>UK-000239</t>
        </is>
      </c>
      <c r="B263" s="10" t="inlineStr">
        <is>
          <t>CK Fast Food Suppliers</t>
        </is>
      </c>
      <c r="C263" s="10" t="inlineStr">
        <is>
          <t>Kingston upon Hull</t>
        </is>
      </c>
      <c r="D263" s="10" t="inlineStr">
        <is>
          <t>https://www.ckfastfoods.com/categories</t>
        </is>
      </c>
      <c r="E263" s="10" t="inlineStr">
        <is>
          <t>Official Website</t>
        </is>
      </c>
      <c r="F263" s="10" t="inlineStr">
        <is>
          <t>2026-09-16</t>
        </is>
      </c>
      <c r="G263" s="10" t="inlineStr">
        <is>
          <t>name, Northumberland Avenue address (via search results)</t>
        </is>
      </c>
      <c r="H263" s="10" t="inlineStr">
        <is>
          <t>Partially Verified</t>
        </is>
      </c>
    </row>
    <row r="264">
      <c r="A264" s="5" t="inlineStr">
        <is>
          <t>WY-0072</t>
        </is>
      </c>
      <c r="B264" s="5" t="inlineStr">
        <is>
          <t>Carlton Self Service</t>
        </is>
      </c>
      <c r="C264" s="5" t="inlineStr">
        <is>
          <t>Pontefract</t>
        </is>
      </c>
      <c r="D264" s="5" t="inlineStr">
        <is>
          <t>https://www.thomsonlocal.com/search/newsagents/wakefield-pontefract-castleford/carlton-self-service/1650013/01977780317</t>
        </is>
      </c>
      <c r="E264" s="5" t="inlineStr">
        <is>
          <t>Directory</t>
        </is>
      </c>
      <c r="F264" s="5" t="inlineStr">
        <is>
          <t>2026-09-16</t>
        </is>
      </c>
      <c r="G264" s="5" t="inlineStr">
        <is>
          <t>name, address 6-8 Swanhill Lane WF8 2SE, phone</t>
        </is>
      </c>
      <c r="H264" s="5" t="inlineStr">
        <is>
          <t>Requires Verification</t>
        </is>
      </c>
    </row>
    <row r="265">
      <c r="A265" s="10" t="inlineStr">
        <is>
          <t>WY-0073</t>
        </is>
      </c>
      <c r="B265" s="10" t="inlineStr">
        <is>
          <t>Caspar's Bottle Shop</t>
        </is>
      </c>
      <c r="C265" s="10" t="inlineStr">
        <is>
          <t>Leeds</t>
        </is>
      </c>
      <c r="D265" s="10" t="inlineStr">
        <is>
          <t>https://www.casparsbottleshop.com/</t>
        </is>
      </c>
      <c r="E265" s="10" t="inlineStr">
        <is>
          <t>Official Website</t>
        </is>
      </c>
      <c r="F265" s="10" t="inlineStr">
        <is>
          <t>2026-09-16</t>
        </is>
      </c>
      <c r="G265" s="10" t="inlineStr">
        <is>
          <t>name, address, hours (via search results; direct fetch blocked by proxy)</t>
        </is>
      </c>
      <c r="H265" s="10" t="inlineStr">
        <is>
          <t>Requires Verification</t>
        </is>
      </c>
    </row>
    <row r="266">
      <c r="A266" s="5" t="inlineStr">
        <is>
          <t>WY-0073</t>
        </is>
      </c>
      <c r="B266" s="5" t="inlineStr">
        <is>
          <t>Caspar's Bottle Shop</t>
        </is>
      </c>
      <c r="C266" s="5" t="inlineStr">
        <is>
          <t>Leeds</t>
        </is>
      </c>
      <c r="D266" s="5" t="inlineStr">
        <is>
          <t>https://leeds-list.com/lifestyle/the-best-bottle-shops-in-leeds/</t>
        </is>
      </c>
      <c r="E266" s="5" t="inlineStr">
        <is>
          <t>News / Trade Press</t>
        </is>
      </c>
      <c r="F266" s="5" t="inlineStr">
        <is>
          <t>2026-09-16</t>
        </is>
      </c>
      <c r="G266" s="5" t="inlineStr">
        <is>
          <t>listing among Leeds bottle shops (via search results)</t>
        </is>
      </c>
      <c r="H266" s="5" t="inlineStr">
        <is>
          <t>Requires Verification</t>
        </is>
      </c>
    </row>
    <row r="267">
      <c r="A267" s="10" t="inlineStr">
        <is>
          <t>WY-0073</t>
        </is>
      </c>
      <c r="B267" s="10" t="inlineStr">
        <is>
          <t>Caspar's Bottle Shop</t>
        </is>
      </c>
      <c r="C267" s="10" t="inlineStr">
        <is>
          <t>Leeds</t>
        </is>
      </c>
      <c r="D267" s="10" t="inlineStr">
        <is>
          <t>https://leeds.cylex-uk.co.uk/company/caspar's-bottle-shop-26660090.html</t>
        </is>
      </c>
      <c r="E267" s="10" t="inlineStr">
        <is>
          <t>Directory</t>
        </is>
      </c>
      <c r="F267" s="10" t="inlineStr">
        <is>
          <t>2026-09-16</t>
        </is>
      </c>
      <c r="G267" s="10" t="inlineStr">
        <is>
          <t>postcode, phone, social (facebook)</t>
        </is>
      </c>
      <c r="H267" s="10" t="inlineStr">
        <is>
          <t>Requires Verification</t>
        </is>
      </c>
    </row>
    <row r="268">
      <c r="A268" s="5" t="inlineStr">
        <is>
          <t>WY-0074</t>
        </is>
      </c>
      <c r="B268" s="5" t="inlineStr">
        <is>
          <t>Castleford Road Off Licence</t>
        </is>
      </c>
      <c r="C268" s="5" t="inlineStr">
        <is>
          <t>Normanton</t>
        </is>
      </c>
      <c r="D268" s="5" t="inlineStr">
        <is>
          <t>https://www.192.com/atoz/business/normanton-wf6/convenience-stores/castleford-road-off-licence-limited/bb1e65f2f01c9a4208fc92bb1c8fdf5da42be2ec/comp/</t>
        </is>
      </c>
      <c r="E268" s="5" t="inlineStr">
        <is>
          <t>Directory</t>
        </is>
      </c>
      <c r="F268" s="5" t="inlineStr">
        <is>
          <t>2026-09-16</t>
        </is>
      </c>
      <c r="G268" s="5" t="inlineStr">
        <is>
          <t>name, legal name, address, phone</t>
        </is>
      </c>
      <c r="H268" s="5" t="inlineStr">
        <is>
          <t>Requires Verification</t>
        </is>
      </c>
    </row>
    <row r="269">
      <c r="A269" s="10" t="inlineStr">
        <is>
          <t>WY-0074</t>
        </is>
      </c>
      <c r="B269" s="10" t="inlineStr">
        <is>
          <t>Castleford Road Off Licence</t>
        </is>
      </c>
      <c r="C269" s="10" t="inlineStr">
        <is>
          <t>Normanton</t>
        </is>
      </c>
      <c r="D269" s="10" t="inlineStr">
        <is>
          <t>https://ratings.food.gov.uk/business/283424</t>
        </is>
      </c>
      <c r="E269" s="10" t="inlineStr">
        <is>
          <t>Other</t>
        </is>
      </c>
      <c r="F269" s="10" t="inlineStr">
        <is>
          <t>2026-09-16</t>
        </is>
      </c>
      <c r="G269" s="10" t="inlineStr">
        <is>
          <t>FSA food hygiene listing 'Castleford Road Off Licence' (existence cross-check)</t>
        </is>
      </c>
      <c r="H269" s="10" t="inlineStr">
        <is>
          <t>Requires Verification</t>
        </is>
      </c>
    </row>
    <row r="270">
      <c r="A270" s="5" t="inlineStr">
        <is>
          <t>WY-0075</t>
        </is>
      </c>
      <c r="B270" s="5" t="inlineStr">
        <is>
          <t>Charlesworths</t>
        </is>
      </c>
      <c r="C270" s="5" t="inlineStr">
        <is>
          <t>Holmfirth</t>
        </is>
      </c>
      <c r="D270" s="5" t="inlineStr">
        <is>
          <t>https://myindex.co.uk/charlesworths.htm</t>
        </is>
      </c>
      <c r="E270" s="5" t="inlineStr">
        <is>
          <t>Directory</t>
        </is>
      </c>
      <c r="F270" s="5" t="inlineStr">
        <is>
          <t>2026-09-16</t>
        </is>
      </c>
      <c r="G270" s="5" t="inlineStr">
        <is>
          <t>address, phone</t>
        </is>
      </c>
      <c r="H270" s="5" t="inlineStr">
        <is>
          <t>Requires Verification</t>
        </is>
      </c>
    </row>
    <row r="271">
      <c r="A271" s="10" t="inlineStr">
        <is>
          <t>WY-0075</t>
        </is>
      </c>
      <c r="B271" s="10" t="inlineStr">
        <is>
          <t>Charlesworths</t>
        </is>
      </c>
      <c r="C271" s="10" t="inlineStr">
        <is>
          <t>Holmfirth</t>
        </is>
      </c>
      <c r="D271" s="10" t="inlineStr">
        <is>
          <t>https://citikey.uk/display/charlesworths-B1CQZ</t>
        </is>
      </c>
      <c r="E271" s="10" t="inlineStr">
        <is>
          <t>Directory</t>
        </is>
      </c>
      <c r="F271" s="10" t="inlineStr">
        <is>
          <t>2026-09-16</t>
        </is>
      </c>
      <c r="G271" s="10" t="inlineStr">
        <is>
          <t>cross-check address 27 Victoria Street HD9 7DF</t>
        </is>
      </c>
      <c r="H271" s="10" t="inlineStr">
        <is>
          <t>Requires Verification</t>
        </is>
      </c>
    </row>
    <row r="272">
      <c r="A272" s="5" t="inlineStr">
        <is>
          <t>WY-0075</t>
        </is>
      </c>
      <c r="B272" s="5" t="inlineStr">
        <is>
          <t>Charlesworths</t>
        </is>
      </c>
      <c r="C272" s="5" t="inlineStr">
        <is>
          <t>Holmfirth</t>
        </is>
      </c>
      <c r="D272" s="5" t="inlineStr">
        <is>
          <t>https://holmfirthhistory.org.uk/holmfirth-past-and-present/victoria-street/</t>
        </is>
      </c>
      <c r="E272" s="5" t="inlineStr">
        <is>
          <t>Other</t>
        </is>
      </c>
      <c r="F272" s="5" t="inlineStr">
        <is>
          <t>2026-09-16</t>
        </is>
      </c>
      <c r="G272" s="5" t="inlineStr">
        <is>
          <t>business history since 1891</t>
        </is>
      </c>
      <c r="H272" s="5" t="inlineStr">
        <is>
          <t>Requires Verification</t>
        </is>
      </c>
    </row>
    <row r="273">
      <c r="A273" s="10" t="inlineStr">
        <is>
          <t>UK-000240</t>
        </is>
      </c>
      <c r="B273" s="10" t="inlineStr">
        <is>
          <t>Chong Wah Oriental Supermarket</t>
        </is>
      </c>
      <c r="C273" s="10" t="inlineStr">
        <is>
          <t>Kingston upon Hull</t>
        </is>
      </c>
      <c r="D273" s="10" t="inlineStr">
        <is>
          <t>https://www.yorkshire.com/hull/shopping/supermarkets/chong-wah-oriental-supermarket</t>
        </is>
      </c>
      <c r="E273" s="10" t="inlineStr">
        <is>
          <t>Directory</t>
        </is>
      </c>
      <c r="F273" s="10" t="inlineStr">
        <is>
          <t>2026-09-16</t>
        </is>
      </c>
      <c r="G273" s="10" t="inlineStr">
        <is>
          <t>name, Union Street location (via search results)</t>
        </is>
      </c>
      <c r="H273" s="10" t="inlineStr">
        <is>
          <t>Requires Verification</t>
        </is>
      </c>
    </row>
    <row r="274">
      <c r="A274" s="5" t="inlineStr">
        <is>
          <t>UK-000241</t>
        </is>
      </c>
      <c r="B274" s="5" t="inlineStr">
        <is>
          <t>Cirrus Vape Hull</t>
        </is>
      </c>
      <c r="C274" s="5" t="inlineStr">
        <is>
          <t>Kingston upon Hull</t>
        </is>
      </c>
      <c r="D274" s="5" t="inlineStr">
        <is>
          <t>https://www.facebook.com/cirrusvapecirrusvape/</t>
        </is>
      </c>
      <c r="E274" s="5" t="inlineStr">
        <is>
          <t>Facebook</t>
        </is>
      </c>
      <c r="F274" s="5" t="inlineStr">
        <is>
          <t>2026-09-16</t>
        </is>
      </c>
      <c r="G274" s="5" t="inlineStr">
        <is>
          <t>name (via search results)</t>
        </is>
      </c>
      <c r="H274" s="5" t="inlineStr">
        <is>
          <t>Requires Verification</t>
        </is>
      </c>
    </row>
    <row r="275">
      <c r="A275" s="10" t="inlineStr">
        <is>
          <t>WY-0076</t>
        </is>
      </c>
      <c r="B275" s="10" t="inlineStr">
        <is>
          <t>Costcutter Wibsey</t>
        </is>
      </c>
      <c r="C275" s="10" t="inlineStr">
        <is>
          <t>Bradford</t>
        </is>
      </c>
      <c r="D275" s="10" t="inlineStr">
        <is>
          <t>https://store-locator.costcutter.co.uk/costcutter-b8ba71542351</t>
        </is>
      </c>
      <c r="E275" s="10" t="inlineStr">
        <is>
          <t>Other</t>
        </is>
      </c>
      <c r="F275" s="10" t="inlineStr">
        <is>
          <t>2026-09-16</t>
        </is>
      </c>
      <c r="G275" s="10" t="inlineStr">
        <is>
          <t>Costcutter store locator entry (search result)</t>
        </is>
      </c>
      <c r="H275" s="10" t="inlineStr">
        <is>
          <t>Requires Verification</t>
        </is>
      </c>
    </row>
    <row r="276">
      <c r="A276" s="5" t="inlineStr">
        <is>
          <t>WY-0076</t>
        </is>
      </c>
      <c r="B276" s="5" t="inlineStr">
        <is>
          <t>Costcutter Wibsey</t>
        </is>
      </c>
      <c r="C276" s="5" t="inlineStr">
        <is>
          <t>Bradford</t>
        </is>
      </c>
      <c r="D276" s="5" t="inlineStr">
        <is>
          <t>https://www.yorkshire.com/wibsey/shopping/corner-shops/costcutter-15</t>
        </is>
      </c>
      <c r="E276" s="5" t="inlineStr">
        <is>
          <t>Directory</t>
        </is>
      </c>
      <c r="F276" s="5" t="inlineStr">
        <is>
          <t>2026-09-16</t>
        </is>
      </c>
      <c r="G276" s="5" t="inlineStr">
        <is>
          <t>address 48 Holroyd Hill BD6 1PQ (search snippet)</t>
        </is>
      </c>
      <c r="H276" s="5" t="inlineStr">
        <is>
          <t>Requires Verification</t>
        </is>
      </c>
    </row>
    <row r="277">
      <c r="A277" s="10" t="inlineStr">
        <is>
          <t>WY-0076</t>
        </is>
      </c>
      <c r="B277" s="10" t="inlineStr">
        <is>
          <t>Costcutter Wibsey</t>
        </is>
      </c>
      <c r="C277" s="10" t="inlineStr">
        <is>
          <t>Bradford</t>
        </is>
      </c>
      <c r="D277" s="10" t="inlineStr">
        <is>
          <t>https://www.locaji.co.uk/west-yorkshire/bradford/costcutter/1616/</t>
        </is>
      </c>
      <c r="E277" s="10" t="inlineStr">
        <is>
          <t>Directory</t>
        </is>
      </c>
      <c r="F277" s="10" t="inlineStr">
        <is>
          <t>2026-09-16</t>
        </is>
      </c>
      <c r="G277" s="10" t="inlineStr">
        <is>
          <t>phone</t>
        </is>
      </c>
      <c r="H277" s="10" t="inlineStr">
        <is>
          <t>Requires Verification</t>
        </is>
      </c>
    </row>
    <row r="278">
      <c r="A278" s="5" t="inlineStr">
        <is>
          <t>WY-0077</t>
        </is>
      </c>
      <c r="B278" s="5" t="inlineStr">
        <is>
          <t>Cote Hill Filling Station</t>
        </is>
      </c>
      <c r="C278" s="5" t="inlineStr">
        <is>
          <t>Halifax</t>
        </is>
      </c>
      <c r="D278" s="5" t="inlineStr">
        <is>
          <t>https://fuelmap.co.uk/forecourt/4068/</t>
        </is>
      </c>
      <c r="E278" s="5" t="inlineStr">
        <is>
          <t>Directory</t>
        </is>
      </c>
      <c r="F278" s="5" t="inlineStr">
        <is>
          <t>2026-09-16</t>
        </is>
      </c>
      <c r="G278" s="5" t="inlineStr">
        <is>
          <t>address, postcode, fuel brands, hours</t>
        </is>
      </c>
      <c r="H278" s="5" t="inlineStr">
        <is>
          <t>Partially Verified</t>
        </is>
      </c>
    </row>
    <row r="279">
      <c r="A279" s="10" t="inlineStr">
        <is>
          <t>WY-0077</t>
        </is>
      </c>
      <c r="B279" s="10" t="inlineStr">
        <is>
          <t>Cote Hill Filling Station</t>
        </is>
      </c>
      <c r="C279" s="10" t="inlineStr">
        <is>
          <t>Halifax</t>
        </is>
      </c>
      <c r="D279" s="10" t="inlineStr">
        <is>
          <t>https://www.cotehillhalifax.co.uk/</t>
        </is>
      </c>
      <c r="E279" s="10" t="inlineStr">
        <is>
          <t>Official Website</t>
        </is>
      </c>
      <c r="F279" s="10" t="inlineStr">
        <is>
          <t>2026-09-16</t>
        </is>
      </c>
      <c r="G279" s="10" t="inlineStr">
        <is>
          <t>website URL seen in search results (fetch blocked)</t>
        </is>
      </c>
      <c r="H279" s="10" t="inlineStr">
        <is>
          <t>Partially Verified</t>
        </is>
      </c>
    </row>
    <row r="280">
      <c r="A280" s="5" t="inlineStr">
        <is>
          <t>WY-0077</t>
        </is>
      </c>
      <c r="B280" s="5" t="inlineStr">
        <is>
          <t>Cote Hill Filling Station</t>
        </is>
      </c>
      <c r="C280" s="5" t="inlineStr">
        <is>
          <t>Halifax</t>
        </is>
      </c>
      <c r="D280" s="5" t="inlineStr">
        <is>
          <t>https://www.yell.com/biz/cote-hill-filling-station-halifax-994009/</t>
        </is>
      </c>
      <c r="E280" s="5" t="inlineStr">
        <is>
          <t>Yell</t>
        </is>
      </c>
      <c r="F280" s="5" t="inlineStr">
        <is>
          <t>2026-09-16</t>
        </is>
      </c>
      <c r="G280" s="5" t="inlineStr">
        <is>
          <t>listing confirmation</t>
        </is>
      </c>
      <c r="H280" s="5" t="inlineStr">
        <is>
          <t>Partially Verified</t>
        </is>
      </c>
    </row>
    <row r="281">
      <c r="A281" s="10" t="inlineStr">
        <is>
          <t>UK-000242</t>
        </is>
      </c>
      <c r="B281" s="10" t="inlineStr">
        <is>
          <t>Cram Vape Doncaster</t>
        </is>
      </c>
      <c r="C281" s="10" t="inlineStr">
        <is>
          <t>Doncaster</t>
        </is>
      </c>
      <c r="D281" s="10" t="inlineStr">
        <is>
          <t>https://cram-vape.ueniweb.com/</t>
        </is>
      </c>
      <c r="E281" s="10" t="inlineStr">
        <is>
          <t>Directory</t>
        </is>
      </c>
      <c r="F281" s="10" t="inlineStr">
        <is>
          <t>2026-09-16</t>
        </is>
      </c>
      <c r="G281" s="10" t="inlineStr">
        <is>
          <t>name, product range, website</t>
        </is>
      </c>
      <c r="H281" s="10" t="inlineStr">
        <is>
          <t>Requires Verification</t>
        </is>
      </c>
    </row>
    <row r="282">
      <c r="A282" s="5" t="inlineStr">
        <is>
          <t>WY-0078</t>
        </is>
      </c>
      <c r="B282" s="5" t="inlineStr">
        <is>
          <t>Crazycloudzzz</t>
        </is>
      </c>
      <c r="C282" s="5" t="inlineStr">
        <is>
          <t>Halifax</t>
        </is>
      </c>
      <c r="D282" s="5" t="inlineStr">
        <is>
          <t>https://www.yell.com/s/tobacconists-halifax.html</t>
        </is>
      </c>
      <c r="E282" s="5" t="inlineStr">
        <is>
          <t>Yell</t>
        </is>
      </c>
      <c r="F282" s="5" t="inlineStr">
        <is>
          <t>2026-09-16</t>
        </is>
      </c>
      <c r="G282" s="5" t="inlineStr">
        <is>
          <t>name, address, postcode</t>
        </is>
      </c>
      <c r="H282" s="5" t="inlineStr">
        <is>
          <t>Requires Verification</t>
        </is>
      </c>
    </row>
    <row r="283">
      <c r="A283" s="10" t="inlineStr">
        <is>
          <t>WY-0079</t>
        </is>
      </c>
      <c r="B283" s="10" t="inlineStr">
        <is>
          <t>Crossroads Off Licence &amp; Newsagent</t>
        </is>
      </c>
      <c r="C283" s="10" t="inlineStr">
        <is>
          <t>Wakefield</t>
        </is>
      </c>
      <c r="D283" s="10" t="inlineStr">
        <is>
          <t>https://m.yelp.com/biz/crossroads-off-licence-and-newsagent-wakefield</t>
        </is>
      </c>
      <c r="E283" s="10" t="inlineStr">
        <is>
          <t>Directory</t>
        </is>
      </c>
      <c r="F283" s="10" t="inlineStr">
        <is>
          <t>2026-09-16</t>
        </is>
      </c>
      <c r="G283" s="10" t="inlineStr">
        <is>
          <t>name, address 19 Cross Road, Wakefield</t>
        </is>
      </c>
      <c r="H283" s="10" t="inlineStr">
        <is>
          <t>Requires Verification</t>
        </is>
      </c>
    </row>
    <row r="284">
      <c r="A284" s="5" t="inlineStr">
        <is>
          <t>WY-0080</t>
        </is>
      </c>
      <c r="B284" s="5" t="inlineStr">
        <is>
          <t>Dhillon's Newsagents</t>
        </is>
      </c>
      <c r="C284" s="5" t="inlineStr">
        <is>
          <t>Leeds</t>
        </is>
      </c>
      <c r="D284" s="5" t="inlineStr">
        <is>
          <t>https://findit.yorkshireeveningpost.co.uk/search/leeds/newsagent</t>
        </is>
      </c>
      <c r="E284" s="5" t="inlineStr">
        <is>
          <t>Directory</t>
        </is>
      </c>
      <c r="F284" s="5" t="inlineStr">
        <is>
          <t>2026-09-16</t>
        </is>
      </c>
      <c r="G284" s="5" t="inlineStr">
        <is>
          <t>name, address, phone (via search results)</t>
        </is>
      </c>
      <c r="H284" s="5" t="inlineStr">
        <is>
          <t>Requires Verification</t>
        </is>
      </c>
    </row>
    <row r="285">
      <c r="A285" s="10" t="inlineStr">
        <is>
          <t>WY-0080</t>
        </is>
      </c>
      <c r="B285" s="10" t="inlineStr">
        <is>
          <t>Dhillon's Newsagents</t>
        </is>
      </c>
      <c r="C285" s="10" t="inlineStr">
        <is>
          <t>Leeds</t>
        </is>
      </c>
      <c r="D285" s="10" t="inlineStr">
        <is>
          <t>https://www.192.com/atoz/business/leeds/newsagents/</t>
        </is>
      </c>
      <c r="E285" s="10" t="inlineStr">
        <is>
          <t>Directory</t>
        </is>
      </c>
      <c r="F285" s="10" t="inlineStr">
        <is>
          <t>2026-09-16</t>
        </is>
      </c>
      <c r="G285" s="10" t="inlineStr">
        <is>
          <t>listing cross-check (via search results)</t>
        </is>
      </c>
      <c r="H285" s="10" t="inlineStr">
        <is>
          <t>Requires Verification</t>
        </is>
      </c>
    </row>
    <row r="286">
      <c r="A286" s="5" t="inlineStr">
        <is>
          <t>WY-0081</t>
        </is>
      </c>
      <c r="B286" s="5" t="inlineStr">
        <is>
          <t>ECigarette Outlet</t>
        </is>
      </c>
      <c r="C286" s="5" t="inlineStr">
        <is>
          <t>Shipley</t>
        </is>
      </c>
      <c r="D286" s="5" t="inlineStr">
        <is>
          <t>https://ecigdirectory.co.uk/vape-shop/listing/ecigarette-outlet-shipley</t>
        </is>
      </c>
      <c r="E286" s="5" t="inlineStr">
        <is>
          <t>Directory</t>
        </is>
      </c>
      <c r="F286" s="5" t="inlineStr">
        <is>
          <t>2026-09-16</t>
        </is>
      </c>
      <c r="G286" s="5" t="inlineStr">
        <is>
          <t>name, address 27 Kirkgate, Shipley BD18 3QW (search snippet)</t>
        </is>
      </c>
      <c r="H286" s="5" t="inlineStr">
        <is>
          <t>Requires Verification</t>
        </is>
      </c>
    </row>
    <row r="287">
      <c r="A287" s="10" t="inlineStr">
        <is>
          <t>WY-0082</t>
        </is>
      </c>
      <c r="B287" s="10" t="inlineStr">
        <is>
          <t>Ecig N Vape</t>
        </is>
      </c>
      <c r="C287" s="10" t="inlineStr">
        <is>
          <t>Heckmondwike</t>
        </is>
      </c>
      <c r="D287" s="10" t="inlineStr">
        <is>
          <t>https://heckmondwike.cylex-uk.co.uk/company/ecig-n-vape-26993170.html</t>
        </is>
      </c>
      <c r="E287" s="10" t="inlineStr">
        <is>
          <t>Directory</t>
        </is>
      </c>
      <c r="F287" s="10" t="inlineStr">
        <is>
          <t>2026-09-16</t>
        </is>
      </c>
      <c r="G287" s="10" t="inlineStr">
        <is>
          <t>address, phone</t>
        </is>
      </c>
      <c r="H287" s="10" t="inlineStr">
        <is>
          <t>Requires Verification</t>
        </is>
      </c>
    </row>
    <row r="288">
      <c r="A288" s="5" t="inlineStr">
        <is>
          <t>WY-0082</t>
        </is>
      </c>
      <c r="B288" s="5" t="inlineStr">
        <is>
          <t>Ecig N Vape</t>
        </is>
      </c>
      <c r="C288" s="5" t="inlineStr">
        <is>
          <t>Heckmondwike</t>
        </is>
      </c>
      <c r="D288" s="5" t="inlineStr">
        <is>
          <t>https://www.tripadvisor.co.uk/Attraction_Review-g3207739-d28330163-Reviews-Ecig_N_Vape-Heckmondwike_Dewsbury_West_Yorkshire_England.html</t>
        </is>
      </c>
      <c r="E288" s="5" t="inlineStr">
        <is>
          <t>Directory</t>
        </is>
      </c>
      <c r="F288" s="5" t="inlineStr">
        <is>
          <t>2026-09-16</t>
        </is>
      </c>
      <c r="G288" s="5" t="inlineStr">
        <is>
          <t>cross-check of name and town</t>
        </is>
      </c>
      <c r="H288" s="5" t="inlineStr">
        <is>
          <t>Requires Verification</t>
        </is>
      </c>
    </row>
    <row r="289">
      <c r="A289" s="10" t="inlineStr">
        <is>
          <t>UK-000243</t>
        </is>
      </c>
      <c r="B289" s="10" t="inlineStr">
        <is>
          <t>Ecigbox Northallerton</t>
        </is>
      </c>
      <c r="C289" s="10" t="inlineStr">
        <is>
          <t>Northallerton</t>
        </is>
      </c>
      <c r="D289" s="10" t="inlineStr">
        <is>
          <t>https://ecigdirectory.co.uk/vape-shop/listing/ecigbox-northallerton</t>
        </is>
      </c>
      <c r="E289" s="10" t="inlineStr">
        <is>
          <t>Directory</t>
        </is>
      </c>
      <c r="F289" s="10" t="inlineStr">
        <is>
          <t>2026-09-16</t>
        </is>
      </c>
      <c r="G289" s="10" t="inlineStr">
        <is>
          <t>name, address, postcode</t>
        </is>
      </c>
      <c r="H289" s="10" t="inlineStr">
        <is>
          <t>Requires Verification</t>
        </is>
      </c>
    </row>
    <row r="290">
      <c r="A290" s="5" t="inlineStr">
        <is>
          <t>UK-000243</t>
        </is>
      </c>
      <c r="B290" s="5" t="inlineStr">
        <is>
          <t>Ecigbox Northallerton</t>
        </is>
      </c>
      <c r="C290" s="5" t="inlineStr">
        <is>
          <t>Northallerton</t>
        </is>
      </c>
      <c r="D290" s="5" t="inlineStr">
        <is>
          <t>https://www.facebook.com/Ecigboxnorthallerton/</t>
        </is>
      </c>
      <c r="E290" s="5" t="inlineStr">
        <is>
          <t>Facebook</t>
        </is>
      </c>
      <c r="F290" s="5" t="inlineStr">
        <is>
          <t>2026-09-16</t>
        </is>
      </c>
      <c r="G290" s="5" t="inlineStr">
        <is>
          <t>social page</t>
        </is>
      </c>
      <c r="H290" s="5" t="inlineStr">
        <is>
          <t>Requires Verification</t>
        </is>
      </c>
    </row>
    <row r="291">
      <c r="A291" s="10" t="inlineStr">
        <is>
          <t>WY-0083</t>
        </is>
      </c>
      <c r="B291" s="10" t="inlineStr">
        <is>
          <t>Emporium Vapez</t>
        </is>
      </c>
      <c r="C291" s="10" t="inlineStr">
        <is>
          <t>Dewsbury</t>
        </is>
      </c>
      <c r="D291" s="10" t="inlineStr">
        <is>
          <t>https://www.yelp.com/biz/emporium-vapez-dewsbury</t>
        </is>
      </c>
      <c r="E291" s="10" t="inlineStr">
        <is>
          <t>Directory</t>
        </is>
      </c>
      <c r="F291" s="10" t="inlineStr">
        <is>
          <t>2026-09-16</t>
        </is>
      </c>
      <c r="G291" s="10" t="inlineStr">
        <is>
          <t>address, postcode, phone, opening hours</t>
        </is>
      </c>
      <c r="H291" s="10" t="inlineStr">
        <is>
          <t>Requires Verification</t>
        </is>
      </c>
    </row>
    <row r="292">
      <c r="A292" s="5" t="inlineStr">
        <is>
          <t>UK-000244</t>
        </is>
      </c>
      <c r="B292" s="5" t="inlineStr">
        <is>
          <t>Fantasy Vapez</t>
        </is>
      </c>
      <c r="C292" s="5" t="inlineStr">
        <is>
          <t>Cleethorpes</t>
        </is>
      </c>
      <c r="D292" s="5" t="inlineStr">
        <is>
          <t>https://cleethorpes.cylex-uk.co.uk/vape-shops/</t>
        </is>
      </c>
      <c r="E292" s="5" t="inlineStr">
        <is>
          <t>Directory</t>
        </is>
      </c>
      <c r="F292" s="5" t="inlineStr">
        <is>
          <t>2026-09-16</t>
        </is>
      </c>
      <c r="G292" s="5" t="inlineStr">
        <is>
          <t>name, 4 Market Street address (via search results)</t>
        </is>
      </c>
      <c r="H292" s="5" t="inlineStr">
        <is>
          <t>Requires Verification</t>
        </is>
      </c>
    </row>
    <row r="293">
      <c r="A293" s="10" t="inlineStr">
        <is>
          <t>WY-0084</t>
        </is>
      </c>
      <c r="B293" s="10" t="inlineStr">
        <is>
          <t>FilFoods Filipino Store</t>
        </is>
      </c>
      <c r="C293" s="10" t="inlineStr">
        <is>
          <t>Leeds</t>
        </is>
      </c>
      <c r="D293" s="10" t="inlineStr">
        <is>
          <t>https://directory.grimsbytelegraph.co.uk/company/437837462491136</t>
        </is>
      </c>
      <c r="E293" s="10" t="inlineStr">
        <is>
          <t>Directory</t>
        </is>
      </c>
      <c r="F293" s="10" t="inlineStr">
        <is>
          <t>2026-09-16</t>
        </is>
      </c>
      <c r="G293" s="10" t="inlineStr">
        <is>
          <t>name, address, postcode (via search results)</t>
        </is>
      </c>
      <c r="H293" s="10" t="inlineStr">
        <is>
          <t>Requires Verification</t>
        </is>
      </c>
    </row>
    <row r="294">
      <c r="A294" s="5" t="inlineStr">
        <is>
          <t>WY-0084</t>
        </is>
      </c>
      <c r="B294" s="5" t="inlineStr">
        <is>
          <t>FilFoods Filipino Store</t>
        </is>
      </c>
      <c r="C294" s="5" t="inlineStr">
        <is>
          <t>Leeds</t>
        </is>
      </c>
      <c r="D294" s="5" t="inlineStr">
        <is>
          <t>https://www.yell.com/biz/filfoods-filipino-store-leeds-8549203/</t>
        </is>
      </c>
      <c r="E294" s="5" t="inlineStr">
        <is>
          <t>Yell</t>
        </is>
      </c>
      <c r="F294" s="5" t="inlineStr">
        <is>
          <t>2026-09-16</t>
        </is>
      </c>
      <c r="G294" s="5" t="inlineStr">
        <is>
          <t>phone, listing cross-check (via search results)</t>
        </is>
      </c>
      <c r="H294" s="5" t="inlineStr">
        <is>
          <t>Requires Verification</t>
        </is>
      </c>
    </row>
    <row r="295">
      <c r="A295" s="10" t="inlineStr">
        <is>
          <t>WY-0084</t>
        </is>
      </c>
      <c r="B295" s="10" t="inlineStr">
        <is>
          <t>FilFoods Filipino Store</t>
        </is>
      </c>
      <c r="C295" s="10" t="inlineStr">
        <is>
          <t>Leeds</t>
        </is>
      </c>
      <c r="D295" s="10" t="inlineStr">
        <is>
          <t>https://palengke.co.uk/shop/filfoods-filipino-store/</t>
        </is>
      </c>
      <c r="E295" s="10" t="inlineStr">
        <is>
          <t>Directory</t>
        </is>
      </c>
      <c r="F295" s="10" t="inlineStr">
        <is>
          <t>2026-09-16</t>
        </is>
      </c>
      <c r="G295" s="10" t="inlineStr">
        <is>
          <t>description, product range (via search results)</t>
        </is>
      </c>
      <c r="H295" s="10" t="inlineStr">
        <is>
          <t>Requires Verification</t>
        </is>
      </c>
    </row>
    <row r="296">
      <c r="A296" s="5" t="inlineStr">
        <is>
          <t>UK-000245</t>
        </is>
      </c>
      <c r="B296" s="5" t="inlineStr">
        <is>
          <t>First Choice Off Licence</t>
        </is>
      </c>
      <c r="C296" s="5" t="inlineStr">
        <is>
          <t>Sheffield</t>
        </is>
      </c>
      <c r="D296" s="5" t="inlineStr">
        <is>
          <t>https://www.facebook.com/FirstChoiceOffLicence/</t>
        </is>
      </c>
      <c r="E296" s="5" t="inlineStr">
        <is>
          <t>Facebook</t>
        </is>
      </c>
      <c r="F296" s="5" t="inlineStr">
        <is>
          <t>2026-09-16</t>
        </is>
      </c>
      <c r="G296" s="5" t="inlineStr">
        <is>
          <t>name, product range</t>
        </is>
      </c>
      <c r="H296" s="5" t="inlineStr">
        <is>
          <t>Requires Verification</t>
        </is>
      </c>
    </row>
    <row r="297">
      <c r="A297" s="10" t="inlineStr">
        <is>
          <t>UK-000246</t>
        </is>
      </c>
      <c r="B297" s="10" t="inlineStr">
        <is>
          <t>Flemingate News</t>
        </is>
      </c>
      <c r="C297" s="10" t="inlineStr">
        <is>
          <t>Beverley</t>
        </is>
      </c>
      <c r="D297" s="10" t="inlineStr">
        <is>
          <t>https://beverley.cylex-uk.co.uk/newsagents/</t>
        </is>
      </c>
      <c r="E297" s="10" t="inlineStr">
        <is>
          <t>Directory</t>
        </is>
      </c>
      <c r="F297" s="10" t="inlineStr">
        <is>
          <t>2026-09-16</t>
        </is>
      </c>
      <c r="G297" s="10" t="inlineStr">
        <is>
          <t>name, 83 Flemingate address, postcode, phone (via search results)</t>
        </is>
      </c>
      <c r="H297" s="10" t="inlineStr">
        <is>
          <t>Requires Verification</t>
        </is>
      </c>
    </row>
    <row r="298">
      <c r="A298" s="5" t="inlineStr">
        <is>
          <t>UK-000247</t>
        </is>
      </c>
      <c r="B298" s="5" t="inlineStr">
        <is>
          <t>FonFix &amp; Vape Shop</t>
        </is>
      </c>
      <c r="C298" s="5" t="inlineStr">
        <is>
          <t>Grimsby</t>
        </is>
      </c>
      <c r="D298" s="5" t="inlineStr">
        <is>
          <t>https://www.facebook.com/p/FonFix-Vape-Shop-100067673350065/</t>
        </is>
      </c>
      <c r="E298" s="5" t="inlineStr">
        <is>
          <t>Facebook</t>
        </is>
      </c>
      <c r="F298" s="5" t="inlineStr">
        <is>
          <t>2026-09-16</t>
        </is>
      </c>
      <c r="G298" s="5" t="inlineStr">
        <is>
          <t>name, Freeman Street address, phone (via search results)</t>
        </is>
      </c>
      <c r="H298" s="5" t="inlineStr">
        <is>
          <t>Requires Verification</t>
        </is>
      </c>
    </row>
    <row r="299">
      <c r="A299" s="10" t="inlineStr">
        <is>
          <t>UK-000248</t>
        </is>
      </c>
      <c r="B299" s="10" t="inlineStr">
        <is>
          <t>Food Plus (Babylon Supermarket 7)</t>
        </is>
      </c>
      <c r="C299" s="10" t="inlineStr">
        <is>
          <t>Kingston upon Hull</t>
        </is>
      </c>
      <c r="D299" s="10" t="inlineStr">
        <is>
          <t>https://www.foodplus.eu/en/products/food-plus-babylon-supermarket-7-hu3-4bj-kingston-upon-hull</t>
        </is>
      </c>
      <c r="E299" s="10" t="inlineStr">
        <is>
          <t>Directory</t>
        </is>
      </c>
      <c r="F299" s="10" t="inlineStr">
        <is>
          <t>2026-09-16</t>
        </is>
      </c>
      <c r="G299" s="10" t="inlineStr">
        <is>
          <t>name, HU3 4BJ postcode (via search results)</t>
        </is>
      </c>
      <c r="H299" s="10" t="inlineStr">
        <is>
          <t>Requires Verification</t>
        </is>
      </c>
    </row>
    <row r="300">
      <c r="A300" s="5" t="inlineStr">
        <is>
          <t>WY-0085</t>
        </is>
      </c>
      <c r="B300" s="5" t="inlineStr">
        <is>
          <t>Forever Vapes</t>
        </is>
      </c>
      <c r="C300" s="5" t="inlineStr">
        <is>
          <t>Heckmondwike</t>
        </is>
      </c>
      <c r="D300" s="5" t="inlineStr">
        <is>
          <t>https://vapeshops.puffingbird.com/yorkshire-and-the-humber/heckmondwike/forever-vapes-ltd</t>
        </is>
      </c>
      <c r="E300" s="5" t="inlineStr">
        <is>
          <t>Directory</t>
        </is>
      </c>
      <c r="F300" s="5" t="inlineStr">
        <is>
          <t>2026-09-16</t>
        </is>
      </c>
      <c r="G300" s="5" t="inlineStr">
        <is>
          <t>name, street, postcode</t>
        </is>
      </c>
      <c r="H300" s="5" t="inlineStr">
        <is>
          <t>Requires Verification</t>
        </is>
      </c>
    </row>
    <row r="301">
      <c r="A301" s="10" t="inlineStr">
        <is>
          <t>WY-0086</t>
        </is>
      </c>
      <c r="B301" s="10" t="inlineStr">
        <is>
          <t>FreshCo Wakefield</t>
        </is>
      </c>
      <c r="C301" s="10" t="inlineStr">
        <is>
          <t>Wakefield</t>
        </is>
      </c>
      <c r="D301" s="10" t="inlineStr">
        <is>
          <t>https://www.wakefieldexpress.co.uk/lifestyle/food-and-drink/world-foods-new-supermarket-in-wakefield-caters-for-european-asian-african-and-middle-eastern-tastes-3999877</t>
        </is>
      </c>
      <c r="E301" s="10" t="inlineStr">
        <is>
          <t>News / Trade Press</t>
        </is>
      </c>
      <c r="F301" s="10" t="inlineStr">
        <is>
          <t>2026-09-16</t>
        </is>
      </c>
      <c r="G301" s="10" t="inlineStr">
        <is>
          <t>opening story, owner name, product range</t>
        </is>
      </c>
      <c r="H301" s="10" t="inlineStr">
        <is>
          <t>Partially Verified</t>
        </is>
      </c>
    </row>
    <row r="302">
      <c r="A302" s="5" t="inlineStr">
        <is>
          <t>WY-0086</t>
        </is>
      </c>
      <c r="B302" s="5" t="inlineStr">
        <is>
          <t>FreshCo Wakefield</t>
        </is>
      </c>
      <c r="C302" s="5" t="inlineStr">
        <is>
          <t>Wakefield</t>
        </is>
      </c>
      <c r="D302" s="5" t="inlineStr">
        <is>
          <t>https://find-and-update.company-information.service.gov.uk/company/13746881</t>
        </is>
      </c>
      <c r="E302" s="5" t="inlineStr">
        <is>
          <t>Companies House</t>
        </is>
      </c>
      <c r="F302" s="5" t="inlineStr">
        <is>
          <t>2026-09-16</t>
        </is>
      </c>
      <c r="G302" s="5" t="inlineStr">
        <is>
          <t>company number, incorporation 16 Nov 2021 (via search snippet)</t>
        </is>
      </c>
      <c r="H302" s="5" t="inlineStr">
        <is>
          <t>Partially Verified</t>
        </is>
      </c>
    </row>
    <row r="303">
      <c r="A303" s="10" t="inlineStr">
        <is>
          <t>WY-0086</t>
        </is>
      </c>
      <c r="B303" s="10" t="inlineStr">
        <is>
          <t>FreshCo Wakefield</t>
        </is>
      </c>
      <c r="C303" s="10" t="inlineStr">
        <is>
          <t>Wakefield</t>
        </is>
      </c>
      <c r="D303" s="10" t="inlineStr">
        <is>
          <t>https://wakefield.cylex-uk.co.uk/company/freshco-supermarket-28819652.html</t>
        </is>
      </c>
      <c r="E303" s="10" t="inlineStr">
        <is>
          <t>Directory</t>
        </is>
      </c>
      <c r="F303" s="10" t="inlineStr">
        <is>
          <t>2026-09-16</t>
        </is>
      </c>
      <c r="G303" s="10" t="inlineStr">
        <is>
          <t>address St Andrews Hall, Upper Warrengate WF1 4JZ (via search snippet)</t>
        </is>
      </c>
      <c r="H303" s="10" t="inlineStr">
        <is>
          <t>Partially Verified</t>
        </is>
      </c>
    </row>
    <row r="304">
      <c r="A304" s="5" t="inlineStr">
        <is>
          <t>WY-0086</t>
        </is>
      </c>
      <c r="B304" s="5" t="inlineStr">
        <is>
          <t>FreshCo Wakefield</t>
        </is>
      </c>
      <c r="C304" s="5" t="inlineStr">
        <is>
          <t>Wakefield</t>
        </is>
      </c>
      <c r="D304" s="5" t="inlineStr">
        <is>
          <t>https://freshcowakefield.com/restaurant</t>
        </is>
      </c>
      <c r="E304" s="5" t="inlineStr">
        <is>
          <t>Official Website</t>
        </is>
      </c>
      <c r="F304" s="5" t="inlineStr">
        <is>
          <t>2026-09-16</t>
        </is>
      </c>
      <c r="G304" s="5" t="inlineStr">
        <is>
          <t>website existence, restaurant/cafe arm (seen in search results; fetch blocked)</t>
        </is>
      </c>
      <c r="H304" s="5" t="inlineStr">
        <is>
          <t>Partially Verified</t>
        </is>
      </c>
    </row>
    <row r="305">
      <c r="A305" s="10" t="inlineStr">
        <is>
          <t>UK-000249</t>
        </is>
      </c>
      <c r="B305" s="10" t="inlineStr">
        <is>
          <t>Freshco Cash &amp; Carry</t>
        </is>
      </c>
      <c r="C305" s="10" t="inlineStr">
        <is>
          <t>Kingston upon Hull</t>
        </is>
      </c>
      <c r="D305" s="10" t="inlineStr">
        <is>
          <t>https://freshcocashcarry.co.uk/</t>
        </is>
      </c>
      <c r="E305" s="10" t="inlineStr">
        <is>
          <t>Official Website</t>
        </is>
      </c>
      <c r="F305" s="10" t="inlineStr">
        <is>
          <t>2026-09-16</t>
        </is>
      </c>
      <c r="G305" s="10" t="inlineStr">
        <is>
          <t>name, product range, delivery (via search results)</t>
        </is>
      </c>
      <c r="H305" s="10" t="inlineStr">
        <is>
          <t>Verified (website + Companies House)</t>
        </is>
      </c>
    </row>
    <row r="306">
      <c r="A306" s="5" t="inlineStr">
        <is>
          <t>UK-000249</t>
        </is>
      </c>
      <c r="B306" s="5" t="inlineStr">
        <is>
          <t>Freshco Cash &amp; Carry</t>
        </is>
      </c>
      <c r="C306" s="5" t="inlineStr">
        <is>
          <t>Kingston upon Hull</t>
        </is>
      </c>
      <c r="D306" s="5" t="inlineStr">
        <is>
          <t>https://find-and-update.company-information.service.gov.uk/company/14599796</t>
        </is>
      </c>
      <c r="E306" s="5" t="inlineStr">
        <is>
          <t>Companies House</t>
        </is>
      </c>
      <c r="F306" s="5" t="inlineStr">
        <is>
          <t>2026-09-16</t>
        </is>
      </c>
      <c r="G306" s="5" t="inlineStr">
        <is>
          <t>company number, status, incorporation date</t>
        </is>
      </c>
      <c r="H306" s="5" t="inlineStr">
        <is>
          <t>Verified (website + Companies House)</t>
        </is>
      </c>
    </row>
    <row r="307">
      <c r="A307" s="10" t="inlineStr">
        <is>
          <t>UK-000249</t>
        </is>
      </c>
      <c r="B307" s="10" t="inlineStr">
        <is>
          <t>Freshco Cash &amp; Carry</t>
        </is>
      </c>
      <c r="C307" s="10" t="inlineStr">
        <is>
          <t>Kingston upon Hull</t>
        </is>
      </c>
      <c r="D307" s="10" t="inlineStr">
        <is>
          <t>https://ratings.food.gov.uk/business/193206/freshco-cash-carry-kingston-upon-hull/online-ratings</t>
        </is>
      </c>
      <c r="E307" s="10" t="inlineStr">
        <is>
          <t>Directory</t>
        </is>
      </c>
      <c r="F307" s="10" t="inlineStr">
        <is>
          <t>2026-09-16</t>
        </is>
      </c>
      <c r="G307" s="10" t="inlineStr">
        <is>
          <t>Spring Bank address, postcode (via search results)</t>
        </is>
      </c>
      <c r="H307" s="10" t="inlineStr">
        <is>
          <t>Verified (website + Companies House)</t>
        </is>
      </c>
    </row>
    <row r="308">
      <c r="A308" s="5" t="inlineStr">
        <is>
          <t>WY-0087</t>
        </is>
      </c>
      <c r="B308" s="5" t="inlineStr">
        <is>
          <t>Freshco UK</t>
        </is>
      </c>
      <c r="C308" s="5" t="inlineStr">
        <is>
          <t>Bradford</t>
        </is>
      </c>
      <c r="D308" s="5" t="inlineStr">
        <is>
          <t>https://freshco-uk-ltd.wheree.com/</t>
        </is>
      </c>
      <c r="E308" s="5" t="inlineStr">
        <is>
          <t>Directory</t>
        </is>
      </c>
      <c r="F308" s="5" t="inlineStr">
        <is>
          <t>2026-09-16</t>
        </is>
      </c>
      <c r="G308" s="5" t="inlineStr">
        <is>
          <t>name, Manningham Bradford location, halal offer (search result)</t>
        </is>
      </c>
      <c r="H308" s="5" t="inlineStr">
        <is>
          <t>Requires Verification</t>
        </is>
      </c>
    </row>
    <row r="309">
      <c r="A309" s="10" t="inlineStr">
        <is>
          <t>UK-000250</t>
        </is>
      </c>
      <c r="B309" s="10" t="inlineStr">
        <is>
          <t>GDF Vape Shop</t>
        </is>
      </c>
      <c r="C309" s="10" t="inlineStr">
        <is>
          <t>Doncaster</t>
        </is>
      </c>
      <c r="D309" s="10" t="inlineStr">
        <is>
          <t>https://gdf-vape-shop.ueniweb.com/</t>
        </is>
      </c>
      <c r="E309" s="10" t="inlineStr">
        <is>
          <t>Directory</t>
        </is>
      </c>
      <c r="F309" s="10" t="inlineStr">
        <is>
          <t>2026-09-16</t>
        </is>
      </c>
      <c r="G309" s="10" t="inlineStr">
        <is>
          <t>name, product range, website</t>
        </is>
      </c>
      <c r="H309" s="10" t="inlineStr">
        <is>
          <t>Requires Verification</t>
        </is>
      </c>
    </row>
    <row r="310">
      <c r="A310" s="5" t="inlineStr">
        <is>
          <t>WY-0088</t>
        </is>
      </c>
      <c r="B310" s="5" t="inlineStr">
        <is>
          <t>Get Plugged</t>
        </is>
      </c>
      <c r="C310" s="5" t="inlineStr">
        <is>
          <t>Huddersfield</t>
        </is>
      </c>
      <c r="D310" s="5" t="inlineStr">
        <is>
          <t>https://www.yorkshire.com/huddersfield/shopping/vape-shops/get-plugged</t>
        </is>
      </c>
      <c r="E310" s="5" t="inlineStr">
        <is>
          <t>Directory</t>
        </is>
      </c>
      <c r="F310" s="5" t="inlineStr">
        <is>
          <t>2026-09-16</t>
        </is>
      </c>
      <c r="G310" s="5" t="inlineStr">
        <is>
          <t>Bradford Road location, opening hours</t>
        </is>
      </c>
      <c r="H310" s="5" t="inlineStr">
        <is>
          <t>Requires Verification</t>
        </is>
      </c>
    </row>
    <row r="311">
      <c r="A311" s="10" t="inlineStr">
        <is>
          <t>WY-0088</t>
        </is>
      </c>
      <c r="B311" s="10" t="inlineStr">
        <is>
          <t>Get Plugged</t>
        </is>
      </c>
      <c r="C311" s="10" t="inlineStr">
        <is>
          <t>Huddersfield</t>
        </is>
      </c>
      <c r="D311" s="10" t="inlineStr">
        <is>
          <t>https://getplugged.co.uk/</t>
        </is>
      </c>
      <c r="E311" s="10" t="inlineStr">
        <is>
          <t>Official Website</t>
        </is>
      </c>
      <c r="F311" s="10" t="inlineStr">
        <is>
          <t>2026-09-16</t>
        </is>
      </c>
      <c r="G311" s="10" t="inlineStr">
        <is>
          <t>website URL seen in search results (fetch blocked)</t>
        </is>
      </c>
      <c r="H311" s="10" t="inlineStr">
        <is>
          <t>Requires Verification</t>
        </is>
      </c>
    </row>
    <row r="312">
      <c r="A312" s="5" t="inlineStr">
        <is>
          <t>WY-0088</t>
        </is>
      </c>
      <c r="B312" s="5" t="inlineStr">
        <is>
          <t>Get Plugged</t>
        </is>
      </c>
      <c r="C312" s="5" t="inlineStr">
        <is>
          <t>Huddersfield</t>
        </is>
      </c>
      <c r="D312" s="5" t="inlineStr">
        <is>
          <t>https://www.facebook.com/p/Get-Plugged-61559687350403/</t>
        </is>
      </c>
      <c r="E312" s="5" t="inlineStr">
        <is>
          <t>Facebook</t>
        </is>
      </c>
      <c r="F312" s="5" t="inlineStr">
        <is>
          <t>2026-09-16</t>
        </is>
      </c>
      <c r="G312" s="5" t="inlineStr">
        <is>
          <t>social (facebook)</t>
        </is>
      </c>
      <c r="H312" s="5" t="inlineStr">
        <is>
          <t>Requires Verification</t>
        </is>
      </c>
    </row>
    <row r="313">
      <c r="A313" s="10" t="inlineStr">
        <is>
          <t>WY-0089</t>
        </is>
      </c>
      <c r="B313" s="10" t="inlineStr">
        <is>
          <t>Gibraltar Mini Mart</t>
        </is>
      </c>
      <c r="C313" s="10" t="inlineStr">
        <is>
          <t>Halifax</t>
        </is>
      </c>
      <c r="D313" s="10" t="inlineStr">
        <is>
          <t>https://www.yorkshire.com/halifax/shopping/corner-shops/gibraltar-mini-mart-vapemobile-shop</t>
        </is>
      </c>
      <c r="E313" s="10" t="inlineStr">
        <is>
          <t>Directory</t>
        </is>
      </c>
      <c r="F313" s="10" t="inlineStr">
        <is>
          <t>2026-09-16</t>
        </is>
      </c>
      <c r="G313" s="10" t="inlineStr">
        <is>
          <t>name, address, product mix</t>
        </is>
      </c>
      <c r="H313" s="10" t="inlineStr">
        <is>
          <t>Requires Verification</t>
        </is>
      </c>
    </row>
    <row r="314">
      <c r="A314" s="5" t="inlineStr">
        <is>
          <t>WY-0090</t>
        </is>
      </c>
      <c r="B314" s="5" t="inlineStr">
        <is>
          <t>Global Mini Market 2</t>
        </is>
      </c>
      <c r="C314" s="5" t="inlineStr">
        <is>
          <t>Bingley</t>
        </is>
      </c>
      <c r="D314" s="5" t="inlineStr">
        <is>
          <t>https://www.24houralcohol.co.uk/bradford-off-licences</t>
        </is>
      </c>
      <c r="E314" s="5" t="inlineStr">
        <is>
          <t>Directory</t>
        </is>
      </c>
      <c r="F314" s="5" t="inlineStr">
        <is>
          <t>2026-09-16</t>
        </is>
      </c>
      <c r="G314" s="5" t="inlineStr">
        <is>
          <t>name, address 83-85 Main Street BD16 2JA, 24/7 opening (search snippet)</t>
        </is>
      </c>
      <c r="H314" s="5" t="inlineStr">
        <is>
          <t>Requires Verification</t>
        </is>
      </c>
    </row>
    <row r="315">
      <c r="A315" s="10" t="inlineStr">
        <is>
          <t>WY-0091</t>
        </is>
      </c>
      <c r="B315" s="10" t="inlineStr">
        <is>
          <t>Greengates Service Station</t>
        </is>
      </c>
      <c r="C315" s="10" t="inlineStr">
        <is>
          <t>Bradford</t>
        </is>
      </c>
      <c r="D315" s="10" t="inlineStr">
        <is>
          <t>https://fuelmap.co.uk/forecourt/612/</t>
        </is>
      </c>
      <c r="E315" s="10" t="inlineStr">
        <is>
          <t>Directory</t>
        </is>
      </c>
      <c r="F315" s="10" t="inlineStr">
        <is>
          <t>2026-09-16</t>
        </is>
      </c>
      <c r="G315" s="10" t="inlineStr">
        <is>
          <t>name and Bradford (Greengates) location (search result)</t>
        </is>
      </c>
      <c r="H315" s="10" t="inlineStr">
        <is>
          <t>Requires Verification</t>
        </is>
      </c>
    </row>
    <row r="316">
      <c r="A316" s="5" t="inlineStr">
        <is>
          <t>UK-000251</t>
        </is>
      </c>
      <c r="B316" s="5" t="inlineStr">
        <is>
          <t>Greenroof Service Station</t>
        </is>
      </c>
      <c r="C316" s="5" t="inlineStr">
        <is>
          <t>Goole</t>
        </is>
      </c>
      <c r="D316" s="5" t="inlineStr">
        <is>
          <t>https://directory.hinckleytimes.net/search/scunthorpe/petrol-service-stations</t>
        </is>
      </c>
      <c r="E316" s="5" t="inlineStr">
        <is>
          <t>Directory</t>
        </is>
      </c>
      <c r="F316" s="5" t="inlineStr">
        <is>
          <t>2026-09-16</t>
        </is>
      </c>
      <c r="G316" s="5" t="inlineStr">
        <is>
          <t>name, Swinefleet/Goole location (via search results)</t>
        </is>
      </c>
      <c r="H316" s="5" t="inlineStr">
        <is>
          <t>Requires Verification</t>
        </is>
      </c>
    </row>
    <row r="317">
      <c r="A317" s="10" t="inlineStr">
        <is>
          <t>UK-000252</t>
        </is>
      </c>
      <c r="B317" s="10" t="inlineStr">
        <is>
          <t>Grimsby Toys and Vapes</t>
        </is>
      </c>
      <c r="C317" s="10" t="inlineStr">
        <is>
          <t>Grimsby</t>
        </is>
      </c>
      <c r="D317" s="10" t="inlineStr">
        <is>
          <t>https://grimsbylocal.co.uk/businesses/grimsby-toys-and-vapes</t>
        </is>
      </c>
      <c r="E317" s="10" t="inlineStr">
        <is>
          <t>Directory</t>
        </is>
      </c>
      <c r="F317" s="10" t="inlineStr">
        <is>
          <t>2026-09-16</t>
        </is>
      </c>
      <c r="G317" s="10" t="inlineStr">
        <is>
          <t>name, Pasture Street address, phone (via search results)</t>
        </is>
      </c>
      <c r="H317" s="10" t="inlineStr">
        <is>
          <t>Requires Verification</t>
        </is>
      </c>
    </row>
    <row r="318">
      <c r="A318" s="5" t="inlineStr">
        <is>
          <t>WY-0092</t>
        </is>
      </c>
      <c r="B318" s="5" t="inlineStr">
        <is>
          <t>Gulf Service Station Featherstone</t>
        </is>
      </c>
      <c r="C318" s="5" t="inlineStr">
        <is>
          <t>Featherstone</t>
        </is>
      </c>
      <c r="D318" s="5" t="inlineStr">
        <is>
          <t>https://www.yorkshire.com/featherstone/services/petrol-stations</t>
        </is>
      </c>
      <c r="E318" s="5" t="inlineStr">
        <is>
          <t>Directory</t>
        </is>
      </c>
      <c r="F318" s="5" t="inlineStr">
        <is>
          <t>2026-09-16</t>
        </is>
      </c>
      <c r="G318" s="5" t="inlineStr">
        <is>
          <t>Gulf Service station, Wakefield Rd, Featherstone WF7 5BP</t>
        </is>
      </c>
      <c r="H318" s="5" t="inlineStr">
        <is>
          <t>Requires Verification</t>
        </is>
      </c>
    </row>
    <row r="319">
      <c r="A319" s="10" t="inlineStr">
        <is>
          <t>WY-0093</t>
        </is>
      </c>
      <c r="B319" s="10" t="inlineStr">
        <is>
          <t>Halal Sweets Company</t>
        </is>
      </c>
      <c r="C319" s="10" t="inlineStr">
        <is>
          <t>Bradford</t>
        </is>
      </c>
      <c r="D319" s="10" t="inlineStr">
        <is>
          <t>https://halalsweets.company.site/</t>
        </is>
      </c>
      <c r="E319" s="10" t="inlineStr">
        <is>
          <t>Official Website</t>
        </is>
      </c>
      <c r="F319" s="10" t="inlineStr">
        <is>
          <t>2026-09-16</t>
        </is>
      </c>
      <c r="G319" s="10" t="inlineStr">
        <is>
          <t>business description, Bradford base (search snippet; fetch blocked)</t>
        </is>
      </c>
      <c r="H319" s="10" t="inlineStr">
        <is>
          <t>Partially Verified</t>
        </is>
      </c>
    </row>
    <row r="320">
      <c r="A320" s="5" t="inlineStr">
        <is>
          <t>WY-0093</t>
        </is>
      </c>
      <c r="B320" s="5" t="inlineStr">
        <is>
          <t>Halal Sweets Company</t>
        </is>
      </c>
      <c r="C320" s="5" t="inlineStr">
        <is>
          <t>Bradford</t>
        </is>
      </c>
      <c r="D320" s="5" t="inlineStr">
        <is>
          <t>https://halalsweetscompany.co.uk/</t>
        </is>
      </c>
      <c r="E320" s="5" t="inlineStr">
        <is>
          <t>Official Website</t>
        </is>
      </c>
      <c r="F320" s="5" t="inlineStr">
        <is>
          <t>2026-09-16</t>
        </is>
      </c>
      <c r="G320" s="5" t="inlineStr">
        <is>
          <t>email, social (facebook)</t>
        </is>
      </c>
      <c r="H320" s="5" t="inlineStr">
        <is>
          <t>Partially Verified</t>
        </is>
      </c>
    </row>
    <row r="321">
      <c r="A321" s="10" t="inlineStr">
        <is>
          <t>WY-0094</t>
        </is>
      </c>
      <c r="B321" s="10" t="inlineStr">
        <is>
          <t>Hang Sing Hong</t>
        </is>
      </c>
      <c r="C321" s="10" t="inlineStr">
        <is>
          <t>Leeds</t>
        </is>
      </c>
      <c r="D321" s="10" t="inlineStr">
        <is>
          <t>https://www.yelp.co.uk/biz/hang-sing-hong-leeds-2</t>
        </is>
      </c>
      <c r="E321" s="10" t="inlineStr">
        <is>
          <t>Directory</t>
        </is>
      </c>
      <c r="F321" s="10" t="inlineStr">
        <is>
          <t>2026-09-16</t>
        </is>
      </c>
      <c r="G321" s="10" t="inlineStr">
        <is>
          <t>name, address, postcode (via search results)</t>
        </is>
      </c>
      <c r="H321" s="10" t="inlineStr">
        <is>
          <t>Requires Verification</t>
        </is>
      </c>
    </row>
    <row r="322">
      <c r="A322" s="5" t="inlineStr">
        <is>
          <t>UK-000253</t>
        </is>
      </c>
      <c r="B322" s="5" t="inlineStr">
        <is>
          <t>Haris&amp;Co Supermarket</t>
        </is>
      </c>
      <c r="C322" s="5" t="inlineStr">
        <is>
          <t>Kingston upon Hull</t>
        </is>
      </c>
      <c r="D322" s="5" t="inlineStr">
        <is>
          <t>https://harrisandco.vercel.app/</t>
        </is>
      </c>
      <c r="E322" s="5" t="inlineStr">
        <is>
          <t>Official Website</t>
        </is>
      </c>
      <c r="F322" s="5" t="inlineStr">
        <is>
          <t>2026-09-16</t>
        </is>
      </c>
      <c r="G322" s="5" t="inlineStr">
        <is>
          <t>name, Terry Street address, postcode (via search results)</t>
        </is>
      </c>
      <c r="H322" s="5" t="inlineStr">
        <is>
          <t>Partially Verified</t>
        </is>
      </c>
    </row>
    <row r="323">
      <c r="A323" s="10" t="inlineStr">
        <is>
          <t>UK-000254</t>
        </is>
      </c>
      <c r="B323" s="10" t="inlineStr">
        <is>
          <t>Harvest Service Station</t>
        </is>
      </c>
      <c r="C323" s="10" t="inlineStr">
        <is>
          <t>Doncaster</t>
        </is>
      </c>
      <c r="D323" s="10" t="inlineStr">
        <is>
          <t>https://www.mylocalservices.co.uk/24+Hr+Petrol+Stations-Doncaster.html</t>
        </is>
      </c>
      <c r="E323" s="10" t="inlineStr">
        <is>
          <t>Directory</t>
        </is>
      </c>
      <c r="F323" s="10" t="inlineStr">
        <is>
          <t>2026-09-16</t>
        </is>
      </c>
      <c r="G323" s="10" t="inlineStr">
        <is>
          <t>name, street, category</t>
        </is>
      </c>
      <c r="H323" s="10" t="inlineStr">
        <is>
          <t>Requires Verification</t>
        </is>
      </c>
    </row>
    <row r="324">
      <c r="A324" s="5" t="inlineStr">
        <is>
          <t>WY-0095</t>
        </is>
      </c>
      <c r="B324" s="5" t="inlineStr">
        <is>
          <t>Heckmondwike Service Station</t>
        </is>
      </c>
      <c r="C324" s="5" t="inlineStr">
        <is>
          <t>Heckmondwike</t>
        </is>
      </c>
      <c r="D324" s="5" t="inlineStr">
        <is>
          <t>https://map.bp.com/en-US/GB/gas-station/dewsbury/heckmondwike-service-station/137101962</t>
        </is>
      </c>
      <c r="E324" s="5" t="inlineStr">
        <is>
          <t>Directory</t>
        </is>
      </c>
      <c r="F324" s="5" t="inlineStr">
        <is>
          <t>2026-09-16</t>
        </is>
      </c>
      <c r="G324" s="5" t="inlineStr">
        <is>
          <t>site name, road</t>
        </is>
      </c>
      <c r="H324" s="5" t="inlineStr">
        <is>
          <t>Requires Verification</t>
        </is>
      </c>
    </row>
    <row r="325">
      <c r="A325" s="10" t="inlineStr">
        <is>
          <t>WY-0095</t>
        </is>
      </c>
      <c r="B325" s="10" t="inlineStr">
        <is>
          <t>Heckmondwike Service Station</t>
        </is>
      </c>
      <c r="C325" s="10" t="inlineStr">
        <is>
          <t>Heckmondwike</t>
        </is>
      </c>
      <c r="D325" s="10" t="inlineStr">
        <is>
          <t>https://fuelfox.uk/station/heckmondwike-service-station-dewsbury-3798</t>
        </is>
      </c>
      <c r="E325" s="10" t="inlineStr">
        <is>
          <t>Directory</t>
        </is>
      </c>
      <c r="F325" s="10" t="inlineStr">
        <is>
          <t>2026-09-16</t>
        </is>
      </c>
      <c r="G325" s="10" t="inlineStr">
        <is>
          <t>active fuel pricing (trading confirmation)</t>
        </is>
      </c>
      <c r="H325" s="10" t="inlineStr">
        <is>
          <t>Requires Verification</t>
        </is>
      </c>
    </row>
    <row r="326">
      <c r="A326" s="5" t="inlineStr">
        <is>
          <t>UK-000255</t>
        </is>
      </c>
      <c r="B326" s="5" t="inlineStr">
        <is>
          <t>Hillsborough Vape Lounge</t>
        </is>
      </c>
      <c r="C326" s="5" t="inlineStr">
        <is>
          <t>Sheffield</t>
        </is>
      </c>
      <c r="D326" s="5" t="inlineStr">
        <is>
          <t>https://ecigdirectory.co.uk/vape-shop/listing/hillsborough-vape-lounge-sheffield</t>
        </is>
      </c>
      <c r="E326" s="5" t="inlineStr">
        <is>
          <t>Directory</t>
        </is>
      </c>
      <c r="F326" s="5" t="inlineStr">
        <is>
          <t>2026-09-16</t>
        </is>
      </c>
      <c r="G326" s="5" t="inlineStr">
        <is>
          <t>name, address, postcode</t>
        </is>
      </c>
      <c r="H326" s="5" t="inlineStr">
        <is>
          <t>Requires Verification</t>
        </is>
      </c>
    </row>
    <row r="327">
      <c r="A327" s="10" t="inlineStr">
        <is>
          <t>UK-000256</t>
        </is>
      </c>
      <c r="B327" s="10" t="inlineStr">
        <is>
          <t>Holderness Convenience &amp; Spirits</t>
        </is>
      </c>
      <c r="C327" s="10" t="inlineStr">
        <is>
          <t>Kingston upon Hull</t>
        </is>
      </c>
      <c r="D327" s="10" t="inlineStr">
        <is>
          <t>https://www.yorkshire.com/hull/shopping/off-license/holderness-convenience-spirits</t>
        </is>
      </c>
      <c r="E327" s="10" t="inlineStr">
        <is>
          <t>Directory</t>
        </is>
      </c>
      <c r="F327" s="10" t="inlineStr">
        <is>
          <t>2026-09-16</t>
        </is>
      </c>
      <c r="G327" s="10" t="inlineStr">
        <is>
          <t>name, Holderness Road location (via search results)</t>
        </is>
      </c>
      <c r="H327" s="10" t="inlineStr">
        <is>
          <t>Requires Verification</t>
        </is>
      </c>
    </row>
    <row r="328">
      <c r="A328" s="5" t="inlineStr">
        <is>
          <t>WY-0096</t>
        </is>
      </c>
      <c r="B328" s="5" t="inlineStr">
        <is>
          <t>Hopes News</t>
        </is>
      </c>
      <c r="C328" s="5" t="inlineStr">
        <is>
          <t>Shipley</t>
        </is>
      </c>
      <c r="D328" s="5" t="inlineStr">
        <is>
          <t>https://www.yorkshire.com/shipley/shopping/off-license/hopes-news</t>
        </is>
      </c>
      <c r="E328" s="5" t="inlineStr">
        <is>
          <t>Directory</t>
        </is>
      </c>
      <c r="F328" s="5" t="inlineStr">
        <is>
          <t>2026-09-16</t>
        </is>
      </c>
      <c r="G328" s="5" t="inlineStr">
        <is>
          <t>name, Otley Road Baildon location, hours (search snippet)</t>
        </is>
      </c>
      <c r="H328" s="5" t="inlineStr">
        <is>
          <t>Requires Verification</t>
        </is>
      </c>
    </row>
    <row r="329">
      <c r="A329" s="10" t="inlineStr">
        <is>
          <t>WY-0097</t>
        </is>
      </c>
      <c r="B329" s="10" t="inlineStr">
        <is>
          <t>House of Vapour</t>
        </is>
      </c>
      <c r="C329" s="10" t="inlineStr">
        <is>
          <t>South Elmsall</t>
        </is>
      </c>
      <c r="D329" s="10" t="inlineStr">
        <is>
          <t>https://www.houseofvapour.net/</t>
        </is>
      </c>
      <c r="E329" s="10" t="inlineStr">
        <is>
          <t>Official Website</t>
        </is>
      </c>
      <c r="F329" s="10" t="inlineStr">
        <is>
          <t>2026-09-16</t>
        </is>
      </c>
      <c r="G329" s="10" t="inlineStr">
        <is>
          <t>location Barnsley Road South Elmsall, positioning (seen in search results; fetch blocked)</t>
        </is>
      </c>
      <c r="H329" s="10" t="inlineStr">
        <is>
          <t>Requires Verification</t>
        </is>
      </c>
    </row>
    <row r="330">
      <c r="A330" s="5" t="inlineStr">
        <is>
          <t>WY-0097</t>
        </is>
      </c>
      <c r="B330" s="5" t="inlineStr">
        <is>
          <t>House of Vapour</t>
        </is>
      </c>
      <c r="C330" s="5" t="inlineStr">
        <is>
          <t>South Elmsall</t>
        </is>
      </c>
      <c r="D330" s="5" t="inlineStr">
        <is>
          <t>https://ecigdirectory.co.uk/vape-shop/listing/house-of-vapour</t>
        </is>
      </c>
      <c r="E330" s="5" t="inlineStr">
        <is>
          <t>Directory</t>
        </is>
      </c>
      <c r="F330" s="5" t="inlineStr">
        <is>
          <t>2026-09-16</t>
        </is>
      </c>
      <c r="G330" s="5" t="inlineStr">
        <is>
          <t>directory listing cross-check</t>
        </is>
      </c>
      <c r="H330" s="5" t="inlineStr">
        <is>
          <t>Requires Verification</t>
        </is>
      </c>
    </row>
    <row r="331">
      <c r="A331" s="10" t="inlineStr">
        <is>
          <t>WY-0097</t>
        </is>
      </c>
      <c r="B331" s="10" t="inlineStr">
        <is>
          <t>House of Vapour</t>
        </is>
      </c>
      <c r="C331" s="10" t="inlineStr">
        <is>
          <t>South Elmsall</t>
        </is>
      </c>
      <c r="D331" s="10" t="inlineStr">
        <is>
          <t>https://find-open.co.uk/south-elmsall/house-of-vapour-1803096</t>
        </is>
      </c>
      <c r="E331" s="10" t="inlineStr">
        <is>
          <t>Directory</t>
        </is>
      </c>
      <c r="F331" s="10" t="inlineStr">
        <is>
          <t>2026-09-16</t>
        </is>
      </c>
      <c r="G331" s="10" t="inlineStr">
        <is>
          <t>postcode, phone</t>
        </is>
      </c>
      <c r="H331" s="10" t="inlineStr">
        <is>
          <t>Requires Verification</t>
        </is>
      </c>
    </row>
    <row r="332">
      <c r="A332" s="5" t="inlineStr">
        <is>
          <t>WY-0098</t>
        </is>
      </c>
      <c r="B332" s="5" t="inlineStr">
        <is>
          <t>Ilkley Convenience Store</t>
        </is>
      </c>
      <c r="C332" s="5" t="inlineStr">
        <is>
          <t>Ilkley</t>
        </is>
      </c>
      <c r="D332" s="5" t="inlineStr">
        <is>
          <t>https://www.yorkshire.com/ilkley/shopping/corner-shops/ilkley-convenience-store</t>
        </is>
      </c>
      <c r="E332" s="5" t="inlineStr">
        <is>
          <t>Directory</t>
        </is>
      </c>
      <c r="F332" s="5" t="inlineStr">
        <is>
          <t>2026-09-16</t>
        </is>
      </c>
      <c r="G332" s="5" t="inlineStr">
        <is>
          <t>name, Valley Drive Ilkley location, hours (search snippet)</t>
        </is>
      </c>
      <c r="H332" s="5" t="inlineStr">
        <is>
          <t>Requires Verification</t>
        </is>
      </c>
    </row>
    <row r="333">
      <c r="A333" s="10" t="inlineStr">
        <is>
          <t>WY-0099</t>
        </is>
      </c>
      <c r="B333" s="10" t="inlineStr">
        <is>
          <t>International Foods</t>
        </is>
      </c>
      <c r="C333" s="10" t="inlineStr">
        <is>
          <t>Leeds</t>
        </is>
      </c>
      <c r="D333" s="10" t="inlineStr">
        <is>
          <t>https://find-and-update.company-information.service.gov.uk/company/09552908</t>
        </is>
      </c>
      <c r="E333" s="10" t="inlineStr">
        <is>
          <t>Companies House</t>
        </is>
      </c>
      <c r="F333" s="10" t="inlineStr">
        <is>
          <t>2026-09-16</t>
        </is>
      </c>
      <c r="G333" s="10" t="inlineStr">
        <is>
          <t>registered name, number, registered office, incorporation date (via search results)</t>
        </is>
      </c>
      <c r="H333" s="10" t="inlineStr">
        <is>
          <t>Partially Verified</t>
        </is>
      </c>
    </row>
    <row r="334">
      <c r="A334" s="5" t="inlineStr">
        <is>
          <t>WY-0099</t>
        </is>
      </c>
      <c r="B334" s="5" t="inlineStr">
        <is>
          <t>International Foods</t>
        </is>
      </c>
      <c r="C334" s="5" t="inlineStr">
        <is>
          <t>Leeds</t>
        </is>
      </c>
      <c r="D334" s="5" t="inlineStr">
        <is>
          <t>https://www.yell.com/biz/international-foods-ltd-leeds-8342998/</t>
        </is>
      </c>
      <c r="E334" s="5" t="inlineStr">
        <is>
          <t>Yell</t>
        </is>
      </c>
      <c r="F334" s="5" t="inlineStr">
        <is>
          <t>2026-09-16</t>
        </is>
      </c>
      <c r="G334" s="5" t="inlineStr">
        <is>
          <t>listing confirmation (via search results)</t>
        </is>
      </c>
      <c r="H334" s="5" t="inlineStr">
        <is>
          <t>Partially Verified</t>
        </is>
      </c>
    </row>
    <row r="335">
      <c r="A335" s="10" t="inlineStr">
        <is>
          <t>WY-0099</t>
        </is>
      </c>
      <c r="B335" s="10" t="inlineStr">
        <is>
          <t>International Foods</t>
        </is>
      </c>
      <c r="C335" s="10" t="inlineStr">
        <is>
          <t>Leeds</t>
        </is>
      </c>
      <c r="D335" s="10" t="inlineStr">
        <is>
          <t>https://www.hereme.uk/west-yorkshire/leeds/shop-international-foods</t>
        </is>
      </c>
      <c r="E335" s="10" t="inlineStr">
        <is>
          <t>Directory</t>
        </is>
      </c>
      <c r="F335" s="10" t="inlineStr">
        <is>
          <t>2026-09-16</t>
        </is>
      </c>
      <c r="G335" s="10" t="inlineStr">
        <is>
          <t>Harehills Lane location, hours (via search results)</t>
        </is>
      </c>
      <c r="H335" s="10" t="inlineStr">
        <is>
          <t>Partially Verified</t>
        </is>
      </c>
    </row>
    <row r="336">
      <c r="A336" s="5" t="inlineStr">
        <is>
          <t>UK-000257</t>
        </is>
      </c>
      <c r="B336" s="5" t="inlineStr">
        <is>
          <t>J A &amp; S Cowie Newsagent</t>
        </is>
      </c>
      <c r="C336" s="5" t="inlineStr">
        <is>
          <t>Ripon</t>
        </is>
      </c>
      <c r="D336" s="5" t="inlineStr">
        <is>
          <t>https://www.mynewsagent.co.uk/7788/</t>
        </is>
      </c>
      <c r="E336" s="5" t="inlineStr">
        <is>
          <t>Directory</t>
        </is>
      </c>
      <c r="F336" s="5" t="inlineStr">
        <is>
          <t>2026-09-16</t>
        </is>
      </c>
      <c r="G336" s="5" t="inlineStr">
        <is>
          <t>name, address, postcode, phone</t>
        </is>
      </c>
      <c r="H336" s="5" t="inlineStr">
        <is>
          <t>Requires Verification</t>
        </is>
      </c>
    </row>
    <row r="337">
      <c r="A337" s="10" t="inlineStr">
        <is>
          <t>UK-000258</t>
        </is>
      </c>
      <c r="B337" s="10" t="inlineStr">
        <is>
          <t>Jaan Lounge</t>
        </is>
      </c>
      <c r="C337" s="10" t="inlineStr">
        <is>
          <t>Sheffield</t>
        </is>
      </c>
      <c r="D337" s="10" t="inlineStr">
        <is>
          <t>https://www.jaanlounge.com/</t>
        </is>
      </c>
      <c r="E337" s="10" t="inlineStr">
        <is>
          <t>Official Website</t>
        </is>
      </c>
      <c r="F337" s="10" t="inlineStr">
        <is>
          <t>2026-09-16</t>
        </is>
      </c>
      <c r="G337" s="10" t="inlineStr">
        <is>
          <t>name, description, website</t>
        </is>
      </c>
      <c r="H337" s="10" t="inlineStr">
        <is>
          <t>Requires Verification</t>
        </is>
      </c>
    </row>
    <row r="338">
      <c r="A338" s="5" t="inlineStr">
        <is>
          <t>UK-000259</t>
        </is>
      </c>
      <c r="B338" s="5" t="inlineStr">
        <is>
          <t>Jah's Off Licence</t>
        </is>
      </c>
      <c r="C338" s="5" t="inlineStr">
        <is>
          <t>Sheffield</t>
        </is>
      </c>
      <c r="D338" s="5" t="inlineStr">
        <is>
          <t>https://www.locallife.co.uk/sheffield/off-licences.asp</t>
        </is>
      </c>
      <c r="E338" s="5" t="inlineStr">
        <is>
          <t>Directory</t>
        </is>
      </c>
      <c r="F338" s="5" t="inlineStr">
        <is>
          <t>2026-09-16</t>
        </is>
      </c>
      <c r="G338" s="5" t="inlineStr">
        <is>
          <t>name, address, postcode</t>
        </is>
      </c>
      <c r="H338" s="5" t="inlineStr">
        <is>
          <t>Requires Verification</t>
        </is>
      </c>
    </row>
    <row r="339">
      <c r="A339" s="10" t="inlineStr">
        <is>
          <t>WY-0100</t>
        </is>
      </c>
      <c r="B339" s="10" t="inlineStr">
        <is>
          <t>Javid Supermarket</t>
        </is>
      </c>
      <c r="C339" s="10" t="inlineStr">
        <is>
          <t>Huddersfield</t>
        </is>
      </c>
      <c r="D339" s="10" t="inlineStr">
        <is>
          <t>https://www.javidsupermarket.co.uk/contact/</t>
        </is>
      </c>
      <c r="E339" s="10" t="inlineStr">
        <is>
          <t>Official Website</t>
        </is>
      </c>
      <c r="F339" s="10" t="inlineStr">
        <is>
          <t>2026-09-16</t>
        </is>
      </c>
      <c r="G339" s="10" t="inlineStr">
        <is>
          <t>website, email (from search result snippet of own site)</t>
        </is>
      </c>
      <c r="H339" s="10" t="inlineStr">
        <is>
          <t>Requires Verification</t>
        </is>
      </c>
    </row>
    <row r="340">
      <c r="A340" s="5" t="inlineStr">
        <is>
          <t>WY-0100</t>
        </is>
      </c>
      <c r="B340" s="5" t="inlineStr">
        <is>
          <t>Javid Supermarket</t>
        </is>
      </c>
      <c r="C340" s="5" t="inlineStr">
        <is>
          <t>Huddersfield</t>
        </is>
      </c>
      <c r="D340" s="5" t="inlineStr">
        <is>
          <t>https://www.yelp.com/biz/javid-supermarket-huddersfield</t>
        </is>
      </c>
      <c r="E340" s="5" t="inlineStr">
        <is>
          <t>Directory</t>
        </is>
      </c>
      <c r="F340" s="5" t="inlineStr">
        <is>
          <t>2026-09-16</t>
        </is>
      </c>
      <c r="G340" s="5" t="inlineStr">
        <is>
          <t>address 177-179 Bradford Road</t>
        </is>
      </c>
      <c r="H340" s="5" t="inlineStr">
        <is>
          <t>Requires Verification</t>
        </is>
      </c>
    </row>
    <row r="341">
      <c r="A341" s="10" t="inlineStr">
        <is>
          <t>WY-0100</t>
        </is>
      </c>
      <c r="B341" s="10" t="inlineStr">
        <is>
          <t>Javid Supermarket</t>
        </is>
      </c>
      <c r="C341" s="10" t="inlineStr">
        <is>
          <t>Huddersfield</t>
        </is>
      </c>
      <c r="D341" s="10" t="inlineStr">
        <is>
          <t>https://britainfirm.com/england/javid-supermarket-257331</t>
        </is>
      </c>
      <c r="E341" s="10" t="inlineStr">
        <is>
          <t>Directory</t>
        </is>
      </c>
      <c r="F341" s="10" t="inlineStr">
        <is>
          <t>2026-09-16</t>
        </is>
      </c>
      <c r="G341" s="10" t="inlineStr">
        <is>
          <t>phone 01484 517411</t>
        </is>
      </c>
      <c r="H341" s="10" t="inlineStr">
        <is>
          <t>Requires Verification</t>
        </is>
      </c>
    </row>
    <row r="342">
      <c r="A342" s="5" t="inlineStr">
        <is>
          <t>WY-0100</t>
        </is>
      </c>
      <c r="B342" s="5" t="inlineStr">
        <is>
          <t>Javid Supermarket</t>
        </is>
      </c>
      <c r="C342" s="5" t="inlineStr">
        <is>
          <t>Huddersfield</t>
        </is>
      </c>
      <c r="D342" s="5" t="inlineStr">
        <is>
          <t>https://www.instagram.com/javidsupermarket/</t>
        </is>
      </c>
      <c r="E342" s="5" t="inlineStr">
        <is>
          <t>Instagram</t>
        </is>
      </c>
      <c r="F342" s="5" t="inlineStr">
        <is>
          <t>2026-09-16</t>
        </is>
      </c>
      <c r="G342" s="5" t="inlineStr">
        <is>
          <t>social (instagram)</t>
        </is>
      </c>
      <c r="H342" s="5" t="inlineStr">
        <is>
          <t>Requires Verification</t>
        </is>
      </c>
    </row>
    <row r="343">
      <c r="A343" s="10" t="inlineStr">
        <is>
          <t>UK-000260</t>
        </is>
      </c>
      <c r="B343" s="10" t="inlineStr">
        <is>
          <t>Juice &amp; Coil Co</t>
        </is>
      </c>
      <c r="C343" s="10" t="inlineStr">
        <is>
          <t>Sheffield</t>
        </is>
      </c>
      <c r="D343" s="10" t="inlineStr">
        <is>
          <t>https://www.yelp.com/search?cflt=vapeshops&amp;find_loc=Unit+12+Parkway+Close%2C+Sheffield+S9+4WJ%2C+United+Kingdom</t>
        </is>
      </c>
      <c r="E343" s="10" t="inlineStr">
        <is>
          <t>Directory</t>
        </is>
      </c>
      <c r="F343" s="10" t="inlineStr">
        <is>
          <t>2026-09-16</t>
        </is>
      </c>
      <c r="G343" s="10" t="inlineStr">
        <is>
          <t>name, address, postcode</t>
        </is>
      </c>
      <c r="H343" s="10" t="inlineStr">
        <is>
          <t>Requires Verification</t>
        </is>
      </c>
    </row>
    <row r="344">
      <c r="A344" s="5" t="inlineStr">
        <is>
          <t>WY-0101</t>
        </is>
      </c>
      <c r="B344" s="5" t="inlineStr">
        <is>
          <t>KV Convenience &amp; Off Licence</t>
        </is>
      </c>
      <c r="C344" s="5" t="inlineStr">
        <is>
          <t>Huddersfield</t>
        </is>
      </c>
      <c r="D344" s="5" t="inlineStr">
        <is>
          <t>https://www.snappyshopper.co.uk/store/KV-Convenience-Off-Licence</t>
        </is>
      </c>
      <c r="E344" s="5" t="inlineStr">
        <is>
          <t>Other</t>
        </is>
      </c>
      <c r="F344" s="5" t="inlineStr">
        <is>
          <t>2026-09-16</t>
        </is>
      </c>
      <c r="G344" s="5" t="inlineStr">
        <is>
          <t>address, delivery service</t>
        </is>
      </c>
      <c r="H344" s="5" t="inlineStr">
        <is>
          <t>Requires Verification</t>
        </is>
      </c>
    </row>
    <row r="345">
      <c r="A345" s="10" t="inlineStr">
        <is>
          <t>WY-0101</t>
        </is>
      </c>
      <c r="B345" s="10" t="inlineStr">
        <is>
          <t>KV Convenience &amp; Off Licence</t>
        </is>
      </c>
      <c r="C345" s="10" t="inlineStr">
        <is>
          <t>Huddersfield</t>
        </is>
      </c>
      <c r="D345" s="10" t="inlineStr">
        <is>
          <t>https://www.ubereats.com/gb/store/kv-convenience-and-off-licence/etuByqIIWGqjc_-zp4V7ZQ</t>
        </is>
      </c>
      <c r="E345" s="10" t="inlineStr">
        <is>
          <t>Other</t>
        </is>
      </c>
      <c r="F345" s="10" t="inlineStr">
        <is>
          <t>2026-09-16</t>
        </is>
      </c>
      <c r="G345" s="10" t="inlineStr">
        <is>
          <t>cross-check of store and town</t>
        </is>
      </c>
      <c r="H345" s="10" t="inlineStr">
        <is>
          <t>Requires Verification</t>
        </is>
      </c>
    </row>
    <row r="346">
      <c r="A346" s="5" t="inlineStr">
        <is>
          <t>WY-0101</t>
        </is>
      </c>
      <c r="B346" s="5" t="inlineStr">
        <is>
          <t>KV Convenience &amp; Off Licence</t>
        </is>
      </c>
      <c r="C346" s="5" t="inlineStr">
        <is>
          <t>Huddersfield</t>
        </is>
      </c>
      <c r="D346" s="5" t="inlineStr">
        <is>
          <t>https://www.yellowtom.co.uk/1452035</t>
        </is>
      </c>
      <c r="E346" s="5" t="inlineStr">
        <is>
          <t>Directory</t>
        </is>
      </c>
      <c r="F346" s="5" t="inlineStr">
        <is>
          <t>2026-09-16</t>
        </is>
      </c>
      <c r="G346" s="5" t="inlineStr">
        <is>
          <t>phone</t>
        </is>
      </c>
      <c r="H346" s="5" t="inlineStr">
        <is>
          <t>Requires Verification</t>
        </is>
      </c>
    </row>
    <row r="347">
      <c r="A347" s="10" t="inlineStr">
        <is>
          <t>UK-000261</t>
        </is>
      </c>
      <c r="B347" s="10" t="inlineStr">
        <is>
          <t>Kaplan Fast Food Cash &amp; Carry</t>
        </is>
      </c>
      <c r="C347" s="10" t="inlineStr">
        <is>
          <t>Kingston upon Hull</t>
        </is>
      </c>
      <c r="D347" s="10" t="inlineStr">
        <is>
          <t>https://www.facebook.com/people/Kaplan-Fast-Food-Cash-Carry/61558997515973/</t>
        </is>
      </c>
      <c r="E347" s="10" t="inlineStr">
        <is>
          <t>Facebook</t>
        </is>
      </c>
      <c r="F347" s="10" t="inlineStr">
        <is>
          <t>2026-09-16</t>
        </is>
      </c>
      <c r="G347" s="10" t="inlineStr">
        <is>
          <t>name, Flinton Street address (via search results)</t>
        </is>
      </c>
      <c r="H347" s="10" t="inlineStr">
        <is>
          <t>Requires Verification</t>
        </is>
      </c>
    </row>
    <row r="348">
      <c r="A348" s="5" t="inlineStr">
        <is>
          <t>WY-0102</t>
        </is>
      </c>
      <c r="B348" s="5" t="inlineStr">
        <is>
          <t>Kasa Beeston Convenience Store</t>
        </is>
      </c>
      <c r="C348" s="5" t="inlineStr">
        <is>
          <t>Leeds</t>
        </is>
      </c>
      <c r="D348" s="5" t="inlineStr">
        <is>
          <t>https://kasabeeston.com/</t>
        </is>
      </c>
      <c r="E348" s="5" t="inlineStr">
        <is>
          <t>Official Website</t>
        </is>
      </c>
      <c r="F348" s="5" t="inlineStr">
        <is>
          <t>2026-09-16</t>
        </is>
      </c>
      <c r="G348" s="5" t="inlineStr">
        <is>
          <t>name, own-site confirmation (via search results; direct fetch blocked by proxy)</t>
        </is>
      </c>
      <c r="H348" s="5" t="inlineStr">
        <is>
          <t>Partially Verified</t>
        </is>
      </c>
    </row>
    <row r="349">
      <c r="A349" s="10" t="inlineStr">
        <is>
          <t>WY-0102</t>
        </is>
      </c>
      <c r="B349" s="10" t="inlineStr">
        <is>
          <t>Kasa Beeston Convenience Store</t>
        </is>
      </c>
      <c r="C349" s="10" t="inlineStr">
        <is>
          <t>Leeds</t>
        </is>
      </c>
      <c r="D349" s="10" t="inlineStr">
        <is>
          <t>https://www.bizseek.co.uk/kasa-beeston-convenience-store-0113-277-5757</t>
        </is>
      </c>
      <c r="E349" s="10" t="inlineStr">
        <is>
          <t>Directory</t>
        </is>
      </c>
      <c r="F349" s="10" t="inlineStr">
        <is>
          <t>2026-09-16</t>
        </is>
      </c>
      <c r="G349" s="10" t="inlineStr">
        <is>
          <t>phone (via search results)</t>
        </is>
      </c>
      <c r="H349" s="10" t="inlineStr">
        <is>
          <t>Partially Verified</t>
        </is>
      </c>
    </row>
    <row r="350">
      <c r="A350" s="5" t="inlineStr">
        <is>
          <t>WY-0102</t>
        </is>
      </c>
      <c r="B350" s="5" t="inlineStr">
        <is>
          <t>Kasa Beeston Convenience Store</t>
        </is>
      </c>
      <c r="C350" s="5" t="inlineStr">
        <is>
          <t>Leeds</t>
        </is>
      </c>
      <c r="D350" s="5" t="inlineStr">
        <is>
          <t>https://citikey.uk/display/kasa-PFM1H</t>
        </is>
      </c>
      <c r="E350" s="5" t="inlineStr">
        <is>
          <t>Directory</t>
        </is>
      </c>
      <c r="F350" s="5" t="inlineStr">
        <is>
          <t>2026-09-16</t>
        </is>
      </c>
      <c r="G350" s="5" t="inlineStr">
        <is>
          <t>address, postcode (via search results)</t>
        </is>
      </c>
      <c r="H350" s="5" t="inlineStr">
        <is>
          <t>Partially Verified</t>
        </is>
      </c>
    </row>
    <row r="351">
      <c r="A351" s="10" t="inlineStr">
        <is>
          <t>WY-0103</t>
        </is>
      </c>
      <c r="B351" s="10" t="inlineStr">
        <is>
          <t>Kash News &amp; Gifts</t>
        </is>
      </c>
      <c r="C351" s="10" t="inlineStr">
        <is>
          <t>Brighouse</t>
        </is>
      </c>
      <c r="D351" s="10" t="inlineStr">
        <is>
          <t>https://www.thomsonlocal.com/search/newsagents/halifax-brighouse-calderdale/kash-news-gifts/922805/01484400405</t>
        </is>
      </c>
      <c r="E351" s="10" t="inlineStr">
        <is>
          <t>Directory</t>
        </is>
      </c>
      <c r="F351" s="10" t="inlineStr">
        <is>
          <t>2026-09-16</t>
        </is>
      </c>
      <c r="G351" s="10" t="inlineStr">
        <is>
          <t>name, phone</t>
        </is>
      </c>
      <c r="H351" s="10" t="inlineStr">
        <is>
          <t>Requires Verification</t>
        </is>
      </c>
    </row>
    <row r="352">
      <c r="A352" s="5" t="inlineStr">
        <is>
          <t>WY-0103</t>
        </is>
      </c>
      <c r="B352" s="5" t="inlineStr">
        <is>
          <t>Kash News &amp; Gifts</t>
        </is>
      </c>
      <c r="C352" s="5" t="inlineStr">
        <is>
          <t>Brighouse</t>
        </is>
      </c>
      <c r="D352" s="5" t="inlineStr">
        <is>
          <t>https://findit.batleynews.co.uk/company/437704624939008</t>
        </is>
      </c>
      <c r="E352" s="5" t="inlineStr">
        <is>
          <t>Directory</t>
        </is>
      </c>
      <c r="F352" s="5" t="inlineStr">
        <is>
          <t>2026-09-16</t>
        </is>
      </c>
      <c r="G352" s="5" t="inlineStr">
        <is>
          <t>address, postcode</t>
        </is>
      </c>
      <c r="H352" s="5" t="inlineStr">
        <is>
          <t>Requires Verification</t>
        </is>
      </c>
    </row>
    <row r="353">
      <c r="A353" s="10" t="inlineStr">
        <is>
          <t>WY-0103</t>
        </is>
      </c>
      <c r="B353" s="10" t="inlineStr">
        <is>
          <t>Kash News &amp; Gifts</t>
        </is>
      </c>
      <c r="C353" s="10" t="inlineStr">
        <is>
          <t>Brighouse</t>
        </is>
      </c>
      <c r="D353" s="10" t="inlineStr">
        <is>
          <t>https://www.visitbrighouse.co.uk/directory/kash-news/</t>
        </is>
      </c>
      <c r="E353" s="10" t="inlineStr">
        <is>
          <t>Directory</t>
        </is>
      </c>
      <c r="F353" s="10" t="inlineStr">
        <is>
          <t>2026-09-16</t>
        </is>
      </c>
      <c r="G353" s="10" t="inlineStr">
        <is>
          <t>listing confirmation</t>
        </is>
      </c>
      <c r="H353" s="10" t="inlineStr">
        <is>
          <t>Requires Verification</t>
        </is>
      </c>
    </row>
    <row r="354">
      <c r="A354" s="5" t="inlineStr">
        <is>
          <t>WY-0104</t>
        </is>
      </c>
      <c r="B354" s="5" t="inlineStr">
        <is>
          <t>Keep In Touch</t>
        </is>
      </c>
      <c r="C354" s="5" t="inlineStr">
        <is>
          <t>Castleford</t>
        </is>
      </c>
      <c r="D354" s="5" t="inlineStr">
        <is>
          <t>https://www.192.com/atoz/business/castleford-wf10/newsagents/keep-in-touch/645f3ab15b4cb6acdbc0eb9ef27c5a71438678bb/ml/</t>
        </is>
      </c>
      <c r="E354" s="5" t="inlineStr">
        <is>
          <t>Directory</t>
        </is>
      </c>
      <c r="F354" s="5" t="inlineStr">
        <is>
          <t>2026-09-16</t>
        </is>
      </c>
      <c r="G354" s="5" t="inlineStr">
        <is>
          <t>name, address 5 Albion Street WF10 1EG</t>
        </is>
      </c>
      <c r="H354" s="5" t="inlineStr">
        <is>
          <t>Requires Verification</t>
        </is>
      </c>
    </row>
    <row r="355">
      <c r="A355" s="10" t="inlineStr">
        <is>
          <t>WY-0105</t>
        </is>
      </c>
      <c r="B355" s="10" t="inlineStr">
        <is>
          <t>Keighley Newsagent</t>
        </is>
      </c>
      <c r="C355" s="10" t="inlineStr">
        <is>
          <t>Keighley</t>
        </is>
      </c>
      <c r="D355" s="10" t="inlineStr">
        <is>
          <t>https://directory.bradfordpages.co.uk/company/504571861241856</t>
        </is>
      </c>
      <c r="E355" s="10" t="inlineStr">
        <is>
          <t>Directory</t>
        </is>
      </c>
      <c r="F355" s="10" t="inlineStr">
        <is>
          <t>2026-09-16</t>
        </is>
      </c>
      <c r="G355" s="10" t="inlineStr">
        <is>
          <t>name, address 125 North Street BD21 3AD (search result)</t>
        </is>
      </c>
      <c r="H355" s="10" t="inlineStr">
        <is>
          <t>Requires Verification</t>
        </is>
      </c>
    </row>
    <row r="356">
      <c r="A356" s="5" t="inlineStr">
        <is>
          <t>WY-0106</t>
        </is>
      </c>
      <c r="B356" s="5" t="inlineStr">
        <is>
          <t>Khadim Supersave</t>
        </is>
      </c>
      <c r="C356" s="5" t="inlineStr">
        <is>
          <t>Huddersfield</t>
        </is>
      </c>
      <c r="D356" s="5" t="inlineStr">
        <is>
          <t>https://no-divide.co.uk/khadim-supersave/</t>
        </is>
      </c>
      <c r="E356" s="5" t="inlineStr">
        <is>
          <t>Directory</t>
        </is>
      </c>
      <c r="F356" s="5" t="inlineStr">
        <is>
          <t>2026-09-16</t>
        </is>
      </c>
      <c r="G356" s="5" t="inlineStr">
        <is>
          <t>address, postcode, phone</t>
        </is>
      </c>
      <c r="H356" s="5" t="inlineStr">
        <is>
          <t>Requires Verification</t>
        </is>
      </c>
    </row>
    <row r="357">
      <c r="A357" s="10" t="inlineStr">
        <is>
          <t>UK-000262</t>
        </is>
      </c>
      <c r="B357" s="10" t="inlineStr">
        <is>
          <t>Kick Ash Vapes Cleethorpes</t>
        </is>
      </c>
      <c r="C357" s="10" t="inlineStr">
        <is>
          <t>Cleethorpes</t>
        </is>
      </c>
      <c r="D357" s="10" t="inlineStr">
        <is>
          <t>https://kick-ash-vapes-cleethorpes.wheree.com/</t>
        </is>
      </c>
      <c r="E357" s="10" t="inlineStr">
        <is>
          <t>Directory</t>
        </is>
      </c>
      <c r="F357" s="10" t="inlineStr">
        <is>
          <t>2026-09-16</t>
        </is>
      </c>
      <c r="G357" s="10" t="inlineStr">
        <is>
          <t>name, 201 Grimsby Road address (via search results)</t>
        </is>
      </c>
      <c r="H357" s="10" t="inlineStr">
        <is>
          <t>Requires Verification</t>
        </is>
      </c>
    </row>
    <row r="358">
      <c r="A358" s="5" t="inlineStr">
        <is>
          <t>UK-000263</t>
        </is>
      </c>
      <c r="B358" s="5" t="inlineStr">
        <is>
          <t>Kings Lites Acomb</t>
        </is>
      </c>
      <c r="C358" s="5" t="inlineStr">
        <is>
          <t>York</t>
        </is>
      </c>
      <c r="D358" s="5" t="inlineStr">
        <is>
          <t>https://www.kingslites.co.uk/acomb</t>
        </is>
      </c>
      <c r="E358" s="5" t="inlineStr">
        <is>
          <t>Official Website</t>
        </is>
      </c>
      <c r="F358" s="5" t="inlineStr">
        <is>
          <t>2026-09-16</t>
        </is>
      </c>
      <c r="G358" s="5" t="inlineStr">
        <is>
          <t>Acomb location, vaping specialist (search snippet)</t>
        </is>
      </c>
      <c r="H358" s="5" t="inlineStr">
        <is>
          <t>Requires Verification</t>
        </is>
      </c>
    </row>
    <row r="359">
      <c r="A359" s="10" t="inlineStr">
        <is>
          <t>UK-000263</t>
        </is>
      </c>
      <c r="B359" s="10" t="inlineStr">
        <is>
          <t>Kings Lites Acomb</t>
        </is>
      </c>
      <c r="C359" s="10" t="inlineStr">
        <is>
          <t>York</t>
        </is>
      </c>
      <c r="D359" s="10" t="inlineStr">
        <is>
          <t>https://york.cylex-uk.co.uk/company/kings-lites-acomb-27065896.html</t>
        </is>
      </c>
      <c r="E359" s="10" t="inlineStr">
        <is>
          <t>Directory</t>
        </is>
      </c>
      <c r="F359" s="10" t="inlineStr">
        <is>
          <t>2026-09-16</t>
        </is>
      </c>
      <c r="G359" s="10" t="inlineStr">
        <is>
          <t>Acomb market place location</t>
        </is>
      </c>
      <c r="H359" s="10" t="inlineStr">
        <is>
          <t>Requires Verification</t>
        </is>
      </c>
    </row>
    <row r="360">
      <c r="A360" s="5" t="inlineStr">
        <is>
          <t>WY-0107</t>
        </is>
      </c>
      <c r="B360" s="5" t="inlineStr">
        <is>
          <t>Kubus International Food</t>
        </is>
      </c>
      <c r="C360" s="5" t="inlineStr">
        <is>
          <t>Wakefield</t>
        </is>
      </c>
      <c r="D360" s="5" t="inlineStr">
        <is>
          <t>https://www.yorkshire.com/wakefield/shopping/corner-shops/kubus-international-food</t>
        </is>
      </c>
      <c r="E360" s="5" t="inlineStr">
        <is>
          <t>Directory</t>
        </is>
      </c>
      <c r="F360" s="5" t="inlineStr">
        <is>
          <t>2026-09-16</t>
        </is>
      </c>
      <c r="G360" s="5" t="inlineStr">
        <is>
          <t>name, address 86 Kirkgate, description, hours</t>
        </is>
      </c>
      <c r="H360" s="5" t="inlineStr">
        <is>
          <t>Requires Verification</t>
        </is>
      </c>
    </row>
    <row r="361">
      <c r="A361" s="10" t="inlineStr">
        <is>
          <t>UK-000264</t>
        </is>
      </c>
      <c r="B361" s="10" t="inlineStr">
        <is>
          <t>La Vana Restaurant &amp; Shisha</t>
        </is>
      </c>
      <c r="C361" s="10" t="inlineStr">
        <is>
          <t>Kingston upon Hull</t>
        </is>
      </c>
      <c r="D361" s="10" t="inlineStr">
        <is>
          <t>https://www.facebook.com/LaVanaShisha/</t>
        </is>
      </c>
      <c r="E361" s="10" t="inlineStr">
        <is>
          <t>Facebook</t>
        </is>
      </c>
      <c r="F361" s="10" t="inlineStr">
        <is>
          <t>2026-09-16</t>
        </is>
      </c>
      <c r="G361" s="10" t="inlineStr">
        <is>
          <t>name, Hull location (via search results)</t>
        </is>
      </c>
      <c r="H361" s="10" t="inlineStr">
        <is>
          <t>Requires Verification</t>
        </is>
      </c>
    </row>
    <row r="362">
      <c r="A362" s="5" t="inlineStr">
        <is>
          <t>WY-0108</t>
        </is>
      </c>
      <c r="B362" s="5" t="inlineStr">
        <is>
          <t>Latitude Wine &amp; Liquor Merchant</t>
        </is>
      </c>
      <c r="C362" s="5" t="inlineStr">
        <is>
          <t>Leeds</t>
        </is>
      </c>
      <c r="D362" s="5" t="inlineStr">
        <is>
          <t>https://www.yelp.com/biz/latitude-wine-and-liquor-merchant-leeds</t>
        </is>
      </c>
      <c r="E362" s="5" t="inlineStr">
        <is>
          <t>Directory</t>
        </is>
      </c>
      <c r="F362" s="5" t="inlineStr">
        <is>
          <t>2026-09-16</t>
        </is>
      </c>
      <c r="G362" s="5" t="inlineStr">
        <is>
          <t>address, phone, hours (via search results)</t>
        </is>
      </c>
      <c r="H362" s="5" t="inlineStr">
        <is>
          <t>Partially Verified</t>
        </is>
      </c>
    </row>
    <row r="363">
      <c r="A363" s="10" t="inlineStr">
        <is>
          <t>WY-0108</t>
        </is>
      </c>
      <c r="B363" s="10" t="inlineStr">
        <is>
          <t>Latitude Wine &amp; Liquor Merchant</t>
        </is>
      </c>
      <c r="C363" s="10" t="inlineStr">
        <is>
          <t>Leeds</t>
        </is>
      </c>
      <c r="D363" s="10" t="inlineStr">
        <is>
          <t>https://latitudewine.co.uk/</t>
        </is>
      </c>
      <c r="E363" s="10" t="inlineStr">
        <is>
          <t>Official Website</t>
        </is>
      </c>
      <c r="F363" s="10" t="inlineStr">
        <is>
          <t>2026-09-16</t>
        </is>
      </c>
      <c r="G363" s="10" t="inlineStr">
        <is>
          <t>website confirmation (via search results; direct fetch blocked by proxy)</t>
        </is>
      </c>
      <c r="H363" s="10" t="inlineStr">
        <is>
          <t>Partially Verified</t>
        </is>
      </c>
    </row>
    <row r="364">
      <c r="A364" s="5" t="inlineStr">
        <is>
          <t>WY-0108</t>
        </is>
      </c>
      <c r="B364" s="5" t="inlineStr">
        <is>
          <t>Latitude Wine &amp; Liquor Merchant</t>
        </is>
      </c>
      <c r="C364" s="5" t="inlineStr">
        <is>
          <t>Leeds</t>
        </is>
      </c>
      <c r="D364" s="5" t="inlineStr">
        <is>
          <t>https://latitudewine.co.uk/pages/contact-us</t>
        </is>
      </c>
      <c r="E364" s="5" t="inlineStr">
        <is>
          <t>Official Website</t>
        </is>
      </c>
      <c r="F364" s="5" t="inlineStr">
        <is>
          <t>2026-09-16</t>
        </is>
      </c>
      <c r="G364" s="5" t="inlineStr">
        <is>
          <t>email (sales)</t>
        </is>
      </c>
      <c r="H364" s="5" t="inlineStr">
        <is>
          <t>Partially Verified</t>
        </is>
      </c>
    </row>
    <row r="365">
      <c r="A365" s="10" t="inlineStr">
        <is>
          <t>WY-0109</t>
        </is>
      </c>
      <c r="B365" s="10" t="inlineStr">
        <is>
          <t>Leeds Shisha Wholesale</t>
        </is>
      </c>
      <c r="C365" s="10" t="inlineStr">
        <is>
          <t>Leeds</t>
        </is>
      </c>
      <c r="D365" s="10" t="inlineStr">
        <is>
          <t>https://www.facebook.com/p/Leeds-Shisha-Wholesale-100066917521496/</t>
        </is>
      </c>
      <c r="E365" s="10" t="inlineStr">
        <is>
          <t>Facebook</t>
        </is>
      </c>
      <c r="F365" s="10" t="inlineStr">
        <is>
          <t>2026-09-16</t>
        </is>
      </c>
      <c r="G365" s="10" t="inlineStr">
        <is>
          <t>name, town, description (via search results)</t>
        </is>
      </c>
      <c r="H365" s="10" t="inlineStr">
        <is>
          <t>Requires Verification</t>
        </is>
      </c>
    </row>
    <row r="366">
      <c r="A366" s="5" t="inlineStr">
        <is>
          <t>WY-0109</t>
        </is>
      </c>
      <c r="B366" s="5" t="inlineStr">
        <is>
          <t>Leeds Shisha Wholesale</t>
        </is>
      </c>
      <c r="C366" s="5" t="inlineStr">
        <is>
          <t>Leeds</t>
        </is>
      </c>
      <c r="D366" s="5" t="inlineStr">
        <is>
          <t>https://leeds.cylex-uk.co.uk/company/leeds-shisha-wholesale-27498601.html</t>
        </is>
      </c>
      <c r="E366" s="5" t="inlineStr">
        <is>
          <t>Directory</t>
        </is>
      </c>
      <c r="F366" s="5" t="inlineStr">
        <is>
          <t>2026-09-16</t>
        </is>
      </c>
      <c r="G366" s="5" t="inlineStr">
        <is>
          <t>listing confirmation (via search results)</t>
        </is>
      </c>
      <c r="H366" s="5" t="inlineStr">
        <is>
          <t>Requires Verification</t>
        </is>
      </c>
    </row>
    <row r="367">
      <c r="A367" s="10" t="inlineStr">
        <is>
          <t>WY-0110</t>
        </is>
      </c>
      <c r="B367" s="10" t="inlineStr">
        <is>
          <t>Liquid Mafia The King of Vapes</t>
        </is>
      </c>
      <c r="C367" s="10" t="inlineStr">
        <is>
          <t>Dewsbury</t>
        </is>
      </c>
      <c r="D367" s="10" t="inlineStr">
        <is>
          <t>https://vapemaps.co/england/west-yorkshire/dewsbury/liquid-mafia-the-king-of-vapes/8788</t>
        </is>
      </c>
      <c r="E367" s="10" t="inlineStr">
        <is>
          <t>Directory</t>
        </is>
      </c>
      <c r="F367" s="10" t="inlineStr">
        <is>
          <t>2026-09-16</t>
        </is>
      </c>
      <c r="G367" s="10" t="inlineStr">
        <is>
          <t>address, phone</t>
        </is>
      </c>
      <c r="H367" s="10" t="inlineStr">
        <is>
          <t>Requires Verification</t>
        </is>
      </c>
    </row>
    <row r="368">
      <c r="A368" s="5" t="inlineStr">
        <is>
          <t>WY-0110</t>
        </is>
      </c>
      <c r="B368" s="5" t="inlineStr">
        <is>
          <t>Liquid Mafia The King of Vapes</t>
        </is>
      </c>
      <c r="C368" s="5" t="inlineStr">
        <is>
          <t>Dewsbury</t>
        </is>
      </c>
      <c r="D368" s="5" t="inlineStr">
        <is>
          <t>https://www.yorkshire.com/dewsbury/shopping/vape-shops/liquid-mafia-the-king-of-vapes</t>
        </is>
      </c>
      <c r="E368" s="5" t="inlineStr">
        <is>
          <t>Directory</t>
        </is>
      </c>
      <c r="F368" s="5" t="inlineStr">
        <is>
          <t>2026-09-16</t>
        </is>
      </c>
      <c r="G368" s="5" t="inlineStr">
        <is>
          <t>Huddersfield Road location, hours, rating</t>
        </is>
      </c>
      <c r="H368" s="5" t="inlineStr">
        <is>
          <t>Requires Verification</t>
        </is>
      </c>
    </row>
    <row r="369">
      <c r="A369" s="10" t="inlineStr">
        <is>
          <t>WY-0110</t>
        </is>
      </c>
      <c r="B369" s="10" t="inlineStr">
        <is>
          <t>Liquid Mafia The King of Vapes</t>
        </is>
      </c>
      <c r="C369" s="10" t="inlineStr">
        <is>
          <t>Dewsbury</t>
        </is>
      </c>
      <c r="D369" s="10" t="inlineStr">
        <is>
          <t>https://www.instagram.com/liquidmafiaofficial/</t>
        </is>
      </c>
      <c r="E369" s="10" t="inlineStr">
        <is>
          <t>Instagram</t>
        </is>
      </c>
      <c r="F369" s="10" t="inlineStr">
        <is>
          <t>2026-09-16</t>
        </is>
      </c>
      <c r="G369" s="10" t="inlineStr">
        <is>
          <t>business Instagram, alternative phone</t>
        </is>
      </c>
      <c r="H369" s="10" t="inlineStr">
        <is>
          <t>Requires Verification</t>
        </is>
      </c>
    </row>
    <row r="370">
      <c r="A370" s="5" t="inlineStr">
        <is>
          <t>WY-0111</t>
        </is>
      </c>
      <c r="B370" s="5" t="inlineStr">
        <is>
          <t>Local Convenience Store (Elsinore Avenue)</t>
        </is>
      </c>
      <c r="C370" s="5" t="inlineStr">
        <is>
          <t>Elland</t>
        </is>
      </c>
      <c r="D370" s="5" t="inlineStr">
        <is>
          <t>https://www.yorkshire.com/elland/shopping/corner-shops</t>
        </is>
      </c>
      <c r="E370" s="5" t="inlineStr">
        <is>
          <t>Directory</t>
        </is>
      </c>
      <c r="F370" s="5" t="inlineStr">
        <is>
          <t>2026-09-16</t>
        </is>
      </c>
      <c r="G370" s="5" t="inlineStr">
        <is>
          <t>name, address, postcode</t>
        </is>
      </c>
      <c r="H370" s="5" t="inlineStr">
        <is>
          <t>Requires Verification</t>
        </is>
      </c>
    </row>
    <row r="371">
      <c r="A371" s="10" t="inlineStr">
        <is>
          <t>WY-0112</t>
        </is>
      </c>
      <c r="B371" s="10" t="inlineStr">
        <is>
          <t>Local Express Off Licence</t>
        </is>
      </c>
      <c r="C371" s="10" t="inlineStr">
        <is>
          <t>Batley</t>
        </is>
      </c>
      <c r="D371" s="10" t="inlineStr">
        <is>
          <t>https://www.bigreddirectory.com/local-express-off-licence-batley</t>
        </is>
      </c>
      <c r="E371" s="10" t="inlineStr">
        <is>
          <t>Directory</t>
        </is>
      </c>
      <c r="F371" s="10" t="inlineStr">
        <is>
          <t>2026-09-16</t>
        </is>
      </c>
      <c r="G371" s="10" t="inlineStr">
        <is>
          <t>name, address</t>
        </is>
      </c>
      <c r="H371" s="10" t="inlineStr">
        <is>
          <t>Requires Verification</t>
        </is>
      </c>
    </row>
    <row r="372">
      <c r="A372" s="5" t="inlineStr">
        <is>
          <t>WY-0113</t>
        </is>
      </c>
      <c r="B372" s="5" t="inlineStr">
        <is>
          <t>Londis Normanton (313 Castleford Road)</t>
        </is>
      </c>
      <c r="C372" s="5" t="inlineStr">
        <is>
          <t>Normanton</t>
        </is>
      </c>
      <c r="D372" s="5" t="inlineStr">
        <is>
          <t>https://www.londis.co.uk/our-stores/londis-normanton</t>
        </is>
      </c>
      <c r="E372" s="5" t="inlineStr">
        <is>
          <t>Official Website</t>
        </is>
      </c>
      <c r="F372" s="5" t="inlineStr">
        <is>
          <t>2026-09-16</t>
        </is>
      </c>
      <c r="G372" s="5" t="inlineStr">
        <is>
          <t>address, postcode, phone, hours (symbol group store page, seen via search results)</t>
        </is>
      </c>
      <c r="H372" s="5" t="inlineStr">
        <is>
          <t>Requires Verification</t>
        </is>
      </c>
    </row>
    <row r="373">
      <c r="A373" s="10" t="inlineStr">
        <is>
          <t>WY-0114</t>
        </is>
      </c>
      <c r="B373" s="10" t="inlineStr">
        <is>
          <t>Londis Normanton (Castleford Road, WF6 2DW)</t>
        </is>
      </c>
      <c r="C373" s="10" t="inlineStr">
        <is>
          <t>Normanton</t>
        </is>
      </c>
      <c r="D373" s="10" t="inlineStr">
        <is>
          <t>https://www.londis.co.uk/our-stores/normanton</t>
        </is>
      </c>
      <c r="E373" s="10" t="inlineStr">
        <is>
          <t>Official Website</t>
        </is>
      </c>
      <c r="F373" s="10" t="inlineStr">
        <is>
          <t>2026-09-16</t>
        </is>
      </c>
      <c r="G373" s="10" t="inlineStr">
        <is>
          <t>address, postcode, phone (symbol group store page, seen via search results)</t>
        </is>
      </c>
      <c r="H373" s="10" t="inlineStr">
        <is>
          <t>Requires Verification</t>
        </is>
      </c>
    </row>
    <row r="374">
      <c r="A374" s="5" t="inlineStr">
        <is>
          <t>WY-0115</t>
        </is>
      </c>
      <c r="B374" s="5" t="inlineStr">
        <is>
          <t>Londis Ravensthorpe</t>
        </is>
      </c>
      <c r="C374" s="5" t="inlineStr">
        <is>
          <t>Dewsbury</t>
        </is>
      </c>
      <c r="D374" s="5" t="inlineStr">
        <is>
          <t>https://www.londis.co.uk/our-stores/londis-ravensthorpe</t>
        </is>
      </c>
      <c r="E374" s="5" t="inlineStr">
        <is>
          <t>Official Website</t>
        </is>
      </c>
      <c r="F374" s="5" t="inlineStr">
        <is>
          <t>2026-09-16</t>
        </is>
      </c>
      <c r="G374" s="5" t="inlineStr">
        <is>
          <t>store existence and area (symbol group locator, seen in search results)</t>
        </is>
      </c>
      <c r="H374" s="5" t="inlineStr">
        <is>
          <t>Requires Verification</t>
        </is>
      </c>
    </row>
    <row r="375">
      <c r="A375" s="10" t="inlineStr">
        <is>
          <t>WY-0115</t>
        </is>
      </c>
      <c r="B375" s="10" t="inlineStr">
        <is>
          <t>Londis Ravensthorpe</t>
        </is>
      </c>
      <c r="C375" s="10" t="inlineStr">
        <is>
          <t>Dewsbury</t>
        </is>
      </c>
      <c r="D375" s="10" t="inlineStr">
        <is>
          <t>https://directory.gazettelive.co.uk/company/999b46611b8a8afc4d77d779e9c8dcf7</t>
        </is>
      </c>
      <c r="E375" s="10" t="inlineStr">
        <is>
          <t>Directory</t>
        </is>
      </c>
      <c r="F375" s="10" t="inlineStr">
        <is>
          <t>2026-09-16</t>
        </is>
      </c>
      <c r="G375" s="10" t="inlineStr">
        <is>
          <t>postcode, phone</t>
        </is>
      </c>
      <c r="H375" s="10" t="inlineStr">
        <is>
          <t>Requires Verification</t>
        </is>
      </c>
    </row>
    <row r="376">
      <c r="A376" s="5" t="inlineStr">
        <is>
          <t>UK-000265</t>
        </is>
      </c>
      <c r="B376" s="5" t="inlineStr">
        <is>
          <t>Lounge 418</t>
        </is>
      </c>
      <c r="C376" s="5" t="inlineStr">
        <is>
          <t>Sheffield</t>
        </is>
      </c>
      <c r="D376" s="5" t="inlineStr">
        <is>
          <t>https://www.lounge418.co.uk/</t>
        </is>
      </c>
      <c r="E376" s="5" t="inlineStr">
        <is>
          <t>Official Website</t>
        </is>
      </c>
      <c r="F376" s="5" t="inlineStr">
        <is>
          <t>2026-09-16</t>
        </is>
      </c>
      <c r="G376" s="5" t="inlineStr">
        <is>
          <t>name, description, website</t>
        </is>
      </c>
      <c r="H376" s="5" t="inlineStr">
        <is>
          <t>Requires Verification</t>
        </is>
      </c>
    </row>
    <row r="377">
      <c r="A377" s="10" t="inlineStr">
        <is>
          <t>WY-0116</t>
        </is>
      </c>
      <c r="B377" s="10" t="inlineStr">
        <is>
          <t>Low Lane Convenience Store (Premier)</t>
        </is>
      </c>
      <c r="C377" s="10" t="inlineStr">
        <is>
          <t>Batley</t>
        </is>
      </c>
      <c r="D377" s="10" t="inlineStr">
        <is>
          <t>https://www.premier-stores.co.uk/our-stores/low-lane-convenience-store</t>
        </is>
      </c>
      <c r="E377" s="10" t="inlineStr">
        <is>
          <t>Official Website</t>
        </is>
      </c>
      <c r="F377" s="10" t="inlineStr">
        <is>
          <t>2026-09-16</t>
        </is>
      </c>
      <c r="G377" s="10" t="inlineStr">
        <is>
          <t>store listing, address (symbol group locator)</t>
        </is>
      </c>
      <c r="H377" s="10" t="inlineStr">
        <is>
          <t>Requires Verification</t>
        </is>
      </c>
    </row>
    <row r="378">
      <c r="A378" s="5" t="inlineStr">
        <is>
          <t>WY-0117</t>
        </is>
      </c>
      <c r="B378" s="5" t="inlineStr">
        <is>
          <t>Mace News &amp; Off Licence</t>
        </is>
      </c>
      <c r="C378" s="5" t="inlineStr">
        <is>
          <t>Shipley</t>
        </is>
      </c>
      <c r="D378" s="5" t="inlineStr">
        <is>
          <t>https://www.yorkshire.com/shipley/shopping/off-license/mace-news-off-licence</t>
        </is>
      </c>
      <c r="E378" s="5" t="inlineStr">
        <is>
          <t>Directory</t>
        </is>
      </c>
      <c r="F378" s="5" t="inlineStr">
        <is>
          <t>2026-09-16</t>
        </is>
      </c>
      <c r="G378" s="5" t="inlineStr">
        <is>
          <t>name, Otley Road Baildon location, hours (search snippet)</t>
        </is>
      </c>
      <c r="H378" s="5" t="inlineStr">
        <is>
          <t>Requires Verification</t>
        </is>
      </c>
    </row>
    <row r="379">
      <c r="A379" s="10" t="inlineStr">
        <is>
          <t>WY-0118</t>
        </is>
      </c>
      <c r="B379" s="10" t="inlineStr">
        <is>
          <t>Martinez Wines</t>
        </is>
      </c>
      <c r="C379" s="10" t="inlineStr">
        <is>
          <t>Ilkley</t>
        </is>
      </c>
      <c r="D379" s="10" t="inlineStr">
        <is>
          <t>https://martinez.co.uk/shop-services/contact/</t>
        </is>
      </c>
      <c r="E379" s="10" t="inlineStr">
        <is>
          <t>Official Website</t>
        </is>
      </c>
      <c r="F379" s="10" t="inlineStr">
        <is>
          <t>2026-09-16</t>
        </is>
      </c>
      <c r="G379" s="10" t="inlineStr">
        <is>
          <t>address 35 The Grove LS29 9NJ, phone, email shop@martinez.co.uk, hours (search snippet; fetch blocked)</t>
        </is>
      </c>
      <c r="H379" s="10" t="inlineStr">
        <is>
          <t>Requires Verification</t>
        </is>
      </c>
    </row>
    <row r="380">
      <c r="A380" s="5" t="inlineStr">
        <is>
          <t>WY-0118</t>
        </is>
      </c>
      <c r="B380" s="5" t="inlineStr">
        <is>
          <t>Martinez Wines</t>
        </is>
      </c>
      <c r="C380" s="5" t="inlineStr">
        <is>
          <t>Ilkley</t>
        </is>
      </c>
      <c r="D380" s="5" t="inlineStr">
        <is>
          <t>https://www.yelp.com/biz/martinez-wines-ilkley</t>
        </is>
      </c>
      <c r="E380" s="5" t="inlineStr">
        <is>
          <t>Directory</t>
        </is>
      </c>
      <c r="F380" s="5" t="inlineStr">
        <is>
          <t>2026-09-16</t>
        </is>
      </c>
      <c r="G380" s="5" t="inlineStr">
        <is>
          <t>address cross-check (search result)</t>
        </is>
      </c>
      <c r="H380" s="5" t="inlineStr">
        <is>
          <t>Requires Verification</t>
        </is>
      </c>
    </row>
    <row r="381">
      <c r="A381" s="10" t="inlineStr">
        <is>
          <t>WY-0118</t>
        </is>
      </c>
      <c r="B381" s="10" t="inlineStr">
        <is>
          <t>Martinez Wines</t>
        </is>
      </c>
      <c r="C381" s="10" t="inlineStr">
        <is>
          <t>Ilkley</t>
        </is>
      </c>
      <c r="D381" s="10" t="inlineStr">
        <is>
          <t>https://www.instagram.com/martinezwines/</t>
        </is>
      </c>
      <c r="E381" s="10" t="inlineStr">
        <is>
          <t>Instagram</t>
        </is>
      </c>
      <c r="F381" s="10" t="inlineStr">
        <is>
          <t>2026-09-16</t>
        </is>
      </c>
      <c r="G381" s="10" t="inlineStr">
        <is>
          <t>social (instagram)</t>
        </is>
      </c>
      <c r="H381" s="10" t="inlineStr">
        <is>
          <t>Requires Verification</t>
        </is>
      </c>
    </row>
    <row r="382">
      <c r="A382" s="5" t="inlineStr">
        <is>
          <t>WY-0119</t>
        </is>
      </c>
      <c r="B382" s="5" t="inlineStr">
        <is>
          <t>Matharu Newsagents</t>
        </is>
      </c>
      <c r="C382" s="5" t="inlineStr">
        <is>
          <t>Leeds</t>
        </is>
      </c>
      <c r="D382" s="5" t="inlineStr">
        <is>
          <t>https://findit.yorkshireeveningpost.co.uk/search/leeds/newsagent</t>
        </is>
      </c>
      <c r="E382" s="5" t="inlineStr">
        <is>
          <t>Directory</t>
        </is>
      </c>
      <c r="F382" s="5" t="inlineStr">
        <is>
          <t>2026-09-16</t>
        </is>
      </c>
      <c r="G382" s="5" t="inlineStr">
        <is>
          <t>name, address, phone (via search results)</t>
        </is>
      </c>
      <c r="H382" s="5" t="inlineStr">
        <is>
          <t>Requires Verification</t>
        </is>
      </c>
    </row>
    <row r="383">
      <c r="A383" s="10" t="inlineStr">
        <is>
          <t>WY-0120</t>
        </is>
      </c>
      <c r="B383" s="10" t="inlineStr">
        <is>
          <t>Meltham Convenience Store</t>
        </is>
      </c>
      <c r="C383" s="10" t="inlineStr">
        <is>
          <t>Meltham</t>
        </is>
      </c>
      <c r="D383" s="10" t="inlineStr">
        <is>
          <t>https://www.yell.com/biz/meltham-convenience-store-holmfirth-9079746/</t>
        </is>
      </c>
      <c r="E383" s="10" t="inlineStr">
        <is>
          <t>Yell</t>
        </is>
      </c>
      <c r="F383" s="10" t="inlineStr">
        <is>
          <t>2026-09-16</t>
        </is>
      </c>
      <c r="G383" s="10" t="inlineStr">
        <is>
          <t>listing, category</t>
        </is>
      </c>
      <c r="H383" s="10" t="inlineStr">
        <is>
          <t>Requires Verification</t>
        </is>
      </c>
    </row>
    <row r="384">
      <c r="A384" s="5" t="inlineStr">
        <is>
          <t>WY-0120</t>
        </is>
      </c>
      <c r="B384" s="5" t="inlineStr">
        <is>
          <t>Meltham Convenience Store</t>
        </is>
      </c>
      <c r="C384" s="5" t="inlineStr">
        <is>
          <t>Meltham</t>
        </is>
      </c>
      <c r="D384" s="5" t="inlineStr">
        <is>
          <t>https://directory.gazettelive.co.uk/company/d9f72795f940854d6693354206b3bc2d</t>
        </is>
      </c>
      <c r="E384" s="5" t="inlineStr">
        <is>
          <t>Directory</t>
        </is>
      </c>
      <c r="F384" s="5" t="inlineStr">
        <is>
          <t>2026-09-16</t>
        </is>
      </c>
      <c r="G384" s="5" t="inlineStr">
        <is>
          <t>address, postcode, phone</t>
        </is>
      </c>
      <c r="H384" s="5" t="inlineStr">
        <is>
          <t>Requires Verification</t>
        </is>
      </c>
    </row>
    <row r="385">
      <c r="A385" s="10" t="inlineStr">
        <is>
          <t>WY-0121</t>
        </is>
      </c>
      <c r="B385" s="10" t="inlineStr">
        <is>
          <t>Mister Motivaper</t>
        </is>
      </c>
      <c r="C385" s="10" t="inlineStr">
        <is>
          <t>Pontefract</t>
        </is>
      </c>
      <c r="D385" s="10" t="inlineStr">
        <is>
          <t>https://ecigdirectory.co.uk/vape-shop/listing/mister-motivaper-pontefract</t>
        </is>
      </c>
      <c r="E385" s="10" t="inlineStr">
        <is>
          <t>Directory</t>
        </is>
      </c>
      <c r="F385" s="10" t="inlineStr">
        <is>
          <t>2026-09-16</t>
        </is>
      </c>
      <c r="G385" s="10" t="inlineStr">
        <is>
          <t>address 7 Horse Fair, phone</t>
        </is>
      </c>
      <c r="H385" s="10" t="inlineStr">
        <is>
          <t>Requires Verification</t>
        </is>
      </c>
    </row>
    <row r="386">
      <c r="A386" s="5" t="inlineStr">
        <is>
          <t>WY-0122</t>
        </is>
      </c>
      <c r="B386" s="5" t="inlineStr">
        <is>
          <t>Mount Pellon Newsagent</t>
        </is>
      </c>
      <c r="C386" s="5" t="inlineStr">
        <is>
          <t>Halifax</t>
        </is>
      </c>
      <c r="D386" s="5" t="inlineStr">
        <is>
          <t>https://www.misterwhat.co.uk/company/573371-mount-pellon-newsagent-halifax</t>
        </is>
      </c>
      <c r="E386" s="5" t="inlineStr">
        <is>
          <t>Directory</t>
        </is>
      </c>
      <c r="F386" s="5" t="inlineStr">
        <is>
          <t>2026-09-16</t>
        </is>
      </c>
      <c r="G386" s="5" t="inlineStr">
        <is>
          <t>postcode, phone</t>
        </is>
      </c>
      <c r="H386" s="5" t="inlineStr">
        <is>
          <t>Requires Verification</t>
        </is>
      </c>
    </row>
    <row r="387">
      <c r="A387" s="10" t="inlineStr">
        <is>
          <t>WY-0122</t>
        </is>
      </c>
      <c r="B387" s="10" t="inlineStr">
        <is>
          <t>Mount Pellon Newsagent</t>
        </is>
      </c>
      <c r="C387" s="10" t="inlineStr">
        <is>
          <t>Halifax</t>
        </is>
      </c>
      <c r="D387" s="10" t="inlineStr">
        <is>
          <t>https://www.yorkshire.com/halifax/shopping/corner-shops/mount-pellon-newsagent</t>
        </is>
      </c>
      <c r="E387" s="10" t="inlineStr">
        <is>
          <t>Directory</t>
        </is>
      </c>
      <c r="F387" s="10" t="inlineStr">
        <is>
          <t>2026-09-16</t>
        </is>
      </c>
      <c r="G387" s="10" t="inlineStr">
        <is>
          <t>street, description</t>
        </is>
      </c>
      <c r="H387" s="10" t="inlineStr">
        <is>
          <t>Requires Verification</t>
        </is>
      </c>
    </row>
    <row r="388">
      <c r="A388" s="5" t="inlineStr">
        <is>
          <t>WY-0123</t>
        </is>
      </c>
      <c r="B388" s="5" t="inlineStr">
        <is>
          <t>Mount Vapes</t>
        </is>
      </c>
      <c r="C388" s="5" t="inlineStr">
        <is>
          <t>Halifax</t>
        </is>
      </c>
      <c r="D388" s="5" t="inlineStr">
        <is>
          <t>https://mountvapes.co.uk/</t>
        </is>
      </c>
      <c r="E388" s="5" t="inlineStr">
        <is>
          <t>Official Website</t>
        </is>
      </c>
      <c r="F388" s="5" t="inlineStr">
        <is>
          <t>2026-09-16</t>
        </is>
      </c>
      <c r="G388" s="5" t="inlineStr">
        <is>
          <t>website URL seen in search results (fetch blocked)</t>
        </is>
      </c>
      <c r="H388" s="5" t="inlineStr">
        <is>
          <t>Requires Verification</t>
        </is>
      </c>
    </row>
    <row r="389">
      <c r="A389" s="10" t="inlineStr">
        <is>
          <t>WY-0123</t>
        </is>
      </c>
      <c r="B389" s="10" t="inlineStr">
        <is>
          <t>Mount Vapes</t>
        </is>
      </c>
      <c r="C389" s="10" t="inlineStr">
        <is>
          <t>Halifax</t>
        </is>
      </c>
      <c r="D389" s="10" t="inlineStr">
        <is>
          <t>https://vapeshops.puffingbird.com/yorkshire-and-the-humber/halifax/mount-vapes</t>
        </is>
      </c>
      <c r="E389" s="10" t="inlineStr">
        <is>
          <t>Directory</t>
        </is>
      </c>
      <c r="F389" s="10" t="inlineStr">
        <is>
          <t>2026-09-16</t>
        </is>
      </c>
      <c r="G389" s="10" t="inlineStr">
        <is>
          <t>location area (Boothtown, Halifax)</t>
        </is>
      </c>
      <c r="H389" s="10" t="inlineStr">
        <is>
          <t>Requires Verification</t>
        </is>
      </c>
    </row>
    <row r="390">
      <c r="A390" s="5" t="inlineStr">
        <is>
          <t>WY-0123</t>
        </is>
      </c>
      <c r="B390" s="5" t="inlineStr">
        <is>
          <t>Mount Vapes</t>
        </is>
      </c>
      <c r="C390" s="5" t="inlineStr">
        <is>
          <t>Halifax</t>
        </is>
      </c>
      <c r="D390" s="5" t="inlineStr">
        <is>
          <t>https://www.yelp.com/biz/mount-vapes-halifax-halifax</t>
        </is>
      </c>
      <c r="E390" s="5" t="inlineStr">
        <is>
          <t>Directory</t>
        </is>
      </c>
      <c r="F390" s="5" t="inlineStr">
        <is>
          <t>2026-09-16</t>
        </is>
      </c>
      <c r="G390" s="5" t="inlineStr">
        <is>
          <t>postcode, phone</t>
        </is>
      </c>
      <c r="H390" s="5" t="inlineStr">
        <is>
          <t>Requires Verification</t>
        </is>
      </c>
    </row>
    <row r="391">
      <c r="A391" s="10" t="inlineStr">
        <is>
          <t>WY-0124</t>
        </is>
      </c>
      <c r="B391" s="10" t="inlineStr">
        <is>
          <t>Mytholmroyd Post Office</t>
        </is>
      </c>
      <c r="C391" s="10" t="inlineStr">
        <is>
          <t>Mytholmroyd</t>
        </is>
      </c>
      <c r="D391" s="10" t="inlineStr">
        <is>
          <t>https://www.postoffice.co.uk/branch-finder/6314589/mytholmroyd</t>
        </is>
      </c>
      <c r="E391" s="10" t="inlineStr">
        <is>
          <t>Directory</t>
        </is>
      </c>
      <c r="F391" s="10" t="inlineStr">
        <is>
          <t>2026-09-16</t>
        </is>
      </c>
      <c r="G391" s="10" t="inlineStr">
        <is>
          <t>address, postcode, hours</t>
        </is>
      </c>
      <c r="H391" s="10" t="inlineStr">
        <is>
          <t>Requires Verification</t>
        </is>
      </c>
    </row>
    <row r="392">
      <c r="A392" s="5" t="inlineStr">
        <is>
          <t>WY-0124</t>
        </is>
      </c>
      <c r="B392" s="5" t="inlineStr">
        <is>
          <t>Mytholmroyd Post Office</t>
        </is>
      </c>
      <c r="C392" s="5" t="inlineStr">
        <is>
          <t>Mytholmroyd</t>
        </is>
      </c>
      <c r="D392" s="5" t="inlineStr">
        <is>
          <t>https://findit.halifaxcourier.co.uk/company/1235285678424065</t>
        </is>
      </c>
      <c r="E392" s="5" t="inlineStr">
        <is>
          <t>Directory</t>
        </is>
      </c>
      <c r="F392" s="5" t="inlineStr">
        <is>
          <t>2026-09-16</t>
        </is>
      </c>
      <c r="G392" s="5" t="inlineStr">
        <is>
          <t>address confirmation</t>
        </is>
      </c>
      <c r="H392" s="5" t="inlineStr">
        <is>
          <t>Requires Verification</t>
        </is>
      </c>
    </row>
    <row r="393">
      <c r="A393" s="10" t="inlineStr">
        <is>
          <t>UK-000266</t>
        </is>
      </c>
      <c r="B393" s="10" t="inlineStr">
        <is>
          <t>Ninnsi</t>
        </is>
      </c>
      <c r="C393" s="10" t="inlineStr">
        <is>
          <t>Kingston upon Hull</t>
        </is>
      </c>
      <c r="D393" s="10" t="inlineStr">
        <is>
          <t>https://ninnsi.co.uk/</t>
        </is>
      </c>
      <c r="E393" s="10" t="inlineStr">
        <is>
          <t>Official Website</t>
        </is>
      </c>
      <c r="F393" s="10" t="inlineStr">
        <is>
          <t>2026-09-16</t>
        </is>
      </c>
      <c r="G393" s="10" t="inlineStr">
        <is>
          <t>name, oriental store, Hull (via search results)</t>
        </is>
      </c>
      <c r="H393" s="10" t="inlineStr">
        <is>
          <t>Partially Verified</t>
        </is>
      </c>
    </row>
    <row r="394">
      <c r="A394" s="5" t="inlineStr">
        <is>
          <t>WY-0125</t>
        </is>
      </c>
      <c r="B394" s="5" t="inlineStr">
        <is>
          <t>Nisa Local Knottingley</t>
        </is>
      </c>
      <c r="C394" s="5" t="inlineStr">
        <is>
          <t>Knottingley</t>
        </is>
      </c>
      <c r="D394" s="5" t="inlineStr">
        <is>
          <t>https://www.192.com/atoz/business/knottingley-wf11/convenience-stores/nisa-local/d0b6a47364fa16c413905a4073529e9cdcb620e7/ugc/</t>
        </is>
      </c>
      <c r="E394" s="5" t="inlineStr">
        <is>
          <t>Directory</t>
        </is>
      </c>
      <c r="F394" s="5" t="inlineStr">
        <is>
          <t>2026-09-16</t>
        </is>
      </c>
      <c r="G394" s="5" t="inlineStr">
        <is>
          <t>address 12-14 Pinewood Place WF11 0QH</t>
        </is>
      </c>
      <c r="H394" s="5" t="inlineStr">
        <is>
          <t>Requires Verification</t>
        </is>
      </c>
    </row>
    <row r="395">
      <c r="A395" s="10" t="inlineStr">
        <is>
          <t>WY-0125</t>
        </is>
      </c>
      <c r="B395" s="10" t="inlineStr">
        <is>
          <t>Nisa Local Knottingley</t>
        </is>
      </c>
      <c r="C395" s="10" t="inlineStr">
        <is>
          <t>Knottingley</t>
        </is>
      </c>
      <c r="D395" s="10" t="inlineStr">
        <is>
          <t>https://firmania.co.uk/knottingley/nisa-local-3062274</t>
        </is>
      </c>
      <c r="E395" s="10" t="inlineStr">
        <is>
          <t>Directory</t>
        </is>
      </c>
      <c r="F395" s="10" t="inlineStr">
        <is>
          <t>2026-09-16</t>
        </is>
      </c>
      <c r="G395" s="10" t="inlineStr">
        <is>
          <t>phone 01977 607202</t>
        </is>
      </c>
      <c r="H395" s="10" t="inlineStr">
        <is>
          <t>Requires Verification</t>
        </is>
      </c>
    </row>
    <row r="396">
      <c r="A396" s="5" t="inlineStr">
        <is>
          <t>WY-0125</t>
        </is>
      </c>
      <c r="B396" s="5" t="inlineStr">
        <is>
          <t>Nisa Local Knottingley</t>
        </is>
      </c>
      <c r="C396" s="5" t="inlineStr">
        <is>
          <t>Knottingley</t>
        </is>
      </c>
      <c r="D396" s="5" t="inlineStr">
        <is>
          <t>https://www.nisalocally.co.uk/stores/west-yorkshire/knottingley</t>
        </is>
      </c>
      <c r="E396" s="5" t="inlineStr">
        <is>
          <t>Official Website</t>
        </is>
      </c>
      <c r="F396" s="5" t="inlineStr">
        <is>
          <t>2026-09-16</t>
        </is>
      </c>
      <c r="G396" s="5" t="inlineStr">
        <is>
          <t>store finder presence (seen in search results; fetch blocked)</t>
        </is>
      </c>
      <c r="H396" s="5" t="inlineStr">
        <is>
          <t>Requires Verification</t>
        </is>
      </c>
    </row>
    <row r="397">
      <c r="A397" s="10" t="inlineStr">
        <is>
          <t>WY-0125</t>
        </is>
      </c>
      <c r="B397" s="10" t="inlineStr">
        <is>
          <t>Nisa Local Knottingley</t>
        </is>
      </c>
      <c r="C397" s="10" t="inlineStr">
        <is>
          <t>Knottingley</t>
        </is>
      </c>
      <c r="D397" s="10" t="inlineStr">
        <is>
          <t>https://www.facebook.com/NisaLocalPinewoodPlaceKnottingley/</t>
        </is>
      </c>
      <c r="E397" s="10" t="inlineStr">
        <is>
          <t>Facebook</t>
        </is>
      </c>
      <c r="F397" s="10" t="inlineStr">
        <is>
          <t>2026-09-16</t>
        </is>
      </c>
      <c r="G397" s="10" t="inlineStr">
        <is>
          <t>social (facebook)</t>
        </is>
      </c>
      <c r="H397" s="10" t="inlineStr">
        <is>
          <t>Requires Verification</t>
        </is>
      </c>
    </row>
    <row r="398">
      <c r="A398" s="5" t="inlineStr">
        <is>
          <t>WY-0126</t>
        </is>
      </c>
      <c r="B398" s="5" t="inlineStr">
        <is>
          <t>Northowram Post Office</t>
        </is>
      </c>
      <c r="C398" s="5" t="inlineStr">
        <is>
          <t>Halifax</t>
        </is>
      </c>
      <c r="D398" s="5" t="inlineStr">
        <is>
          <t>https://www.postoffice.co.uk/branch-finder/6204589/northowram</t>
        </is>
      </c>
      <c r="E398" s="5" t="inlineStr">
        <is>
          <t>Directory</t>
        </is>
      </c>
      <c r="F398" s="5" t="inlineStr">
        <is>
          <t>2026-09-16</t>
        </is>
      </c>
      <c r="G398" s="5" t="inlineStr">
        <is>
          <t>address, postcode, hours</t>
        </is>
      </c>
      <c r="H398" s="5" t="inlineStr">
        <is>
          <t>Requires Verification</t>
        </is>
      </c>
    </row>
    <row r="399">
      <c r="A399" s="10" t="inlineStr">
        <is>
          <t>WY-0126</t>
        </is>
      </c>
      <c r="B399" s="10" t="inlineStr">
        <is>
          <t>Northowram Post Office</t>
        </is>
      </c>
      <c r="C399" s="10" t="inlineStr">
        <is>
          <t>Halifax</t>
        </is>
      </c>
      <c r="D399" s="10" t="inlineStr">
        <is>
          <t>https://www.royalmail.com/services-near-you/post-office/northowram-hx3-7dx</t>
        </is>
      </c>
      <c r="E399" s="10" t="inlineStr">
        <is>
          <t>Directory</t>
        </is>
      </c>
      <c r="F399" s="10" t="inlineStr">
        <is>
          <t>2026-09-16</t>
        </is>
      </c>
      <c r="G399" s="10" t="inlineStr">
        <is>
          <t>listing confirmation</t>
        </is>
      </c>
      <c r="H399" s="10" t="inlineStr">
        <is>
          <t>Requires Verification</t>
        </is>
      </c>
    </row>
    <row r="400">
      <c r="A400" s="5" t="inlineStr">
        <is>
          <t>WY-0127</t>
        </is>
      </c>
      <c r="B400" s="5" t="inlineStr">
        <is>
          <t>Notay Convenience Store (Premier)</t>
        </is>
      </c>
      <c r="C400" s="5" t="inlineStr">
        <is>
          <t>Batley</t>
        </is>
      </c>
      <c r="D400" s="5" t="inlineStr">
        <is>
          <t>https://www.premier-stores.co.uk/our-stores/notay-convenience-store</t>
        </is>
      </c>
      <c r="E400" s="5" t="inlineStr">
        <is>
          <t>Official Website</t>
        </is>
      </c>
      <c r="F400" s="5" t="inlineStr">
        <is>
          <t>2026-09-16</t>
        </is>
      </c>
      <c r="G400" s="5" t="inlineStr">
        <is>
          <t>store listing, address, phone (symbol group locator)</t>
        </is>
      </c>
      <c r="H400" s="5" t="inlineStr">
        <is>
          <t>Requires Verification</t>
        </is>
      </c>
    </row>
    <row r="401">
      <c r="A401" s="10" t="inlineStr">
        <is>
          <t>WY-0128</t>
        </is>
      </c>
      <c r="B401" s="10" t="inlineStr">
        <is>
          <t>Off Licence and Convenience Store (Cutsyke)</t>
        </is>
      </c>
      <c r="C401" s="10" t="inlineStr">
        <is>
          <t>Castleford</t>
        </is>
      </c>
      <c r="D401" s="10" t="inlineStr">
        <is>
          <t>https://ratings.food.gov.uk/business/1268724/off-licence-and-convenience-store-castleford</t>
        </is>
      </c>
      <c r="E401" s="10" t="inlineStr">
        <is>
          <t>Other</t>
        </is>
      </c>
      <c r="F401" s="10" t="inlineStr">
        <is>
          <t>2026-09-16</t>
        </is>
      </c>
      <c r="G401" s="10" t="inlineStr">
        <is>
          <t>name, address 2 Leeds Road, Cutsyke, WF10 5HA</t>
        </is>
      </c>
      <c r="H401" s="10" t="inlineStr">
        <is>
          <t>Requires Verification</t>
        </is>
      </c>
    </row>
    <row r="402">
      <c r="A402" s="5" t="inlineStr">
        <is>
          <t>WY-0129</t>
        </is>
      </c>
      <c r="B402" s="5" t="inlineStr">
        <is>
          <t>Outwood Express</t>
        </is>
      </c>
      <c r="C402" s="5" t="inlineStr">
        <is>
          <t>Wakefield</t>
        </is>
      </c>
      <c r="D402" s="5" t="inlineStr">
        <is>
          <t>https://www.yell.com/biz/outwood-express-wakefield-10165328/</t>
        </is>
      </c>
      <c r="E402" s="5" t="inlineStr">
        <is>
          <t>Yell</t>
        </is>
      </c>
      <c r="F402" s="5" t="inlineStr">
        <is>
          <t>2026-09-16</t>
        </is>
      </c>
      <c r="G402" s="5" t="inlineStr">
        <is>
          <t>existence, Outwood/Wakefield location</t>
        </is>
      </c>
      <c r="H402" s="5" t="inlineStr">
        <is>
          <t>Requires Verification</t>
        </is>
      </c>
    </row>
    <row r="403">
      <c r="A403" s="10" t="inlineStr">
        <is>
          <t>WY-0130</t>
        </is>
      </c>
      <c r="B403" s="10" t="inlineStr">
        <is>
          <t>Pakeezah Superstore</t>
        </is>
      </c>
      <c r="C403" s="10" t="inlineStr">
        <is>
          <t>Bradford</t>
        </is>
      </c>
      <c r="D403" s="10" t="inlineStr">
        <is>
          <t>https://www.thomsonlocal.com/search/supermarkets/bradford-keighley-skipton/pakeezah/1241547/01274739500</t>
        </is>
      </c>
      <c r="E403" s="10" t="inlineStr">
        <is>
          <t>Directory</t>
        </is>
      </c>
      <c r="F403" s="10" t="inlineStr">
        <is>
          <t>2026-09-16</t>
        </is>
      </c>
      <c r="G403" s="10" t="inlineStr">
        <is>
          <t>phone 01274 739500 (search result)</t>
        </is>
      </c>
      <c r="H403" s="10" t="inlineStr">
        <is>
          <t>Partially Verified</t>
        </is>
      </c>
    </row>
    <row r="404">
      <c r="A404" s="5" t="inlineStr">
        <is>
          <t>WY-0130</t>
        </is>
      </c>
      <c r="B404" s="5" t="inlineStr">
        <is>
          <t>Pakeezah Superstore</t>
        </is>
      </c>
      <c r="C404" s="5" t="inlineStr">
        <is>
          <t>Bradford</t>
        </is>
      </c>
      <c r="D404" s="5" t="inlineStr">
        <is>
          <t>https://www.yelp.com/biz/pakeezah-superstore-bradford</t>
        </is>
      </c>
      <c r="E404" s="5" t="inlineStr">
        <is>
          <t>Directory</t>
        </is>
      </c>
      <c r="F404" s="5" t="inlineStr">
        <is>
          <t>2026-09-16</t>
        </is>
      </c>
      <c r="G404" s="5" t="inlineStr">
        <is>
          <t>address 91 Edderthorpe Street BD3 9UD (search snippet)</t>
        </is>
      </c>
      <c r="H404" s="5" t="inlineStr">
        <is>
          <t>Partially Verified</t>
        </is>
      </c>
    </row>
    <row r="405">
      <c r="A405" s="10" t="inlineStr">
        <is>
          <t>WY-0130</t>
        </is>
      </c>
      <c r="B405" s="10" t="inlineStr">
        <is>
          <t>Pakeezah Superstore</t>
        </is>
      </c>
      <c r="C405" s="10" t="inlineStr">
        <is>
          <t>Bradford</t>
        </is>
      </c>
      <c r="D405" s="10" t="inlineStr">
        <is>
          <t>https://www.hotfrog.co.uk/company/1097305308241920/pakeezah-superstore/bradford/beverages</t>
        </is>
      </c>
      <c r="E405" s="10" t="inlineStr">
        <is>
          <t>Directory</t>
        </is>
      </c>
      <c r="F405" s="10" t="inlineStr">
        <is>
          <t>2026-09-16</t>
        </is>
      </c>
      <c r="G405" s="10" t="inlineStr">
        <is>
          <t>email</t>
        </is>
      </c>
      <c r="H405" s="10" t="inlineStr">
        <is>
          <t>Partially Verified</t>
        </is>
      </c>
    </row>
    <row r="406">
      <c r="A406" s="5" t="inlineStr">
        <is>
          <t>WY-0131</t>
        </is>
      </c>
      <c r="B406" s="5" t="inlineStr">
        <is>
          <t>Phantom Vape Store</t>
        </is>
      </c>
      <c r="C406" s="5" t="inlineStr">
        <is>
          <t>Dewsbury</t>
        </is>
      </c>
      <c r="D406" s="5" t="inlineStr">
        <is>
          <t>https://www.phantomvapes.co.uk/vape-shop-dewsbury</t>
        </is>
      </c>
      <c r="E406" s="5" t="inlineStr">
        <is>
          <t>Official Website</t>
        </is>
      </c>
      <c r="F406" s="5" t="inlineStr">
        <is>
          <t>2026-09-16</t>
        </is>
      </c>
      <c r="G406" s="5" t="inlineStr">
        <is>
          <t>address, postcode (from search result snippet of own site)</t>
        </is>
      </c>
      <c r="H406" s="5" t="inlineStr">
        <is>
          <t>Requires Verification</t>
        </is>
      </c>
    </row>
    <row r="407">
      <c r="A407" s="10" t="inlineStr">
        <is>
          <t>WY-0131</t>
        </is>
      </c>
      <c r="B407" s="10" t="inlineStr">
        <is>
          <t>Phantom Vape Store</t>
        </is>
      </c>
      <c r="C407" s="10" t="inlineStr">
        <is>
          <t>Dewsbury</t>
        </is>
      </c>
      <c r="D407" s="10" t="inlineStr">
        <is>
          <t>https://www.facebook.com/61578393599194/</t>
        </is>
      </c>
      <c r="E407" s="10" t="inlineStr">
        <is>
          <t>Facebook</t>
        </is>
      </c>
      <c r="F407" s="10" t="inlineStr">
        <is>
          <t>2026-09-16</t>
        </is>
      </c>
      <c r="G407" s="10" t="inlineStr">
        <is>
          <t>social (facebook)</t>
        </is>
      </c>
      <c r="H407" s="10" t="inlineStr">
        <is>
          <t>Requires Verification</t>
        </is>
      </c>
    </row>
    <row r="408">
      <c r="A408" s="5" t="inlineStr">
        <is>
          <t>WY-0132</t>
        </is>
      </c>
      <c r="B408" s="5" t="inlineStr">
        <is>
          <t>Phoenix Filling Station</t>
        </is>
      </c>
      <c r="C408" s="5" t="inlineStr">
        <is>
          <t>Bradford</t>
        </is>
      </c>
      <c r="D408" s="5" t="inlineStr">
        <is>
          <t>https://find-and-update.company-information.service.gov.uk/company/11511613</t>
        </is>
      </c>
      <c r="E408" s="5" t="inlineStr">
        <is>
          <t>Companies House</t>
        </is>
      </c>
      <c r="F408" s="5" t="inlineStr">
        <is>
          <t>2026-09-16</t>
        </is>
      </c>
      <c r="G408" s="5" t="inlineStr">
        <is>
          <t>company Phoenix Filling Station Ltd 11511613 (search result; direct fetch blocked)</t>
        </is>
      </c>
      <c r="H408" s="5" t="inlineStr">
        <is>
          <t>Partially Verified</t>
        </is>
      </c>
    </row>
    <row r="409">
      <c r="A409" s="10" t="inlineStr">
        <is>
          <t>WY-0132</t>
        </is>
      </c>
      <c r="B409" s="10" t="inlineStr">
        <is>
          <t>Phoenix Filling Station</t>
        </is>
      </c>
      <c r="C409" s="10" t="inlineStr">
        <is>
          <t>Bradford</t>
        </is>
      </c>
      <c r="D409" s="10" t="inlineStr">
        <is>
          <t>https://www.mylocalservices.co.uk/Phoenix+Filling+Station-Bradford-2646217.html</t>
        </is>
      </c>
      <c r="E409" s="10" t="inlineStr">
        <is>
          <t>Directory</t>
        </is>
      </c>
      <c r="F409" s="10" t="inlineStr">
        <is>
          <t>2026-09-16</t>
        </is>
      </c>
      <c r="G409" s="10" t="inlineStr">
        <is>
          <t>address 93 Listerhills Road BD7 1JT, phone, 24hr (search snippet)</t>
        </is>
      </c>
      <c r="H409" s="10" t="inlineStr">
        <is>
          <t>Partially Verified</t>
        </is>
      </c>
    </row>
    <row r="410">
      <c r="A410" s="5" t="inlineStr">
        <is>
          <t>WY-0132</t>
        </is>
      </c>
      <c r="B410" s="5" t="inlineStr">
        <is>
          <t>Phoenix Filling Station</t>
        </is>
      </c>
      <c r="C410" s="5" t="inlineStr">
        <is>
          <t>Bradford</t>
        </is>
      </c>
      <c r="D410" s="5" t="inlineStr">
        <is>
          <t>https://map.bp.com/en-GB/GB/petrol-station/bradford/phoenix-filling-station/1855207019</t>
        </is>
      </c>
      <c r="E410" s="5" t="inlineStr">
        <is>
          <t>Other</t>
        </is>
      </c>
      <c r="F410" s="5" t="inlineStr">
        <is>
          <t>2026-09-16</t>
        </is>
      </c>
      <c r="G410" s="5" t="inlineStr">
        <is>
          <t>BP brand confirmation (search result)</t>
        </is>
      </c>
      <c r="H410" s="5" t="inlineStr">
        <is>
          <t>Partially Verified</t>
        </is>
      </c>
    </row>
    <row r="411">
      <c r="A411" s="10" t="inlineStr">
        <is>
          <t>UK-000267</t>
        </is>
      </c>
      <c r="B411" s="10" t="inlineStr">
        <is>
          <t>Platinum Vape Hull</t>
        </is>
      </c>
      <c r="C411" s="10" t="inlineStr">
        <is>
          <t>Kingston upon Hull</t>
        </is>
      </c>
      <c r="D411" s="10" t="inlineStr">
        <is>
          <t>https://www.facebook.com/PlatinumVapehull/</t>
        </is>
      </c>
      <c r="E411" s="10" t="inlineStr">
        <is>
          <t>Facebook</t>
        </is>
      </c>
      <c r="F411" s="10" t="inlineStr">
        <is>
          <t>2026-09-16</t>
        </is>
      </c>
      <c r="G411" s="10" t="inlineStr">
        <is>
          <t>name, product range (via search results)</t>
        </is>
      </c>
      <c r="H411" s="10" t="inlineStr">
        <is>
          <t>Requires Verification</t>
        </is>
      </c>
    </row>
    <row r="412">
      <c r="A412" s="5" t="inlineStr">
        <is>
          <t>WY-0133</t>
        </is>
      </c>
      <c r="B412" s="5" t="inlineStr">
        <is>
          <t>Premier (Bingley Convenience Store)</t>
        </is>
      </c>
      <c r="C412" s="5" t="inlineStr">
        <is>
          <t>Bingley</t>
        </is>
      </c>
      <c r="D412" s="5" t="inlineStr">
        <is>
          <t>https://www.yorkshire.com/bingley/shopping/corner-shops/premier-bingley-convenience-store</t>
        </is>
      </c>
      <c r="E412" s="5" t="inlineStr">
        <is>
          <t>Directory</t>
        </is>
      </c>
      <c r="F412" s="5" t="inlineStr">
        <is>
          <t>2026-09-16</t>
        </is>
      </c>
      <c r="G412" s="5" t="inlineStr">
        <is>
          <t>name and Bingley location (search result)</t>
        </is>
      </c>
      <c r="H412" s="5" t="inlineStr">
        <is>
          <t>Requires Verification</t>
        </is>
      </c>
    </row>
    <row r="413">
      <c r="A413" s="10" t="inlineStr">
        <is>
          <t>WY-0134</t>
        </is>
      </c>
      <c r="B413" s="10" t="inlineStr">
        <is>
          <t>Premier Hemsworth</t>
        </is>
      </c>
      <c r="C413" s="10" t="inlineStr">
        <is>
          <t>Hemsworth</t>
        </is>
      </c>
      <c r="D413" s="10" t="inlineStr">
        <is>
          <t>https://hemsworth.ukintouch.com/convenience-store/premier-hemsworth/</t>
        </is>
      </c>
      <c r="E413" s="10" t="inlineStr">
        <is>
          <t>Directory</t>
        </is>
      </c>
      <c r="F413" s="10" t="inlineStr">
        <is>
          <t>2026-09-16</t>
        </is>
      </c>
      <c r="G413" s="10" t="inlineStr">
        <is>
          <t>name, address 51-55 Barnsley Road, Hemsworth WF9 4QZ</t>
        </is>
      </c>
      <c r="H413" s="10" t="inlineStr">
        <is>
          <t>Requires Verification</t>
        </is>
      </c>
    </row>
    <row r="414">
      <c r="A414" s="5" t="inlineStr">
        <is>
          <t>WY-0135</t>
        </is>
      </c>
      <c r="B414" s="5" t="inlineStr">
        <is>
          <t>Premier Wholesale Cash &amp; Carry</t>
        </is>
      </c>
      <c r="C414" s="5" t="inlineStr">
        <is>
          <t>Huddersfield</t>
        </is>
      </c>
      <c r="D414" s="5" t="inlineStr">
        <is>
          <t>https://www.yell.com/biz/premier-wholesale-cash-and-carry-huddersfield-943025/</t>
        </is>
      </c>
      <c r="E414" s="5" t="inlineStr">
        <is>
          <t>Yell</t>
        </is>
      </c>
      <c r="F414" s="5" t="inlineStr">
        <is>
          <t>2026-09-16</t>
        </is>
      </c>
      <c r="G414" s="5" t="inlineStr">
        <is>
          <t>name, address, postcode</t>
        </is>
      </c>
      <c r="H414" s="5" t="inlineStr">
        <is>
          <t>Requires Verification</t>
        </is>
      </c>
    </row>
    <row r="415">
      <c r="A415" s="10" t="inlineStr">
        <is>
          <t>WY-0136</t>
        </is>
      </c>
      <c r="B415" s="10" t="inlineStr">
        <is>
          <t>Quix Newsagents, Off Licence &amp; Convenience Store</t>
        </is>
      </c>
      <c r="C415" s="10" t="inlineStr">
        <is>
          <t>Shipley</t>
        </is>
      </c>
      <c r="D415" s="10" t="inlineStr">
        <is>
          <t>https://www.yorkshire.com/shipley/shopping/corner-shops/quix-newsagents-off-licence-convenience-store</t>
        </is>
      </c>
      <c r="E415" s="10" t="inlineStr">
        <is>
          <t>Directory</t>
        </is>
      </c>
      <c r="F415" s="10" t="inlineStr">
        <is>
          <t>2026-09-16</t>
        </is>
      </c>
      <c r="G415" s="10" t="inlineStr">
        <is>
          <t>name and Shipley location (search result)</t>
        </is>
      </c>
      <c r="H415" s="10" t="inlineStr">
        <is>
          <t>Requires Verification</t>
        </is>
      </c>
    </row>
    <row r="416">
      <c r="A416" s="5" t="inlineStr">
        <is>
          <t>WY-0137</t>
        </is>
      </c>
      <c r="B416" s="5" t="inlineStr">
        <is>
          <t>Rahien Mini Market</t>
        </is>
      </c>
      <c r="C416" s="5" t="inlineStr">
        <is>
          <t>Leeds</t>
        </is>
      </c>
      <c r="D416" s="5" t="inlineStr">
        <is>
          <t>https://www.yorkshire.com/headingley/shopping/markets/rahien-mini-market</t>
        </is>
      </c>
      <c r="E416" s="5" t="inlineStr">
        <is>
          <t>Directory</t>
        </is>
      </c>
      <c r="F416" s="5" t="inlineStr">
        <is>
          <t>2026-09-16</t>
        </is>
      </c>
      <c r="G416" s="5" t="inlineStr">
        <is>
          <t>name, Queen's Road location (via search results)</t>
        </is>
      </c>
      <c r="H416" s="5" t="inlineStr">
        <is>
          <t>Requires Verification</t>
        </is>
      </c>
    </row>
    <row r="417">
      <c r="A417" s="10" t="inlineStr">
        <is>
          <t>UK-000268</t>
        </is>
      </c>
      <c r="B417" s="10" t="inlineStr">
        <is>
          <t>Rawal Lounge Sheffield</t>
        </is>
      </c>
      <c r="C417" s="10" t="inlineStr">
        <is>
          <t>Sheffield</t>
        </is>
      </c>
      <c r="D417" s="10" t="inlineStr">
        <is>
          <t>https://www.instagram.com/rawallounge_sheffield/</t>
        </is>
      </c>
      <c r="E417" s="10" t="inlineStr">
        <is>
          <t>Instagram</t>
        </is>
      </c>
      <c r="F417" s="10" t="inlineStr">
        <is>
          <t>2026-09-16</t>
        </is>
      </c>
      <c r="G417" s="10" t="inlineStr">
        <is>
          <t>name, address, postcode, email</t>
        </is>
      </c>
      <c r="H417" s="10" t="inlineStr">
        <is>
          <t>Requires Verification</t>
        </is>
      </c>
    </row>
    <row r="418">
      <c r="A418" s="5" t="inlineStr">
        <is>
          <t>UK-000269</t>
        </is>
      </c>
      <c r="B418" s="5" t="inlineStr">
        <is>
          <t>Retreat Sheesha Lounge</t>
        </is>
      </c>
      <c r="C418" s="5" t="inlineStr">
        <is>
          <t>Kingston upon Hull</t>
        </is>
      </c>
      <c r="D418" s="5" t="inlineStr">
        <is>
          <t>https://www.tripadvisor.co.uk/Restaurant_Review-g186317-d4522051-Reviews-Retreat_Sheesha_Lounge-Kingston_upon_Hull_East_Riding_of_Yorkshire_England.html</t>
        </is>
      </c>
      <c r="E418" s="5" t="inlineStr">
        <is>
          <t>Directory</t>
        </is>
      </c>
      <c r="F418" s="5" t="inlineStr">
        <is>
          <t>2026-09-16</t>
        </is>
      </c>
      <c r="G418" s="5" t="inlineStr">
        <is>
          <t>name, Hull location (via search results)</t>
        </is>
      </c>
      <c r="H418" s="5" t="inlineStr">
        <is>
          <t>Requires Verification</t>
        </is>
      </c>
    </row>
    <row r="419">
      <c r="A419" s="10" t="inlineStr">
        <is>
          <t>WY-0138</t>
        </is>
      </c>
      <c r="B419" s="10" t="inlineStr">
        <is>
          <t>Revo Vapes</t>
        </is>
      </c>
      <c r="C419" s="10" t="inlineStr">
        <is>
          <t>Morley</t>
        </is>
      </c>
      <c r="D419" s="10" t="inlineStr">
        <is>
          <t>https://revo-vapes.wheree.com/</t>
        </is>
      </c>
      <c r="E419" s="10" t="inlineStr">
        <is>
          <t>Directory</t>
        </is>
      </c>
      <c r="F419" s="10" t="inlineStr">
        <is>
          <t>2026-09-16</t>
        </is>
      </c>
      <c r="G419" s="10" t="inlineStr">
        <is>
          <t>name, full address (via search results)</t>
        </is>
      </c>
      <c r="H419" s="10" t="inlineStr">
        <is>
          <t>Requires Verification</t>
        </is>
      </c>
    </row>
    <row r="420">
      <c r="A420" s="5" t="inlineStr">
        <is>
          <t>UK-000270</t>
        </is>
      </c>
      <c r="B420" s="5" t="inlineStr">
        <is>
          <t>Revolution Vape</t>
        </is>
      </c>
      <c r="C420" s="5" t="inlineStr">
        <is>
          <t>Rotherham</t>
        </is>
      </c>
      <c r="D420" s="5" t="inlineStr">
        <is>
          <t>https://wath-upon-dearne.cylex-uk.co.uk/company/revolution-vape-19882113.html</t>
        </is>
      </c>
      <c r="E420" s="5" t="inlineStr">
        <is>
          <t>Directory</t>
        </is>
      </c>
      <c r="F420" s="5" t="inlineStr">
        <is>
          <t>2026-09-16</t>
        </is>
      </c>
      <c r="G420" s="5" t="inlineStr">
        <is>
          <t>name, address, postcode</t>
        </is>
      </c>
      <c r="H420" s="5" t="inlineStr">
        <is>
          <t>Requires Verification</t>
        </is>
      </c>
    </row>
    <row r="421">
      <c r="A421" s="10" t="inlineStr">
        <is>
          <t>UK-000271</t>
        </is>
      </c>
      <c r="B421" s="10" t="inlineStr">
        <is>
          <t>RicherVapes</t>
        </is>
      </c>
      <c r="C421" s="10" t="inlineStr">
        <is>
          <t>York</t>
        </is>
      </c>
      <c r="D421" s="10" t="inlineStr">
        <is>
          <t>https://richervapes.com/pages/come-and-visit-us</t>
        </is>
      </c>
      <c r="E421" s="10" t="inlineStr">
        <is>
          <t>Official Website</t>
        </is>
      </c>
      <c r="F421" s="10" t="inlineStr">
        <is>
          <t>2026-09-16</t>
        </is>
      </c>
      <c r="G421" s="10" t="inlineStr">
        <is>
          <t>address, postcode, phone, email (search snippet)</t>
        </is>
      </c>
      <c r="H421" s="10" t="inlineStr">
        <is>
          <t>Requires Verification</t>
        </is>
      </c>
    </row>
    <row r="422">
      <c r="A422" s="5" t="inlineStr">
        <is>
          <t>UK-000271</t>
        </is>
      </c>
      <c r="B422" s="5" t="inlineStr">
        <is>
          <t>RicherVapes</t>
        </is>
      </c>
      <c r="C422" s="5" t="inlineStr">
        <is>
          <t>York</t>
        </is>
      </c>
      <c r="D422" s="5" t="inlineStr">
        <is>
          <t>https://www.yell.com/biz/richer-vapes-york-8974674/</t>
        </is>
      </c>
      <c r="E422" s="5" t="inlineStr">
        <is>
          <t>Yell</t>
        </is>
      </c>
      <c r="F422" s="5" t="inlineStr">
        <is>
          <t>2026-09-16</t>
        </is>
      </c>
      <c r="G422" s="5" t="inlineStr">
        <is>
          <t>listing confirmation</t>
        </is>
      </c>
      <c r="H422" s="5" t="inlineStr">
        <is>
          <t>Requires Verification</t>
        </is>
      </c>
    </row>
    <row r="423">
      <c r="A423" s="10" t="inlineStr">
        <is>
          <t>UK-000271</t>
        </is>
      </c>
      <c r="B423" s="10" t="inlineStr">
        <is>
          <t>RicherVapes</t>
        </is>
      </c>
      <c r="C423" s="10" t="inlineStr">
        <is>
          <t>York</t>
        </is>
      </c>
      <c r="D423" s="10" t="inlineStr">
        <is>
          <t>https://ecigdirectory.co.uk/vape-shop/listing/richervapes-york</t>
        </is>
      </c>
      <c r="E423" s="10" t="inlineStr">
        <is>
          <t>Directory</t>
        </is>
      </c>
      <c r="F423" s="10" t="inlineStr">
        <is>
          <t>2026-09-16</t>
        </is>
      </c>
      <c r="G423" s="10" t="inlineStr">
        <is>
          <t>independent vape shop, York</t>
        </is>
      </c>
      <c r="H423" s="10" t="inlineStr">
        <is>
          <t>Requires Verification</t>
        </is>
      </c>
    </row>
    <row r="424">
      <c r="A424" s="5" t="inlineStr">
        <is>
          <t>UK-000272</t>
        </is>
      </c>
      <c r="B424" s="5" t="inlineStr">
        <is>
          <t>Ripon News</t>
        </is>
      </c>
      <c r="C424" s="5" t="inlineStr">
        <is>
          <t>Ripon</t>
        </is>
      </c>
      <c r="D424" s="5" t="inlineStr">
        <is>
          <t>https://www.scoot.co.uk/England/North-Yorkshire/Ripon/Ripon-News-CFRK298.html</t>
        </is>
      </c>
      <c r="E424" s="5" t="inlineStr">
        <is>
          <t>Directory</t>
        </is>
      </c>
      <c r="F424" s="5" t="inlineStr">
        <is>
          <t>2026-09-16</t>
        </is>
      </c>
      <c r="G424" s="5" t="inlineStr">
        <is>
          <t>address, postcode, phone</t>
        </is>
      </c>
      <c r="H424" s="5" t="inlineStr">
        <is>
          <t>Requires Verification</t>
        </is>
      </c>
    </row>
    <row r="425">
      <c r="A425" s="10" t="inlineStr">
        <is>
          <t>WY-0139</t>
        </is>
      </c>
      <c r="B425" s="10" t="inlineStr">
        <is>
          <t>Ryans The Tobacconist</t>
        </is>
      </c>
      <c r="C425" s="10" t="inlineStr">
        <is>
          <t>Leeds</t>
        </is>
      </c>
      <c r="D425" s="10" t="inlineStr">
        <is>
          <t>https://www.ryanstobacconist.co.uk/contact-us</t>
        </is>
      </c>
      <c r="E425" s="10" t="inlineStr">
        <is>
          <t>Official Website</t>
        </is>
      </c>
      <c r="F425" s="10" t="inlineStr">
        <is>
          <t>2026-09-16</t>
        </is>
      </c>
      <c r="G425" s="10" t="inlineStr">
        <is>
          <t>address, phone, email (via search results; direct fetch blocked by proxy)</t>
        </is>
      </c>
      <c r="H425" s="10" t="inlineStr">
        <is>
          <t>Requires Verification</t>
        </is>
      </c>
    </row>
    <row r="426">
      <c r="A426" s="5" t="inlineStr">
        <is>
          <t>WY-0139</t>
        </is>
      </c>
      <c r="B426" s="5" t="inlineStr">
        <is>
          <t>Ryans The Tobacconist</t>
        </is>
      </c>
      <c r="C426" s="5" t="inlineStr">
        <is>
          <t>Leeds</t>
        </is>
      </c>
      <c r="D426" s="5" t="inlineStr">
        <is>
          <t>https://wegetyoufound.co.uk/listings/ryans/leeds/tobacco-shop</t>
        </is>
      </c>
      <c r="E426" s="5" t="inlineStr">
        <is>
          <t>Directory</t>
        </is>
      </c>
      <c r="F426" s="5" t="inlineStr">
        <is>
          <t>2026-09-16</t>
        </is>
      </c>
      <c r="G426" s="5" t="inlineStr">
        <is>
          <t>address, phone cross-check (via search results)</t>
        </is>
      </c>
      <c r="H426" s="5" t="inlineStr">
        <is>
          <t>Requires Verification</t>
        </is>
      </c>
    </row>
    <row r="427">
      <c r="A427" s="10" t="inlineStr">
        <is>
          <t>UK-000273</t>
        </is>
      </c>
      <c r="B427" s="10" t="inlineStr">
        <is>
          <t>Ryedale Vapour</t>
        </is>
      </c>
      <c r="C427" s="10" t="inlineStr">
        <is>
          <t>Malton</t>
        </is>
      </c>
      <c r="D427" s="10" t="inlineStr">
        <is>
          <t>https://www.yelp.com/search?cflt=vapeshops&amp;find_loc=Malton+YO17</t>
        </is>
      </c>
      <c r="E427" s="10" t="inlineStr">
        <is>
          <t>Directory</t>
        </is>
      </c>
      <c r="F427" s="10" t="inlineStr">
        <is>
          <t>2026-09-16</t>
        </is>
      </c>
      <c r="G427" s="10" t="inlineStr">
        <is>
          <t>address, postcode, phone</t>
        </is>
      </c>
      <c r="H427" s="10" t="inlineStr">
        <is>
          <t>Requires Verification</t>
        </is>
      </c>
    </row>
    <row r="428">
      <c r="A428" s="5" t="inlineStr">
        <is>
          <t>UK-000274</t>
        </is>
      </c>
      <c r="B428" s="5" t="inlineStr">
        <is>
          <t>S.J. Convenience Store</t>
        </is>
      </c>
      <c r="C428" s="5" t="inlineStr">
        <is>
          <t>Kingston upon Hull</t>
        </is>
      </c>
      <c r="D428" s="5" t="inlineStr">
        <is>
          <t>https://www.yorkshire.com/hull/shopping/corner-shops/sj-convenience-store</t>
        </is>
      </c>
      <c r="E428" s="5" t="inlineStr">
        <is>
          <t>Directory</t>
        </is>
      </c>
      <c r="F428" s="5" t="inlineStr">
        <is>
          <t>2026-09-16</t>
        </is>
      </c>
      <c r="G428" s="5" t="inlineStr">
        <is>
          <t>name, Hull location (via search results)</t>
        </is>
      </c>
      <c r="H428" s="5" t="inlineStr">
        <is>
          <t>Requires Verification</t>
        </is>
      </c>
    </row>
    <row r="429">
      <c r="A429" s="10" t="inlineStr">
        <is>
          <t>WY-0140</t>
        </is>
      </c>
      <c r="B429" s="10" t="inlineStr">
        <is>
          <t>SMKD</t>
        </is>
      </c>
      <c r="C429" s="10" t="inlineStr">
        <is>
          <t>Bradford</t>
        </is>
      </c>
      <c r="D429" s="10" t="inlineStr">
        <is>
          <t>https://smkd.com/vape-shop-locator/</t>
        </is>
      </c>
      <c r="E429" s="10" t="inlineStr">
        <is>
          <t>Official Website</t>
        </is>
      </c>
      <c r="F429" s="10" t="inlineStr">
        <is>
          <t>2026-09-16</t>
        </is>
      </c>
      <c r="G429" s="10" t="inlineStr">
        <is>
          <t>chain closure notice, delivery service, former store list (via search extraction)</t>
        </is>
      </c>
      <c r="H429" s="10" t="inlineStr">
        <is>
          <t>Partially Verified</t>
        </is>
      </c>
    </row>
    <row r="430">
      <c r="A430" s="5" t="inlineStr">
        <is>
          <t>WY-0140</t>
        </is>
      </c>
      <c r="B430" s="5" t="inlineStr">
        <is>
          <t>SMKD</t>
        </is>
      </c>
      <c r="C430" s="5" t="inlineStr">
        <is>
          <t>Bradford</t>
        </is>
      </c>
      <c r="D430" s="5" t="inlineStr">
        <is>
          <t>https://directory.examiner.co.uk/company/cfb3229ef740d2d8ba8f8c8580c80041</t>
        </is>
      </c>
      <c r="E430" s="5" t="inlineStr">
        <is>
          <t>Directory</t>
        </is>
      </c>
      <c r="F430" s="5" t="inlineStr">
        <is>
          <t>2026-09-16</t>
        </is>
      </c>
      <c r="G430" s="5" t="inlineStr">
        <is>
          <t>SMKD Vape Limited trading address Unit 7 Bradford Chamber Business Park BD4 8BX</t>
        </is>
      </c>
      <c r="H430" s="5" t="inlineStr">
        <is>
          <t>Partially Verified</t>
        </is>
      </c>
    </row>
    <row r="431">
      <c r="A431" s="10" t="inlineStr">
        <is>
          <t>WY-0140</t>
        </is>
      </c>
      <c r="B431" s="10" t="inlineStr">
        <is>
          <t>SMKD</t>
        </is>
      </c>
      <c r="C431" s="10" t="inlineStr">
        <is>
          <t>Bradford</t>
        </is>
      </c>
      <c r="D431" s="10" t="inlineStr">
        <is>
          <t>https://smkd.com/vape-shop-locator/huddersfield-vape-shop-high-street/</t>
        </is>
      </c>
      <c r="E431" s="10" t="inlineStr">
        <is>
          <t>Official Website</t>
        </is>
      </c>
      <c r="F431" s="10" t="inlineStr">
        <is>
          <t>2026-09-16</t>
        </is>
      </c>
      <c r="G431" s="10" t="inlineStr">
        <is>
          <t>phone 01274 270303, email info@smkd.com, closure status (via search extraction)</t>
        </is>
      </c>
      <c r="H431" s="10" t="inlineStr">
        <is>
          <t>Partially Verified</t>
        </is>
      </c>
    </row>
    <row r="432">
      <c r="A432" s="5" t="inlineStr">
        <is>
          <t>WY-0140</t>
        </is>
      </c>
      <c r="B432" s="5" t="inlineStr">
        <is>
          <t>SMKD</t>
        </is>
      </c>
      <c r="C432" s="5" t="inlineStr">
        <is>
          <t>Bradford</t>
        </is>
      </c>
      <c r="D432" s="5" t="inlineStr">
        <is>
          <t>https://www.facebook.com/SmkdVapeShop/</t>
        </is>
      </c>
      <c r="E432" s="5" t="inlineStr">
        <is>
          <t>Facebook</t>
        </is>
      </c>
      <c r="F432" s="5" t="inlineStr">
        <is>
          <t>2026-09-16</t>
        </is>
      </c>
      <c r="G432" s="5" t="inlineStr">
        <is>
          <t>social (facebook)</t>
        </is>
      </c>
      <c r="H432" s="5" t="inlineStr">
        <is>
          <t>Partially Verified</t>
        </is>
      </c>
    </row>
    <row r="433">
      <c r="A433" s="10" t="inlineStr">
        <is>
          <t>WY-0141</t>
        </is>
      </c>
      <c r="B433" s="10" t="inlineStr">
        <is>
          <t>SPAR Huddersfield Road</t>
        </is>
      </c>
      <c r="C433" s="10" t="inlineStr">
        <is>
          <t>Elland</t>
        </is>
      </c>
      <c r="D433" s="10" t="inlineStr">
        <is>
          <t>https://www.spar.co.uk/store-locator/hal32443-spar-huddersfield-road</t>
        </is>
      </c>
      <c r="E433" s="10" t="inlineStr">
        <is>
          <t>Official Website</t>
        </is>
      </c>
      <c r="F433" s="10" t="inlineStr">
        <is>
          <t>2026-09-16</t>
        </is>
      </c>
      <c r="G433" s="10" t="inlineStr">
        <is>
          <t>store existence, street, town (via search snippet)</t>
        </is>
      </c>
      <c r="H433" s="10" t="inlineStr">
        <is>
          <t>Requires Verification</t>
        </is>
      </c>
    </row>
    <row r="434">
      <c r="A434" s="5" t="inlineStr">
        <is>
          <t>WY-0141</t>
        </is>
      </c>
      <c r="B434" s="5" t="inlineStr">
        <is>
          <t>SPAR Huddersfield Road</t>
        </is>
      </c>
      <c r="C434" s="5" t="inlineStr">
        <is>
          <t>Elland</t>
        </is>
      </c>
      <c r="D434" s="5" t="inlineStr">
        <is>
          <t>https://www.openingtimesin.uk/spar-elland</t>
        </is>
      </c>
      <c r="E434" s="5" t="inlineStr">
        <is>
          <t>Directory</t>
        </is>
      </c>
      <c r="F434" s="5" t="inlineStr">
        <is>
          <t>2026-09-16</t>
        </is>
      </c>
      <c r="G434" s="5" t="inlineStr">
        <is>
          <t>listing confirmation</t>
        </is>
      </c>
      <c r="H434" s="5" t="inlineStr">
        <is>
          <t>Requires Verification</t>
        </is>
      </c>
    </row>
    <row r="435">
      <c r="A435" s="10" t="inlineStr">
        <is>
          <t>WY-0141</t>
        </is>
      </c>
      <c r="B435" s="10" t="inlineStr">
        <is>
          <t>SPAR Huddersfield Road</t>
        </is>
      </c>
      <c r="C435" s="10" t="inlineStr">
        <is>
          <t>Elland</t>
        </is>
      </c>
      <c r="D435" s="10" t="inlineStr">
        <is>
          <t>https://www.mylocalservices.co.uk/SPAR+Huddersfield+Road-Elland-3135599.html</t>
        </is>
      </c>
      <c r="E435" s="10" t="inlineStr">
        <is>
          <t>Directory</t>
        </is>
      </c>
      <c r="F435" s="10" t="inlineStr">
        <is>
          <t>2026-09-16</t>
        </is>
      </c>
      <c r="G435" s="10" t="inlineStr">
        <is>
          <t>phone</t>
        </is>
      </c>
      <c r="H435" s="10" t="inlineStr">
        <is>
          <t>Requires Verification</t>
        </is>
      </c>
    </row>
    <row r="436">
      <c r="A436" s="5" t="inlineStr">
        <is>
          <t>WY-0142</t>
        </is>
      </c>
      <c r="B436" s="5" t="inlineStr">
        <is>
          <t>SPAR Outwood</t>
        </is>
      </c>
      <c r="C436" s="5" t="inlineStr">
        <is>
          <t>Wakefield</t>
        </is>
      </c>
      <c r="D436" s="5" t="inlineStr">
        <is>
          <t>https://www.spar.co.uk/store-locator/afb49926-spar-outwood</t>
        </is>
      </c>
      <c r="E436" s="5" t="inlineStr">
        <is>
          <t>Official Website</t>
        </is>
      </c>
      <c r="F436" s="5" t="inlineStr">
        <is>
          <t>2026-09-16</t>
        </is>
      </c>
      <c r="G436" s="5" t="inlineStr">
        <is>
          <t>store existence (seen in search results; fetch blocked)</t>
        </is>
      </c>
      <c r="H436" s="5" t="inlineStr">
        <is>
          <t>Requires Verification</t>
        </is>
      </c>
    </row>
    <row r="437">
      <c r="A437" s="10" t="inlineStr">
        <is>
          <t>WY-0142</t>
        </is>
      </c>
      <c r="B437" s="10" t="inlineStr">
        <is>
          <t>SPAR Outwood</t>
        </is>
      </c>
      <c r="C437" s="10" t="inlineStr">
        <is>
          <t>Wakefield</t>
        </is>
      </c>
      <c r="D437" s="10" t="inlineStr">
        <is>
          <t>https://www.192.com/atoz/business/wakefield-wf1/convenience-stores/spar-outwood/9bb09a8d82ab0999cf3197b0d056b3add8363126/ugc/</t>
        </is>
      </c>
      <c r="E437" s="10" t="inlineStr">
        <is>
          <t>Directory</t>
        </is>
      </c>
      <c r="F437" s="10" t="inlineStr">
        <is>
          <t>2026-09-16</t>
        </is>
      </c>
      <c r="G437" s="10" t="inlineStr">
        <is>
          <t>postcode WF1 2LE</t>
        </is>
      </c>
      <c r="H437" s="10" t="inlineStr">
        <is>
          <t>Requires Verification</t>
        </is>
      </c>
    </row>
    <row r="438">
      <c r="A438" s="5" t="inlineStr">
        <is>
          <t>WY-0142</t>
        </is>
      </c>
      <c r="B438" s="5" t="inlineStr">
        <is>
          <t>SPAR Outwood</t>
        </is>
      </c>
      <c r="C438" s="5" t="inlineStr">
        <is>
          <t>Wakefield</t>
        </is>
      </c>
      <c r="D438" s="5" t="inlineStr">
        <is>
          <t>https://wanderboat.ai/local-businesses/united-kingdom/wakefield/spar-outwood/qcZcqHRZSsicOkt2edjr5Q</t>
        </is>
      </c>
      <c r="E438" s="5" t="inlineStr">
        <is>
          <t>Other</t>
        </is>
      </c>
      <c r="F438" s="5" t="inlineStr">
        <is>
          <t>2026-09-16</t>
        </is>
      </c>
      <c r="G438" s="5" t="inlineStr">
        <is>
          <t>address Potovens Ln, Outwood, WF1 2LE</t>
        </is>
      </c>
      <c r="H438" s="5" t="inlineStr">
        <is>
          <t>Requires Verification</t>
        </is>
      </c>
    </row>
    <row r="439">
      <c r="A439" s="10" t="inlineStr">
        <is>
          <t>UK-000275</t>
        </is>
      </c>
      <c r="B439" s="10" t="inlineStr">
        <is>
          <t>Sako Polish Shop Doncaster</t>
        </is>
      </c>
      <c r="C439" s="10" t="inlineStr">
        <is>
          <t>Doncaster</t>
        </is>
      </c>
      <c r="D439" s="10" t="inlineStr">
        <is>
          <t>https://bippermedia.com/uk/st/england/south-yorkshire/doncaster/grocery-store/sako-polish-shop-doncaster-doncaster/</t>
        </is>
      </c>
      <c r="E439" s="10" t="inlineStr">
        <is>
          <t>Directory</t>
        </is>
      </c>
      <c r="F439" s="10" t="inlineStr">
        <is>
          <t>2026-09-16</t>
        </is>
      </c>
      <c r="G439" s="10" t="inlineStr">
        <is>
          <t>name, address, description</t>
        </is>
      </c>
      <c r="H439" s="10" t="inlineStr">
        <is>
          <t>Requires Verification</t>
        </is>
      </c>
    </row>
    <row r="440">
      <c r="A440" s="5" t="inlineStr">
        <is>
          <t>WY-0143</t>
        </is>
      </c>
      <c r="B440" s="5" t="inlineStr">
        <is>
          <t>SaveCo Cash &amp; Carry Bradford</t>
        </is>
      </c>
      <c r="C440" s="5" t="inlineStr">
        <is>
          <t>Bradford</t>
        </is>
      </c>
      <c r="D440" s="5" t="inlineStr">
        <is>
          <t>https://halalhmc.org/outlets/the-meat-company-bradford-ltd-t-a-saveco-cash-carry/</t>
        </is>
      </c>
      <c r="E440" s="5" t="inlineStr">
        <is>
          <t>Other</t>
        </is>
      </c>
      <c r="F440" s="5" t="inlineStr">
        <is>
          <t>2026-09-16</t>
        </is>
      </c>
      <c r="G440" s="5" t="inlineStr">
        <is>
          <t>legal name The Meat Company Bradford Ltd t/a SaveCo (search snippet)</t>
        </is>
      </c>
      <c r="H440" s="5" t="inlineStr">
        <is>
          <t>Requires Verification</t>
        </is>
      </c>
    </row>
    <row r="441">
      <c r="A441" s="10" t="inlineStr">
        <is>
          <t>WY-0143</t>
        </is>
      </c>
      <c r="B441" s="10" t="inlineStr">
        <is>
          <t>SaveCo Cash &amp; Carry Bradford</t>
        </is>
      </c>
      <c r="C441" s="10" t="inlineStr">
        <is>
          <t>Bradford</t>
        </is>
      </c>
      <c r="D441" s="10" t="inlineStr">
        <is>
          <t>https://www.yell.com/biz/saveco-cash-and-carry-bradford-9304267/</t>
        </is>
      </c>
      <c r="E441" s="10" t="inlineStr">
        <is>
          <t>Yell</t>
        </is>
      </c>
      <c r="F441" s="10" t="inlineStr">
        <is>
          <t>2026-09-16</t>
        </is>
      </c>
      <c r="G441" s="10" t="inlineStr">
        <is>
          <t>address Thornbury Road BD3 8HE, phone (search snippet)</t>
        </is>
      </c>
      <c r="H441" s="10" t="inlineStr">
        <is>
          <t>Requires Verification</t>
        </is>
      </c>
    </row>
    <row r="442">
      <c r="A442" s="5" t="inlineStr">
        <is>
          <t>WY-0143</t>
        </is>
      </c>
      <c r="B442" s="5" t="inlineStr">
        <is>
          <t>SaveCo Cash &amp; Carry Bradford</t>
        </is>
      </c>
      <c r="C442" s="5" t="inlineStr">
        <is>
          <t>Bradford</t>
        </is>
      </c>
      <c r="D442" s="5" t="inlineStr">
        <is>
          <t>https://savecobradford.co.uk/</t>
        </is>
      </c>
      <c r="E442" s="5" t="inlineStr">
        <is>
          <t>Official Website</t>
        </is>
      </c>
      <c r="F442" s="5" t="inlineStr">
        <is>
          <t>2026-09-16</t>
        </is>
      </c>
      <c r="G442" s="5" t="inlineStr">
        <is>
          <t>official webshop, product range (search snippet; fetch blocked)</t>
        </is>
      </c>
      <c r="H442" s="5" t="inlineStr">
        <is>
          <t>Requires Verification</t>
        </is>
      </c>
    </row>
    <row r="443">
      <c r="A443" s="10" t="inlineStr">
        <is>
          <t>WY-0143</t>
        </is>
      </c>
      <c r="B443" s="10" t="inlineStr">
        <is>
          <t>SaveCo Cash &amp; Carry Bradford</t>
        </is>
      </c>
      <c r="C443" s="10" t="inlineStr">
        <is>
          <t>Bradford</t>
        </is>
      </c>
      <c r="D443" s="10" t="inlineStr">
        <is>
          <t>https://www.facebook.com/savecobradford/</t>
        </is>
      </c>
      <c r="E443" s="10" t="inlineStr">
        <is>
          <t>Facebook</t>
        </is>
      </c>
      <c r="F443" s="10" t="inlineStr">
        <is>
          <t>2026-09-16</t>
        </is>
      </c>
      <c r="G443" s="10" t="inlineStr">
        <is>
          <t>social (facebook)</t>
        </is>
      </c>
      <c r="H443" s="10" t="inlineStr">
        <is>
          <t>Requires Verification</t>
        </is>
      </c>
    </row>
    <row r="444">
      <c r="A444" s="5" t="inlineStr">
        <is>
          <t>UK-000276</t>
        </is>
      </c>
      <c r="B444" s="5" t="inlineStr">
        <is>
          <t>Selby Vapes</t>
        </is>
      </c>
      <c r="C444" s="5" t="inlineStr">
        <is>
          <t>Selby</t>
        </is>
      </c>
      <c r="D444" s="5" t="inlineStr">
        <is>
          <t>https://www.bizify.co.uk/vape-shops/york/YO8-8FB/selby-vapes</t>
        </is>
      </c>
      <c r="E444" s="5" t="inlineStr">
        <is>
          <t>Directory</t>
        </is>
      </c>
      <c r="F444" s="5" t="inlineStr">
        <is>
          <t>2026-09-16</t>
        </is>
      </c>
      <c r="G444" s="5" t="inlineStr">
        <is>
          <t>address, postcode</t>
        </is>
      </c>
      <c r="H444" s="5" t="inlineStr">
        <is>
          <t>Requires Verification</t>
        </is>
      </c>
    </row>
    <row r="445">
      <c r="A445" s="10" t="inlineStr">
        <is>
          <t>UK-000276</t>
        </is>
      </c>
      <c r="B445" s="10" t="inlineStr">
        <is>
          <t>Selby Vapes</t>
        </is>
      </c>
      <c r="C445" s="10" t="inlineStr">
        <is>
          <t>Selby</t>
        </is>
      </c>
      <c r="D445" s="10" t="inlineStr">
        <is>
          <t>https://ecigdirectory.co.uk/vape-shop/listing/selby-vapes-selby</t>
        </is>
      </c>
      <c r="E445" s="10" t="inlineStr">
        <is>
          <t>Directory</t>
        </is>
      </c>
      <c r="F445" s="10" t="inlineStr">
        <is>
          <t>2026-09-16</t>
        </is>
      </c>
      <c r="G445" s="10" t="inlineStr">
        <is>
          <t>phone, established 2020, opening days</t>
        </is>
      </c>
      <c r="H445" s="10" t="inlineStr">
        <is>
          <t>Requires Verification</t>
        </is>
      </c>
    </row>
    <row r="446">
      <c r="A446" s="5" t="inlineStr">
        <is>
          <t>WY-0144</t>
        </is>
      </c>
      <c r="B446" s="5" t="inlineStr">
        <is>
          <t>Select Newsagent</t>
        </is>
      </c>
      <c r="C446" s="5" t="inlineStr">
        <is>
          <t>Mirfield</t>
        </is>
      </c>
      <c r="D446" s="5" t="inlineStr">
        <is>
          <t>https://mirfield.cylex-uk.co.uk/company/select-newsagent-28742458.html</t>
        </is>
      </c>
      <c r="E446" s="5" t="inlineStr">
        <is>
          <t>Directory</t>
        </is>
      </c>
      <c r="F446" s="5" t="inlineStr">
        <is>
          <t>2026-09-16</t>
        </is>
      </c>
      <c r="G446" s="5" t="inlineStr">
        <is>
          <t>address, phone</t>
        </is>
      </c>
      <c r="H446" s="5" t="inlineStr">
        <is>
          <t>Requires Verification</t>
        </is>
      </c>
    </row>
    <row r="447">
      <c r="A447" s="10" t="inlineStr">
        <is>
          <t>WY-0144</t>
        </is>
      </c>
      <c r="B447" s="10" t="inlineStr">
        <is>
          <t>Select Newsagent</t>
        </is>
      </c>
      <c r="C447" s="10" t="inlineStr">
        <is>
          <t>Mirfield</t>
        </is>
      </c>
      <c r="D447" s="10" t="inlineStr">
        <is>
          <t>https://mirfield.ukintouch.com/convenience-store/select-newsagent/</t>
        </is>
      </c>
      <c r="E447" s="10" t="inlineStr">
        <is>
          <t>Directory</t>
        </is>
      </c>
      <c r="F447" s="10" t="inlineStr">
        <is>
          <t>2026-09-16</t>
        </is>
      </c>
      <c r="G447" s="10" t="inlineStr">
        <is>
          <t>cross-check address 18 Lee Green WF14 0AB</t>
        </is>
      </c>
      <c r="H447" s="10" t="inlineStr">
        <is>
          <t>Requires Verification</t>
        </is>
      </c>
    </row>
    <row r="448">
      <c r="A448" s="5" t="inlineStr">
        <is>
          <t>WY-0145</t>
        </is>
      </c>
      <c r="B448" s="5" t="inlineStr">
        <is>
          <t>Shans Supermarket</t>
        </is>
      </c>
      <c r="C448" s="5" t="inlineStr">
        <is>
          <t>Keighley</t>
        </is>
      </c>
      <c r="D448" s="5" t="inlineStr">
        <is>
          <t>https://www.yorkshire.com/keighley/shopping/supermarkets/shans-supermarket</t>
        </is>
      </c>
      <c r="E448" s="5" t="inlineStr">
        <is>
          <t>Directory</t>
        </is>
      </c>
      <c r="F448" s="5" t="inlineStr">
        <is>
          <t>2026-09-16</t>
        </is>
      </c>
      <c r="G448" s="5" t="inlineStr">
        <is>
          <t>location Alice Street, Keighley, description (search snippet)</t>
        </is>
      </c>
      <c r="H448" s="5" t="inlineStr">
        <is>
          <t>Requires Verification</t>
        </is>
      </c>
    </row>
    <row r="449">
      <c r="A449" s="10" t="inlineStr">
        <is>
          <t>WY-0145</t>
        </is>
      </c>
      <c r="B449" s="10" t="inlineStr">
        <is>
          <t>Shans Supermarket</t>
        </is>
      </c>
      <c r="C449" s="10" t="inlineStr">
        <is>
          <t>Keighley</t>
        </is>
      </c>
      <c r="D449" s="10" t="inlineStr">
        <is>
          <t>https://www.facebook.com/ShansSupermarket/</t>
        </is>
      </c>
      <c r="E449" s="10" t="inlineStr">
        <is>
          <t>Facebook</t>
        </is>
      </c>
      <c r="F449" s="10" t="inlineStr">
        <is>
          <t>2026-09-16</t>
        </is>
      </c>
      <c r="G449" s="10" t="inlineStr">
        <is>
          <t>active page, phone (search snippet)</t>
        </is>
      </c>
      <c r="H449" s="10" t="inlineStr">
        <is>
          <t>Requires Verification</t>
        </is>
      </c>
    </row>
    <row r="450">
      <c r="A450" s="5" t="inlineStr">
        <is>
          <t>WY-0146</t>
        </is>
      </c>
      <c r="B450" s="5" t="inlineStr">
        <is>
          <t>Sheepridge Off Licence</t>
        </is>
      </c>
      <c r="C450" s="5" t="inlineStr">
        <is>
          <t>Huddersfield</t>
        </is>
      </c>
      <c r="D450" s="5" t="inlineStr">
        <is>
          <t>https://www.192.com/atoz/business/huddersfield-hd1/convenience-stores/sheepridge-off-licence-limited/bfc32af555a5eed742b2bfb4d8a2acd75ab80d62/comp/</t>
        </is>
      </c>
      <c r="E450" s="5" t="inlineStr">
        <is>
          <t>Directory</t>
        </is>
      </c>
      <c r="F450" s="5" t="inlineStr">
        <is>
          <t>2026-09-16</t>
        </is>
      </c>
      <c r="G450" s="5" t="inlineStr">
        <is>
          <t>name, legal name, address, postcode</t>
        </is>
      </c>
      <c r="H450" s="5" t="inlineStr">
        <is>
          <t>Requires Verification</t>
        </is>
      </c>
    </row>
    <row r="451">
      <c r="A451" s="10" t="inlineStr">
        <is>
          <t>WY-0147</t>
        </is>
      </c>
      <c r="B451" s="10" t="inlineStr">
        <is>
          <t>Shoesmiths Tobacconist</t>
        </is>
      </c>
      <c r="C451" s="10" t="inlineStr">
        <is>
          <t>Halifax</t>
        </is>
      </c>
      <c r="D451" s="10" t="inlineStr">
        <is>
          <t>https://www.bigreddirectory.com/shoesmiths-tobacconist-halifax</t>
        </is>
      </c>
      <c r="E451" s="10" t="inlineStr">
        <is>
          <t>Directory</t>
        </is>
      </c>
      <c r="F451" s="10" t="inlineStr">
        <is>
          <t>2026-09-16</t>
        </is>
      </c>
      <c r="G451" s="10" t="inlineStr">
        <is>
          <t>address, postcode, description</t>
        </is>
      </c>
      <c r="H451" s="10" t="inlineStr">
        <is>
          <t>Requires Verification</t>
        </is>
      </c>
    </row>
    <row r="452">
      <c r="A452" s="5" t="inlineStr">
        <is>
          <t>WY-0147</t>
        </is>
      </c>
      <c r="B452" s="5" t="inlineStr">
        <is>
          <t>Shoesmiths Tobacconist</t>
        </is>
      </c>
      <c r="C452" s="5" t="inlineStr">
        <is>
          <t>Halifax</t>
        </is>
      </c>
      <c r="D452" s="5" t="inlineStr">
        <is>
          <t>https://www.facebook.com/shoesmiths/</t>
        </is>
      </c>
      <c r="E452" s="5" t="inlineStr">
        <is>
          <t>Facebook</t>
        </is>
      </c>
      <c r="F452" s="5" t="inlineStr">
        <is>
          <t>2026-09-16</t>
        </is>
      </c>
      <c r="G452" s="5" t="inlineStr">
        <is>
          <t>Totally Wicked at Shoesmiths branding</t>
        </is>
      </c>
      <c r="H452" s="5" t="inlineStr">
        <is>
          <t>Requires Verification</t>
        </is>
      </c>
    </row>
    <row r="453">
      <c r="A453" s="10" t="inlineStr">
        <is>
          <t>WY-0147</t>
        </is>
      </c>
      <c r="B453" s="10" t="inlineStr">
        <is>
          <t>Shoesmiths Tobacconist</t>
        </is>
      </c>
      <c r="C453" s="10" t="inlineStr">
        <is>
          <t>Halifax</t>
        </is>
      </c>
      <c r="D453" s="10" t="inlineStr">
        <is>
          <t>https://ecigdirectory.co.uk/vape-shop/listing/smokers-dlite-halifax</t>
        </is>
      </c>
      <c r="E453" s="10" t="inlineStr">
        <is>
          <t>Directory</t>
        </is>
      </c>
      <c r="F453" s="10" t="inlineStr">
        <is>
          <t>2026-09-16</t>
        </is>
      </c>
      <c r="G453" s="10" t="inlineStr">
        <is>
          <t>Smokers D'Lite listed at same address</t>
        </is>
      </c>
      <c r="H453" s="10" t="inlineStr">
        <is>
          <t>Requires Verification</t>
        </is>
      </c>
    </row>
    <row r="454">
      <c r="A454" s="5" t="inlineStr">
        <is>
          <t>UK-000277</t>
        </is>
      </c>
      <c r="B454" s="5" t="inlineStr">
        <is>
          <t>Smoke &amp; Vape Barnsley</t>
        </is>
      </c>
      <c r="C454" s="5" t="inlineStr">
        <is>
          <t>Barnsley</t>
        </is>
      </c>
      <c r="D454" s="5" t="inlineStr">
        <is>
          <t>https://www.facebook.com/p/SMOKE-VAPE-Barnsley-61555973916748/</t>
        </is>
      </c>
      <c r="E454" s="5" t="inlineStr">
        <is>
          <t>Facebook</t>
        </is>
      </c>
      <c r="F454" s="5" t="inlineStr">
        <is>
          <t>2026-09-16</t>
        </is>
      </c>
      <c r="G454" s="5" t="inlineStr">
        <is>
          <t>name, address, phone</t>
        </is>
      </c>
      <c r="H454" s="5" t="inlineStr">
        <is>
          <t>Requires Verification</t>
        </is>
      </c>
    </row>
    <row r="455">
      <c r="A455" s="10" t="inlineStr">
        <is>
          <t>UK-000278</t>
        </is>
      </c>
      <c r="B455" s="10" t="inlineStr">
        <is>
          <t>Smoke Free Skipton</t>
        </is>
      </c>
      <c r="C455" s="10" t="inlineStr">
        <is>
          <t>Skipton</t>
        </is>
      </c>
      <c r="D455" s="10" t="inlineStr">
        <is>
          <t>https://ecigdirectory.co.uk/vape-shop/listing/smoke-free-skipton</t>
        </is>
      </c>
      <c r="E455" s="10" t="inlineStr">
        <is>
          <t>Directory</t>
        </is>
      </c>
      <c r="F455" s="10" t="inlineStr">
        <is>
          <t>2026-09-16</t>
        </is>
      </c>
      <c r="G455" s="10" t="inlineStr">
        <is>
          <t>name, address, postcode</t>
        </is>
      </c>
      <c r="H455" s="10" t="inlineStr">
        <is>
          <t>Requires Verification</t>
        </is>
      </c>
    </row>
    <row r="456">
      <c r="A456" s="5" t="inlineStr">
        <is>
          <t>WY-0148</t>
        </is>
      </c>
      <c r="B456" s="5" t="inlineStr">
        <is>
          <t>Smoke-King Tobacconist</t>
        </is>
      </c>
      <c r="C456" s="5" t="inlineStr">
        <is>
          <t>Otley</t>
        </is>
      </c>
      <c r="D456" s="5" t="inlineStr">
        <is>
          <t>https://www.smoke-king.co.uk/pages/tobacconist-in-otley</t>
        </is>
      </c>
      <c r="E456" s="5" t="inlineStr">
        <is>
          <t>Official Website</t>
        </is>
      </c>
      <c r="F456" s="5" t="inlineStr">
        <is>
          <t>2026-09-16</t>
        </is>
      </c>
      <c r="G456" s="5" t="inlineStr">
        <is>
          <t>showroom address, hours (via search results; direct fetch blocked by proxy)</t>
        </is>
      </c>
      <c r="H456" s="5" t="inlineStr">
        <is>
          <t>Partially Verified</t>
        </is>
      </c>
    </row>
    <row r="457">
      <c r="A457" s="10" t="inlineStr">
        <is>
          <t>WY-0148</t>
        </is>
      </c>
      <c r="B457" s="10" t="inlineStr">
        <is>
          <t>Smoke-King Tobacconist</t>
        </is>
      </c>
      <c r="C457" s="10" t="inlineStr">
        <is>
          <t>Otley</t>
        </is>
      </c>
      <c r="D457" s="10" t="inlineStr">
        <is>
          <t>https://wegetyoufound.co.uk/listings/smoke-king-tobacconist/otley/tobacco-shop</t>
        </is>
      </c>
      <c r="E457" s="10" t="inlineStr">
        <is>
          <t>Directory</t>
        </is>
      </c>
      <c r="F457" s="10" t="inlineStr">
        <is>
          <t>2026-09-16</t>
        </is>
      </c>
      <c r="G457" s="10" t="inlineStr">
        <is>
          <t>address, phone (via search results)</t>
        </is>
      </c>
      <c r="H457" s="10" t="inlineStr">
        <is>
          <t>Partially Verified</t>
        </is>
      </c>
    </row>
    <row r="458">
      <c r="A458" s="5" t="inlineStr">
        <is>
          <t>WY-0148</t>
        </is>
      </c>
      <c r="B458" s="5" t="inlineStr">
        <is>
          <t>Smoke-King Tobacconist</t>
        </is>
      </c>
      <c r="C458" s="5" t="inlineStr">
        <is>
          <t>Otley</t>
        </is>
      </c>
      <c r="D458" s="5" t="inlineStr">
        <is>
          <t>https://wanderboat.ai/local-businesses/united-kingdom/leeds/smoke-king-tobacconist/la5qs7K8RkuEZuadULJ-Hg</t>
        </is>
      </c>
      <c r="E458" s="5" t="inlineStr">
        <is>
          <t>Directory</t>
        </is>
      </c>
      <c r="F458" s="5" t="inlineStr">
        <is>
          <t>2026-09-16</t>
        </is>
      </c>
      <c r="G458" s="5" t="inlineStr">
        <is>
          <t>full address cross-check (via search results)</t>
        </is>
      </c>
      <c r="H458" s="5" t="inlineStr">
        <is>
          <t>Partially Verified</t>
        </is>
      </c>
    </row>
    <row r="459">
      <c r="A459" s="10" t="inlineStr">
        <is>
          <t>WY-0148</t>
        </is>
      </c>
      <c r="B459" s="10" t="inlineStr">
        <is>
          <t>Smoke-King Tobacconist</t>
        </is>
      </c>
      <c r="C459" s="10" t="inlineStr">
        <is>
          <t>Otley</t>
        </is>
      </c>
      <c r="D459" s="10" t="inlineStr">
        <is>
          <t>https://www.smoke-king.co.uk/pages/contact</t>
        </is>
      </c>
      <c r="E459" s="10" t="inlineStr">
        <is>
          <t>Official Website</t>
        </is>
      </c>
      <c r="F459" s="10" t="inlineStr">
        <is>
          <t>2026-09-16</t>
        </is>
      </c>
      <c r="G459" s="10" t="inlineStr">
        <is>
          <t>email, social (facebook)</t>
        </is>
      </c>
      <c r="H459" s="10" t="inlineStr">
        <is>
          <t>Partially Verified</t>
        </is>
      </c>
    </row>
    <row r="460">
      <c r="A460" s="5" t="inlineStr">
        <is>
          <t>WY-0149</t>
        </is>
      </c>
      <c r="B460" s="5" t="inlineStr">
        <is>
          <t>Smokers D'Lite</t>
        </is>
      </c>
      <c r="C460" s="5" t="inlineStr">
        <is>
          <t>Leeds</t>
        </is>
      </c>
      <c r="D460" s="5" t="inlineStr">
        <is>
          <t>https://ecigdirectory.co.uk/vape-shop-leeds/</t>
        </is>
      </c>
      <c r="E460" s="5" t="inlineStr">
        <is>
          <t>Directory</t>
        </is>
      </c>
      <c r="F460" s="5" t="inlineStr">
        <is>
          <t>2026-09-16</t>
        </is>
      </c>
      <c r="G460" s="5" t="inlineStr">
        <is>
          <t>name, verified-shop status (via search results)</t>
        </is>
      </c>
      <c r="H460" s="5" t="inlineStr">
        <is>
          <t>Requires Verification</t>
        </is>
      </c>
    </row>
    <row r="461">
      <c r="A461" s="10" t="inlineStr">
        <is>
          <t>WY-0149</t>
        </is>
      </c>
      <c r="B461" s="10" t="inlineStr">
        <is>
          <t>Smokers D'Lite</t>
        </is>
      </c>
      <c r="C461" s="10" t="inlineStr">
        <is>
          <t>Leeds</t>
        </is>
      </c>
      <c r="D461" s="10" t="inlineStr">
        <is>
          <t>https://www.vaporl.com/vape-store-in-leeds-find-an-electronic-cigarette-near-by</t>
        </is>
      </c>
      <c r="E461" s="10" t="inlineStr">
        <is>
          <t>Directory</t>
        </is>
      </c>
      <c r="F461" s="10" t="inlineStr">
        <is>
          <t>2026-09-16</t>
        </is>
      </c>
      <c r="G461" s="10" t="inlineStr">
        <is>
          <t>Thorntons Arcade address (via search results)</t>
        </is>
      </c>
      <c r="H461" s="10" t="inlineStr">
        <is>
          <t>Requires Verification</t>
        </is>
      </c>
    </row>
    <row r="462">
      <c r="A462" s="5" t="inlineStr">
        <is>
          <t>WY-0150</t>
        </is>
      </c>
      <c r="B462" s="5" t="inlineStr">
        <is>
          <t>Somers of Keighley</t>
        </is>
      </c>
      <c r="C462" s="5" t="inlineStr">
        <is>
          <t>Keighley</t>
        </is>
      </c>
      <c r="D462" s="5" t="inlineStr">
        <is>
          <t>https://www.yelp.com/biz/somers-of-keighley-keighley</t>
        </is>
      </c>
      <c r="E462" s="5" t="inlineStr">
        <is>
          <t>Directory</t>
        </is>
      </c>
      <c r="F462" s="5" t="inlineStr">
        <is>
          <t>2026-09-16</t>
        </is>
      </c>
      <c r="G462" s="5" t="inlineStr">
        <is>
          <t>address 1 Bow Street BD21 3PB, phone (search snippet)</t>
        </is>
      </c>
      <c r="H462" s="5" t="inlineStr">
        <is>
          <t>Requires Verification</t>
        </is>
      </c>
    </row>
    <row r="463">
      <c r="A463" s="10" t="inlineStr">
        <is>
          <t>WY-0150</t>
        </is>
      </c>
      <c r="B463" s="10" t="inlineStr">
        <is>
          <t>Somers of Keighley</t>
        </is>
      </c>
      <c r="C463" s="10" t="inlineStr">
        <is>
          <t>Keighley</t>
        </is>
      </c>
      <c r="D463" s="10" t="inlineStr">
        <is>
          <t>https://keighley.cylex-uk.co.uk/company/somers-of-keighley-13656771.html</t>
        </is>
      </c>
      <c r="E463" s="10" t="inlineStr">
        <is>
          <t>Directory</t>
        </is>
      </c>
      <c r="F463" s="10" t="inlineStr">
        <is>
          <t>2026-09-16</t>
        </is>
      </c>
      <c r="G463" s="10" t="inlineStr">
        <is>
          <t>listing cross-check (search result)</t>
        </is>
      </c>
      <c r="H463" s="10" t="inlineStr">
        <is>
          <t>Requires Verification</t>
        </is>
      </c>
    </row>
    <row r="464">
      <c r="A464" s="5" t="inlineStr">
        <is>
          <t>WY-0150</t>
        </is>
      </c>
      <c r="B464" s="5" t="inlineStr">
        <is>
          <t>Somers of Keighley</t>
        </is>
      </c>
      <c r="C464" s="5" t="inlineStr">
        <is>
          <t>Keighley</t>
        </is>
      </c>
      <c r="D464" s="5" t="inlineStr">
        <is>
          <t>https://citikey.uk/display/somers-tobacconists-CHA11</t>
        </is>
      </c>
      <c r="E464" s="5" t="inlineStr">
        <is>
          <t>Directory</t>
        </is>
      </c>
      <c r="F464" s="5" t="inlineStr">
        <is>
          <t>2026-09-16</t>
        </is>
      </c>
      <c r="G464" s="5" t="inlineStr">
        <is>
          <t>trading name Somers Tobacconists, Bow Street BD21 3PB (search snippet)</t>
        </is>
      </c>
      <c r="H464" s="5" t="inlineStr">
        <is>
          <t>Requires Verification</t>
        </is>
      </c>
    </row>
    <row r="465">
      <c r="A465" s="10" t="inlineStr">
        <is>
          <t>WY-0151</t>
        </is>
      </c>
      <c r="B465" s="10" t="inlineStr">
        <is>
          <t>Soothill Convenience Store &amp; Off Licence</t>
        </is>
      </c>
      <c r="C465" s="10" t="inlineStr">
        <is>
          <t>Batley</t>
        </is>
      </c>
      <c r="D465" s="10" t="inlineStr">
        <is>
          <t>https://find-and-update.company-information.service.gov.uk/company/11966163/persons-with-significant-control</t>
        </is>
      </c>
      <c r="E465" s="10" t="inlineStr">
        <is>
          <t>Companies House</t>
        </is>
      </c>
      <c r="F465" s="10" t="inlineStr">
        <is>
          <t>2026-09-16</t>
        </is>
      </c>
      <c r="G465" s="10" t="inlineStr">
        <is>
          <t>registered company name, company number</t>
        </is>
      </c>
      <c r="H465" s="10" t="inlineStr">
        <is>
          <t>Requires Verification</t>
        </is>
      </c>
    </row>
    <row r="466">
      <c r="A466" s="5" t="inlineStr">
        <is>
          <t>WY-0151</t>
        </is>
      </c>
      <c r="B466" s="5" t="inlineStr">
        <is>
          <t>Soothill Convenience Store &amp; Off Licence</t>
        </is>
      </c>
      <c r="C466" s="5" t="inlineStr">
        <is>
          <t>Batley</t>
        </is>
      </c>
      <c r="D466" s="5" t="inlineStr">
        <is>
          <t>https://open.endole.co.uk/insight/company/11966163-soothill-convenience-store-off-licence-limited</t>
        </is>
      </c>
      <c r="E466" s="5" t="inlineStr">
        <is>
          <t>Directory</t>
        </is>
      </c>
      <c r="F466" s="5" t="inlineStr">
        <is>
          <t>2026-09-16</t>
        </is>
      </c>
      <c r="G466" s="5" t="inlineStr">
        <is>
          <t>company profile existence</t>
        </is>
      </c>
      <c r="H466" s="5" t="inlineStr">
        <is>
          <t>Requires Verification</t>
        </is>
      </c>
    </row>
    <row r="467">
      <c r="A467" s="10" t="inlineStr">
        <is>
          <t>WY-0152</t>
        </is>
      </c>
      <c r="B467" s="10" t="inlineStr">
        <is>
          <t>Springfield Garage (Keighley)</t>
        </is>
      </c>
      <c r="C467" s="10" t="inlineStr">
        <is>
          <t>Keighley</t>
        </is>
      </c>
      <c r="D467" s="10" t="inlineStr">
        <is>
          <t>https://find-and-update.company-information.service.gov.uk/company/00871540</t>
        </is>
      </c>
      <c r="E467" s="10" t="inlineStr">
        <is>
          <t>Companies House</t>
        </is>
      </c>
      <c r="F467" s="10" t="inlineStr">
        <is>
          <t>2026-09-16</t>
        </is>
      </c>
      <c r="G467" s="10" t="inlineStr">
        <is>
          <t>company Springfield Garage (Keighley) Limited 00871540 (search result; direct fetch blocked)</t>
        </is>
      </c>
      <c r="H467" s="10" t="inlineStr">
        <is>
          <t>Partially Verified</t>
        </is>
      </c>
    </row>
    <row r="468">
      <c r="A468" s="5" t="inlineStr">
        <is>
          <t>WY-0152</t>
        </is>
      </c>
      <c r="B468" s="5" t="inlineStr">
        <is>
          <t>Springfield Garage (Keighley)</t>
        </is>
      </c>
      <c r="C468" s="5" t="inlineStr">
        <is>
          <t>Keighley</t>
        </is>
      </c>
      <c r="D468" s="5" t="inlineStr">
        <is>
          <t>https://www.mylocalservices.co.uk/Springfield+Garage-Keighley-2646735.html</t>
        </is>
      </c>
      <c r="E468" s="5" t="inlineStr">
        <is>
          <t>Directory</t>
        </is>
      </c>
      <c r="F468" s="5" t="inlineStr">
        <is>
          <t>2026-09-16</t>
        </is>
      </c>
      <c r="G468" s="5" t="inlineStr">
        <is>
          <t>address Oakworth Road BD21 1QQ, phone (search snippet)</t>
        </is>
      </c>
      <c r="H468" s="5" t="inlineStr">
        <is>
          <t>Partially Verified</t>
        </is>
      </c>
    </row>
    <row r="469">
      <c r="A469" s="10" t="inlineStr">
        <is>
          <t>WY-0152</t>
        </is>
      </c>
      <c r="B469" s="10" t="inlineStr">
        <is>
          <t>Springfield Garage (Keighley)</t>
        </is>
      </c>
      <c r="C469" s="10" t="inlineStr">
        <is>
          <t>Keighley</t>
        </is>
      </c>
      <c r="D469" s="10" t="inlineStr">
        <is>
          <t>https://www.fuelflash.eu/en/springfield-garage-keighley-ltd-keighley-united-kingdom-springfield-garage-_keighley_-ltd-oakworth-road-112600/</t>
        </is>
      </c>
      <c r="E469" s="10" t="inlineStr">
        <is>
          <t>Directory</t>
        </is>
      </c>
      <c r="F469" s="10" t="inlineStr">
        <is>
          <t>2026-09-16</t>
        </is>
      </c>
      <c r="G469" s="10" t="inlineStr">
        <is>
          <t>Gulf brand confirmation (search result)</t>
        </is>
      </c>
      <c r="H469" s="10" t="inlineStr">
        <is>
          <t>Partially Verified</t>
        </is>
      </c>
    </row>
    <row r="470">
      <c r="A470" s="5" t="inlineStr">
        <is>
          <t>UK-000279</t>
        </is>
      </c>
      <c r="B470" s="5" t="inlineStr">
        <is>
          <t>Sprouts Supermarket</t>
        </is>
      </c>
      <c r="C470" s="5" t="inlineStr">
        <is>
          <t>Rotherham</t>
        </is>
      </c>
      <c r="D470" s="5" t="inlineStr">
        <is>
          <t>https://www.thomsonlocal.com/search/supermarkets/rotherham/sprouts-supermarket/3066529/01709839980</t>
        </is>
      </c>
      <c r="E470" s="5" t="inlineStr">
        <is>
          <t>Directory</t>
        </is>
      </c>
      <c r="F470" s="5" t="inlineStr">
        <is>
          <t>2026-09-16</t>
        </is>
      </c>
      <c r="G470" s="5" t="inlineStr">
        <is>
          <t>name, phone</t>
        </is>
      </c>
      <c r="H470" s="5" t="inlineStr">
        <is>
          <t>Requires Verification</t>
        </is>
      </c>
    </row>
    <row r="471">
      <c r="A471" s="10" t="inlineStr">
        <is>
          <t>UK-000279</t>
        </is>
      </c>
      <c r="B471" s="10" t="inlineStr">
        <is>
          <t>Sprouts Supermarket</t>
        </is>
      </c>
      <c r="C471" s="10" t="inlineStr">
        <is>
          <t>Rotherham</t>
        </is>
      </c>
      <c r="D471" s="10" t="inlineStr">
        <is>
          <t>https://rotherham.ukintouch.com/store/sprouts-supermarket/</t>
        </is>
      </c>
      <c r="E471" s="10" t="inlineStr">
        <is>
          <t>Directory</t>
        </is>
      </c>
      <c r="F471" s="10" t="inlineStr">
        <is>
          <t>2026-09-16</t>
        </is>
      </c>
      <c r="G471" s="10" t="inlineStr">
        <is>
          <t>address 174 Wellgate, postcode S60 2PE</t>
        </is>
      </c>
      <c r="H471" s="10" t="inlineStr">
        <is>
          <t>Requires Verification</t>
        </is>
      </c>
    </row>
    <row r="472">
      <c r="A472" s="5" t="inlineStr">
        <is>
          <t>WY-0153</t>
        </is>
      </c>
      <c r="B472" s="5" t="inlineStr">
        <is>
          <t>Stainbeck Off Licence (Best-one)</t>
        </is>
      </c>
      <c r="C472" s="5" t="inlineStr">
        <is>
          <t>Leeds</t>
        </is>
      </c>
      <c r="D472" s="5" t="inlineStr">
        <is>
          <t>https://www.yorkshire.com/chapel-allerton/shopping/off-license</t>
        </is>
      </c>
      <c r="E472" s="5" t="inlineStr">
        <is>
          <t>Directory</t>
        </is>
      </c>
      <c r="F472" s="5" t="inlineStr">
        <is>
          <t>2026-09-16</t>
        </is>
      </c>
      <c r="G472" s="5" t="inlineStr">
        <is>
          <t>name, area, Best-one affiliation (via search results)</t>
        </is>
      </c>
      <c r="H472" s="5" t="inlineStr">
        <is>
          <t>Requires Verification</t>
        </is>
      </c>
    </row>
    <row r="473">
      <c r="A473" s="10" t="inlineStr">
        <is>
          <t>WY-0154</t>
        </is>
      </c>
      <c r="B473" s="10" t="inlineStr">
        <is>
          <t>Star Express Off-Licence &amp; Convenience Store</t>
        </is>
      </c>
      <c r="C473" s="10" t="inlineStr">
        <is>
          <t>Huddersfield</t>
        </is>
      </c>
      <c r="D473" s="10" t="inlineStr">
        <is>
          <t>https://www.yorkshire.com/huddersfield/shopping/off-license/star-express-off-licence-convenience-store</t>
        </is>
      </c>
      <c r="E473" s="10" t="inlineStr">
        <is>
          <t>Directory</t>
        </is>
      </c>
      <c r="F473" s="10" t="inlineStr">
        <is>
          <t>2026-09-16</t>
        </is>
      </c>
      <c r="G473" s="10" t="inlineStr">
        <is>
          <t>name, street, hours</t>
        </is>
      </c>
      <c r="H473" s="10" t="inlineStr">
        <is>
          <t>Requires Verification</t>
        </is>
      </c>
    </row>
    <row r="474">
      <c r="A474" s="5" t="inlineStr">
        <is>
          <t>WY-0155</t>
        </is>
      </c>
      <c r="B474" s="5" t="inlineStr">
        <is>
          <t>Stringers Service Station</t>
        </is>
      </c>
      <c r="C474" s="5" t="inlineStr">
        <is>
          <t>Pontefract</t>
        </is>
      </c>
      <c r="D474" s="5" t="inlineStr">
        <is>
          <t>https://www.petrolprices.com/locations/pontefract/grove-road/6837</t>
        </is>
      </c>
      <c r="E474" s="5" t="inlineStr">
        <is>
          <t>Directory</t>
        </is>
      </c>
      <c r="F474" s="5" t="inlineStr">
        <is>
          <t>2026-09-16</t>
        </is>
      </c>
      <c r="G474" s="5" t="inlineStr">
        <is>
          <t>site listing, Murco branding, WF8 1PN</t>
        </is>
      </c>
      <c r="H474" s="5" t="inlineStr">
        <is>
          <t>Requires Verification</t>
        </is>
      </c>
    </row>
    <row r="475">
      <c r="A475" s="10" t="inlineStr">
        <is>
          <t>WY-0155</t>
        </is>
      </c>
      <c r="B475" s="10" t="inlineStr">
        <is>
          <t>Stringers Service Station</t>
        </is>
      </c>
      <c r="C475" s="10" t="inlineStr">
        <is>
          <t>Pontefract</t>
        </is>
      </c>
      <c r="D475" s="10" t="inlineStr">
        <is>
          <t>https://ratings.food.gov.uk/business/313271/stringers-service-station-pontefract</t>
        </is>
      </c>
      <c r="E475" s="10" t="inlineStr">
        <is>
          <t>Other</t>
        </is>
      </c>
      <c r="F475" s="10" t="inlineStr">
        <is>
          <t>2026-09-16</t>
        </is>
      </c>
      <c r="G475" s="10" t="inlineStr">
        <is>
          <t>FSA listing, address 102 Southgate</t>
        </is>
      </c>
      <c r="H475" s="10" t="inlineStr">
        <is>
          <t>Requires Verification</t>
        </is>
      </c>
    </row>
    <row r="476">
      <c r="A476" s="5" t="inlineStr">
        <is>
          <t>WY-0156</t>
        </is>
      </c>
      <c r="B476" s="5" t="inlineStr">
        <is>
          <t>Suki's Cash &amp; Carry</t>
        </is>
      </c>
      <c r="C476" s="5" t="inlineStr">
        <is>
          <t>Bradford</t>
        </is>
      </c>
      <c r="D476" s="5" t="inlineStr">
        <is>
          <t>https://sukiscashandcarry.co.uk/</t>
        </is>
      </c>
      <c r="E476" s="5" t="inlineStr">
        <is>
          <t>Official Website</t>
        </is>
      </c>
      <c r="F476" s="5" t="inlineStr">
        <is>
          <t>2026-09-16</t>
        </is>
      </c>
      <c r="G476" s="5" t="inlineStr">
        <is>
          <t>address Garnett Street BD3 9HN, product range (search snippet; fetch blocked)</t>
        </is>
      </c>
      <c r="H476" s="5" t="inlineStr">
        <is>
          <t>Partially Verified</t>
        </is>
      </c>
    </row>
    <row r="477">
      <c r="A477" s="10" t="inlineStr">
        <is>
          <t>WY-0156</t>
        </is>
      </c>
      <c r="B477" s="10" t="inlineStr">
        <is>
          <t>Suki's Cash &amp; Carry</t>
        </is>
      </c>
      <c r="C477" s="10" t="inlineStr">
        <is>
          <t>Bradford</t>
        </is>
      </c>
      <c r="D477" s="10" t="inlineStr">
        <is>
          <t>https://www.yell.com/biz/suki-cash-and-carry-bradford-917912/</t>
        </is>
      </c>
      <c r="E477" s="10" t="inlineStr">
        <is>
          <t>Yell</t>
        </is>
      </c>
      <c r="F477" s="10" t="inlineStr">
        <is>
          <t>2026-09-16</t>
        </is>
      </c>
      <c r="G477" s="10" t="inlineStr">
        <is>
          <t>listing cross-check (search result)</t>
        </is>
      </c>
      <c r="H477" s="10" t="inlineStr">
        <is>
          <t>Partially Verified</t>
        </is>
      </c>
    </row>
    <row r="478">
      <c r="A478" s="5" t="inlineStr">
        <is>
          <t>WY-0156</t>
        </is>
      </c>
      <c r="B478" s="5" t="inlineStr">
        <is>
          <t>Suki's Cash &amp; Carry</t>
        </is>
      </c>
      <c r="C478" s="5" t="inlineStr">
        <is>
          <t>Bradford</t>
        </is>
      </c>
      <c r="D478" s="5" t="inlineStr">
        <is>
          <t>https://www.britaine.co.uk/suki-cash-carry-F120DC90718D447</t>
        </is>
      </c>
      <c r="E478" s="5" t="inlineStr">
        <is>
          <t>Directory</t>
        </is>
      </c>
      <c r="F478" s="5" t="inlineStr">
        <is>
          <t>2026-09-16</t>
        </is>
      </c>
      <c r="G478" s="5" t="inlineStr">
        <is>
          <t>phone 01274 736093 (search snippet)</t>
        </is>
      </c>
      <c r="H478" s="5" t="inlineStr">
        <is>
          <t>Partially Verified</t>
        </is>
      </c>
    </row>
    <row r="479">
      <c r="A479" s="10" t="inlineStr">
        <is>
          <t>WY-0156</t>
        </is>
      </c>
      <c r="B479" s="10" t="inlineStr">
        <is>
          <t>Suki's Cash &amp; Carry</t>
        </is>
      </c>
      <c r="C479" s="10" t="inlineStr">
        <is>
          <t>Bradford</t>
        </is>
      </c>
      <c r="D479" s="10" t="inlineStr">
        <is>
          <t>https://sukiscashandcarry.co.uk/pages/contact-us</t>
        </is>
      </c>
      <c r="E479" s="10" t="inlineStr">
        <is>
          <t>Official Website</t>
        </is>
      </c>
      <c r="F479" s="10" t="inlineStr">
        <is>
          <t>2026-09-16</t>
        </is>
      </c>
      <c r="G479" s="10" t="inlineStr">
        <is>
          <t>contact page (via search extraction)</t>
        </is>
      </c>
      <c r="H479" s="10" t="inlineStr">
        <is>
          <t>Partially Verified</t>
        </is>
      </c>
    </row>
    <row r="480">
      <c r="A480" s="5" t="inlineStr">
        <is>
          <t>WY-0156</t>
        </is>
      </c>
      <c r="B480" s="5" t="inlineStr">
        <is>
          <t>Suki's Cash &amp; Carry</t>
        </is>
      </c>
      <c r="C480" s="5" t="inlineStr">
        <is>
          <t>Bradford</t>
        </is>
      </c>
      <c r="D480" s="5" t="inlineStr">
        <is>
          <t>https://www.yelp.com/biz/sukis-cash-and-carry-wholesalers-bradford</t>
        </is>
      </c>
      <c r="E480" s="5" t="inlineStr">
        <is>
          <t>Directory</t>
        </is>
      </c>
      <c r="F480" s="5" t="inlineStr">
        <is>
          <t>2026-09-16</t>
        </is>
      </c>
      <c r="G480" s="5" t="inlineStr">
        <is>
          <t>address, phone, hours</t>
        </is>
      </c>
      <c r="H480" s="5" t="inlineStr">
        <is>
          <t>Partially Verified</t>
        </is>
      </c>
    </row>
    <row r="481">
      <c r="A481" s="10" t="inlineStr">
        <is>
          <t>WY-0156</t>
        </is>
      </c>
      <c r="B481" s="10" t="inlineStr">
        <is>
          <t>Suki's Cash &amp; Carry</t>
        </is>
      </c>
      <c r="C481" s="10" t="inlineStr">
        <is>
          <t>Bradford</t>
        </is>
      </c>
      <c r="D481" s="10" t="inlineStr">
        <is>
          <t>https://www.facebook.com/sukiscashandcarry/</t>
        </is>
      </c>
      <c r="E481" s="10" t="inlineStr">
        <is>
          <t>Facebook</t>
        </is>
      </c>
      <c r="F481" s="10" t="inlineStr">
        <is>
          <t>2026-09-16</t>
        </is>
      </c>
      <c r="G481" s="10" t="inlineStr">
        <is>
          <t>social (facebook, instagram)</t>
        </is>
      </c>
      <c r="H481" s="10" t="inlineStr">
        <is>
          <t>Partially Verified</t>
        </is>
      </c>
    </row>
    <row r="482">
      <c r="A482" s="5" t="inlineStr">
        <is>
          <t>WY-0157</t>
        </is>
      </c>
      <c r="B482" s="5" t="inlineStr">
        <is>
          <t>Sup Mirfield</t>
        </is>
      </c>
      <c r="C482" s="5" t="inlineStr">
        <is>
          <t>Mirfield</t>
        </is>
      </c>
      <c r="D482" s="5" t="inlineStr">
        <is>
          <t>https://www.facebook.com/supmirfield/</t>
        </is>
      </c>
      <c r="E482" s="5" t="inlineStr">
        <is>
          <t>Facebook</t>
        </is>
      </c>
      <c r="F482" s="5" t="inlineStr">
        <is>
          <t>2026-09-16</t>
        </is>
      </c>
      <c r="G482" s="5" t="inlineStr">
        <is>
          <t>address, phone</t>
        </is>
      </c>
      <c r="H482" s="5" t="inlineStr">
        <is>
          <t>Requires Verification</t>
        </is>
      </c>
    </row>
    <row r="483">
      <c r="A483" s="10" t="inlineStr">
        <is>
          <t>UK-000280</t>
        </is>
      </c>
      <c r="B483" s="10" t="inlineStr">
        <is>
          <t>TLC (Top Lines Catering Supplies)</t>
        </is>
      </c>
      <c r="C483" s="10" t="inlineStr">
        <is>
          <t>Sheffield</t>
        </is>
      </c>
      <c r="D483" s="10" t="inlineStr">
        <is>
          <t>https://www.tlcfoods.com/info/how-to-find-us</t>
        </is>
      </c>
      <c r="E483" s="10" t="inlineStr">
        <is>
          <t>Official Website</t>
        </is>
      </c>
      <c r="F483" s="10" t="inlineStr">
        <is>
          <t>2026-09-16</t>
        </is>
      </c>
      <c r="G483" s="10" t="inlineStr">
        <is>
          <t>name, address, phone</t>
        </is>
      </c>
      <c r="H483" s="10" t="inlineStr">
        <is>
          <t>Requires Verification</t>
        </is>
      </c>
    </row>
    <row r="484">
      <c r="A484" s="5" t="inlineStr">
        <is>
          <t>UK-000280</t>
        </is>
      </c>
      <c r="B484" s="5" t="inlineStr">
        <is>
          <t>TLC (Top Lines Catering Supplies)</t>
        </is>
      </c>
      <c r="C484" s="5" t="inlineStr">
        <is>
          <t>Sheffield</t>
        </is>
      </c>
      <c r="D484" s="5" t="inlineStr">
        <is>
          <t>https://www.hotfrog.co.uk/company/1096961803157504/top-lines-catering-supplies/sheffield/foods</t>
        </is>
      </c>
      <c r="E484" s="5" t="inlineStr">
        <is>
          <t>Directory</t>
        </is>
      </c>
      <c r="F484" s="5" t="inlineStr">
        <is>
          <t>2026-09-16</t>
        </is>
      </c>
      <c r="G484" s="5" t="inlineStr">
        <is>
          <t>legal name, address, postcode S9 3WX</t>
        </is>
      </c>
      <c r="H484" s="5" t="inlineStr">
        <is>
          <t>Requires Verification</t>
        </is>
      </c>
    </row>
    <row r="485">
      <c r="A485" s="10" t="inlineStr">
        <is>
          <t>UK-000281</t>
        </is>
      </c>
      <c r="B485" s="10" t="inlineStr">
        <is>
          <t>Tang Hall Food &amp; Wine</t>
        </is>
      </c>
      <c r="C485" s="10" t="inlineStr">
        <is>
          <t>York</t>
        </is>
      </c>
      <c r="D485" s="10" t="inlineStr">
        <is>
          <t>https://www.yorkshire.com/york/shopping/off-license</t>
        </is>
      </c>
      <c r="E485" s="10" t="inlineStr">
        <is>
          <t>Directory</t>
        </is>
      </c>
      <c r="F485" s="10" t="inlineStr">
        <is>
          <t>2026-09-16</t>
        </is>
      </c>
      <c r="G485" s="10" t="inlineStr">
        <is>
          <t>name, address, postcode</t>
        </is>
      </c>
      <c r="H485" s="10" t="inlineStr">
        <is>
          <t>Requires Verification</t>
        </is>
      </c>
    </row>
    <row r="486">
      <c r="A486" s="5" t="inlineStr">
        <is>
          <t>WY-0158</t>
        </is>
      </c>
      <c r="B486" s="5" t="inlineStr">
        <is>
          <t>Thali Outlet</t>
        </is>
      </c>
      <c r="C486" s="5" t="inlineStr">
        <is>
          <t>Leeds</t>
        </is>
      </c>
      <c r="D486" s="5" t="inlineStr">
        <is>
          <t>https://www.thalioutlet.com/pages/contact</t>
        </is>
      </c>
      <c r="E486" s="5" t="inlineStr">
        <is>
          <t>Official Website</t>
        </is>
      </c>
      <c r="F486" s="5" t="inlineStr">
        <is>
          <t>2026-09-16</t>
        </is>
      </c>
      <c r="G486" s="5" t="inlineStr">
        <is>
          <t>address, contact page (via search results; direct fetch blocked by proxy)</t>
        </is>
      </c>
      <c r="H486" s="5" t="inlineStr">
        <is>
          <t>Requires Verification</t>
        </is>
      </c>
    </row>
    <row r="487">
      <c r="A487" s="10" t="inlineStr">
        <is>
          <t>WY-0158</t>
        </is>
      </c>
      <c r="B487" s="10" t="inlineStr">
        <is>
          <t>Thali Outlet</t>
        </is>
      </c>
      <c r="C487" s="10" t="inlineStr">
        <is>
          <t>Leeds</t>
        </is>
      </c>
      <c r="D487" s="10" t="inlineStr">
        <is>
          <t>https://www.thomsonlocal.com/search/party-goods-novelties/leeds/thali-outlet/1678928/01133948000</t>
        </is>
      </c>
      <c r="E487" s="10" t="inlineStr">
        <is>
          <t>Directory</t>
        </is>
      </c>
      <c r="F487" s="10" t="inlineStr">
        <is>
          <t>2026-09-16</t>
        </is>
      </c>
      <c r="G487" s="10" t="inlineStr">
        <is>
          <t>phone 0113 394 8000 (via search results)</t>
        </is>
      </c>
      <c r="H487" s="10" t="inlineStr">
        <is>
          <t>Requires Verification</t>
        </is>
      </c>
    </row>
    <row r="488">
      <c r="A488" s="5" t="inlineStr">
        <is>
          <t>WY-0158</t>
        </is>
      </c>
      <c r="B488" s="5" t="inlineStr">
        <is>
          <t>Thali Outlet</t>
        </is>
      </c>
      <c r="C488" s="5" t="inlineStr">
        <is>
          <t>Leeds</t>
        </is>
      </c>
      <c r="D488" s="5" t="inlineStr">
        <is>
          <t>https://gb.kompass.com/c/thali-outlet/gb08555459/</t>
        </is>
      </c>
      <c r="E488" s="5" t="inlineStr">
        <is>
          <t>Directory</t>
        </is>
      </c>
      <c r="F488" s="5" t="inlineStr">
        <is>
          <t>2026-09-16</t>
        </is>
      </c>
      <c r="G488" s="5" t="inlineStr">
        <is>
          <t>legal name and company number (via search results)</t>
        </is>
      </c>
      <c r="H488" s="5" t="inlineStr">
        <is>
          <t>Requires Verification</t>
        </is>
      </c>
    </row>
    <row r="489">
      <c r="A489" s="10" t="inlineStr">
        <is>
          <t>UK-000282</t>
        </is>
      </c>
      <c r="B489" s="10" t="inlineStr">
        <is>
          <t>The Little Shop of Vapes</t>
        </is>
      </c>
      <c r="C489" s="10" t="inlineStr">
        <is>
          <t>Scarborough</t>
        </is>
      </c>
      <c r="D489" s="10" t="inlineStr">
        <is>
          <t>https://scarborough.cylex-uk.co.uk/company/the-little-shop-of-vapes-26778046.html</t>
        </is>
      </c>
      <c r="E489" s="10" t="inlineStr">
        <is>
          <t>Directory</t>
        </is>
      </c>
      <c r="F489" s="10" t="inlineStr">
        <is>
          <t>2026-09-16</t>
        </is>
      </c>
      <c r="G489" s="10" t="inlineStr">
        <is>
          <t>address, postcode, phone</t>
        </is>
      </c>
      <c r="H489" s="10" t="inlineStr">
        <is>
          <t>Requires Verification</t>
        </is>
      </c>
    </row>
    <row r="490">
      <c r="A490" s="5" t="inlineStr">
        <is>
          <t>UK-000282</t>
        </is>
      </c>
      <c r="B490" s="5" t="inlineStr">
        <is>
          <t>The Little Shop of Vapes</t>
        </is>
      </c>
      <c r="C490" s="5" t="inlineStr">
        <is>
          <t>Scarborough</t>
        </is>
      </c>
      <c r="D490" s="5" t="inlineStr">
        <is>
          <t>https://www.bizseek.co.uk/the-little-shop-of-vapes-01723-449978</t>
        </is>
      </c>
      <c r="E490" s="5" t="inlineStr">
        <is>
          <t>Directory</t>
        </is>
      </c>
      <c r="F490" s="5" t="inlineStr">
        <is>
          <t>2026-09-16</t>
        </is>
      </c>
      <c r="G490" s="5" t="inlineStr">
        <is>
          <t>phone confirmation</t>
        </is>
      </c>
      <c r="H490" s="5" t="inlineStr">
        <is>
          <t>Requires Verification</t>
        </is>
      </c>
    </row>
    <row r="491">
      <c r="A491" s="10" t="inlineStr">
        <is>
          <t>UK-000282</t>
        </is>
      </c>
      <c r="B491" s="10" t="inlineStr">
        <is>
          <t>The Little Shop of Vapes</t>
        </is>
      </c>
      <c r="C491" s="10" t="inlineStr">
        <is>
          <t>Scarborough</t>
        </is>
      </c>
      <c r="D491" s="10" t="inlineStr">
        <is>
          <t>https://ecigdirectory.co.uk/vape-shop/listing/the-little-shop-of-vapes</t>
        </is>
      </c>
      <c r="E491" s="10" t="inlineStr">
        <is>
          <t>Directory</t>
        </is>
      </c>
      <c r="F491" s="10" t="inlineStr">
        <is>
          <t>2026-09-16</t>
        </is>
      </c>
      <c r="G491" s="10" t="inlineStr">
        <is>
          <t>description</t>
        </is>
      </c>
      <c r="H491" s="10" t="inlineStr">
        <is>
          <t>Requires Verification</t>
        </is>
      </c>
    </row>
    <row r="492">
      <c r="A492" s="5" t="inlineStr">
        <is>
          <t>WY-0159</t>
        </is>
      </c>
      <c r="B492" s="5" t="inlineStr">
        <is>
          <t>The Local: Elland</t>
        </is>
      </c>
      <c r="C492" s="5" t="inlineStr">
        <is>
          <t>Elland</t>
        </is>
      </c>
      <c r="D492" s="5" t="inlineStr">
        <is>
          <t>https://www.yorkshire.com/elland/shopping/off-license</t>
        </is>
      </c>
      <c r="E492" s="5" t="inlineStr">
        <is>
          <t>Directory</t>
        </is>
      </c>
      <c r="F492" s="5" t="inlineStr">
        <is>
          <t>2026-09-16</t>
        </is>
      </c>
      <c r="G492" s="5" t="inlineStr">
        <is>
          <t>name, address, postcode, description</t>
        </is>
      </c>
      <c r="H492" s="5" t="inlineStr">
        <is>
          <t>Requires Verification</t>
        </is>
      </c>
    </row>
    <row r="493">
      <c r="A493" s="10" t="inlineStr">
        <is>
          <t>WY-0160</t>
        </is>
      </c>
      <c r="B493" s="10" t="inlineStr">
        <is>
          <t>The Shisha Shop Bradford</t>
        </is>
      </c>
      <c r="C493" s="10" t="inlineStr">
        <is>
          <t>Bradford</t>
        </is>
      </c>
      <c r="D493" s="10" t="inlineStr">
        <is>
          <t>https://www.instagram.com/theshishashopbradford/</t>
        </is>
      </c>
      <c r="E493" s="10" t="inlineStr">
        <is>
          <t>Instagram</t>
        </is>
      </c>
      <c r="F493" s="10" t="inlineStr">
        <is>
          <t>2026-09-16</t>
        </is>
      </c>
      <c r="G493" s="10" t="inlineStr">
        <is>
          <t>address 61 Leeds Road BD1 5DY, WhatsApp number, retail+wholesale offer (search snippet)</t>
        </is>
      </c>
      <c r="H493" s="10" t="inlineStr">
        <is>
          <t>Requires Verification</t>
        </is>
      </c>
    </row>
    <row r="494">
      <c r="A494" s="5" t="inlineStr">
        <is>
          <t>UK-000283</t>
        </is>
      </c>
      <c r="B494" s="5" t="inlineStr">
        <is>
          <t>The Vape Centre York</t>
        </is>
      </c>
      <c r="C494" s="5" t="inlineStr">
        <is>
          <t>York</t>
        </is>
      </c>
      <c r="D494" s="5" t="inlineStr">
        <is>
          <t>https://the-vape-centre-york.wheree.com/</t>
        </is>
      </c>
      <c r="E494" s="5" t="inlineStr">
        <is>
          <t>Directory</t>
        </is>
      </c>
      <c r="F494" s="5" t="inlineStr">
        <is>
          <t>2026-09-16</t>
        </is>
      </c>
      <c r="G494" s="5" t="inlineStr">
        <is>
          <t>name, address, phone</t>
        </is>
      </c>
      <c r="H494" s="5" t="inlineStr">
        <is>
          <t>Requires Verification</t>
        </is>
      </c>
    </row>
    <row r="495">
      <c r="A495" s="10" t="inlineStr">
        <is>
          <t>UK-000283</t>
        </is>
      </c>
      <c r="B495" s="10" t="inlineStr">
        <is>
          <t>The Vape Centre York</t>
        </is>
      </c>
      <c r="C495" s="10" t="inlineStr">
        <is>
          <t>York</t>
        </is>
      </c>
      <c r="D495" s="10" t="inlineStr">
        <is>
          <t>https://york.cylex-uk.co.uk/company/the-vape-centre-york-wetherby-27216167.html</t>
        </is>
      </c>
      <c r="E495" s="10" t="inlineStr">
        <is>
          <t>Directory</t>
        </is>
      </c>
      <c r="F495" s="10" t="inlineStr">
        <is>
          <t>2026-09-16</t>
        </is>
      </c>
      <c r="G495" s="10" t="inlineStr">
        <is>
          <t>listing confirmation</t>
        </is>
      </c>
      <c r="H495" s="10" t="inlineStr">
        <is>
          <t>Requires Verification</t>
        </is>
      </c>
    </row>
    <row r="496">
      <c r="A496" s="5" t="inlineStr">
        <is>
          <t>WY-0161</t>
        </is>
      </c>
      <c r="B496" s="5" t="inlineStr">
        <is>
          <t>The Vape Hub</t>
        </is>
      </c>
      <c r="C496" s="5" t="inlineStr">
        <is>
          <t>Bradford</t>
        </is>
      </c>
      <c r="D496" s="5" t="inlineStr">
        <is>
          <t>https://bradford.cylex-uk.co.uk/company/the-vape-hub-27487259.html</t>
        </is>
      </c>
      <c r="E496" s="5" t="inlineStr">
        <is>
          <t>Directory</t>
        </is>
      </c>
      <c r="F496" s="5" t="inlineStr">
        <is>
          <t>2026-09-16</t>
        </is>
      </c>
      <c r="G496" s="5" t="inlineStr">
        <is>
          <t>address 105b Cooper Lane BD6 3PB, phone (search snippet)</t>
        </is>
      </c>
      <c r="H496" s="5" t="inlineStr">
        <is>
          <t>Requires Verification</t>
        </is>
      </c>
    </row>
    <row r="497">
      <c r="A497" s="10" t="inlineStr">
        <is>
          <t>WY-0161</t>
        </is>
      </c>
      <c r="B497" s="10" t="inlineStr">
        <is>
          <t>The Vape Hub</t>
        </is>
      </c>
      <c r="C497" s="10" t="inlineStr">
        <is>
          <t>Bradford</t>
        </is>
      </c>
      <c r="D497" s="10" t="inlineStr">
        <is>
          <t>https://www.yell.com/biz/the-vape-hub-bradford-10128282/</t>
        </is>
      </c>
      <c r="E497" s="10" t="inlineStr">
        <is>
          <t>Yell</t>
        </is>
      </c>
      <c r="F497" s="10" t="inlineStr">
        <is>
          <t>2026-09-16</t>
        </is>
      </c>
      <c r="G497" s="10" t="inlineStr">
        <is>
          <t>listing cross-check (search snippet)</t>
        </is>
      </c>
      <c r="H497" s="10" t="inlineStr">
        <is>
          <t>Requires Verification</t>
        </is>
      </c>
    </row>
    <row r="498">
      <c r="A498" s="5" t="inlineStr">
        <is>
          <t>WY-0161</t>
        </is>
      </c>
      <c r="B498" s="5" t="inlineStr">
        <is>
          <t>The Vape Hub</t>
        </is>
      </c>
      <c r="C498" s="5" t="inlineStr">
        <is>
          <t>Bradford</t>
        </is>
      </c>
      <c r="D498" s="5" t="inlineStr">
        <is>
          <t>https://www.facebook.com/tvhbradford/</t>
        </is>
      </c>
      <c r="E498" s="5" t="inlineStr">
        <is>
          <t>Facebook</t>
        </is>
      </c>
      <c r="F498" s="5" t="inlineStr">
        <is>
          <t>2026-09-16</t>
        </is>
      </c>
      <c r="G498" s="5" t="inlineStr">
        <is>
          <t>active Facebook page</t>
        </is>
      </c>
      <c r="H498" s="5" t="inlineStr">
        <is>
          <t>Requires Verification</t>
        </is>
      </c>
    </row>
    <row r="499">
      <c r="A499" s="10" t="inlineStr">
        <is>
          <t>UK-000284</t>
        </is>
      </c>
      <c r="B499" s="10" t="inlineStr">
        <is>
          <t>The Vape Lounge Scunthorpe</t>
        </is>
      </c>
      <c r="C499" s="10" t="inlineStr">
        <is>
          <t>Scunthorpe</t>
        </is>
      </c>
      <c r="D499" s="10" t="inlineStr">
        <is>
          <t>https://ecigdirectory.co.uk/vape-shop/listing/the-vape-lounge-scunthorpe</t>
        </is>
      </c>
      <c r="E499" s="10" t="inlineStr">
        <is>
          <t>Directory</t>
        </is>
      </c>
      <c r="F499" s="10" t="inlineStr">
        <is>
          <t>2026-09-16</t>
        </is>
      </c>
      <c r="G499" s="10" t="inlineStr">
        <is>
          <t>name, Ashby High Street address, phone (via search results)</t>
        </is>
      </c>
      <c r="H499" s="10" t="inlineStr">
        <is>
          <t>Requires Verification</t>
        </is>
      </c>
    </row>
    <row r="500">
      <c r="A500" s="5" t="inlineStr">
        <is>
          <t>UK-000285</t>
        </is>
      </c>
      <c r="B500" s="5" t="inlineStr">
        <is>
          <t>The Vape Lounge Thirsk</t>
        </is>
      </c>
      <c r="C500" s="5" t="inlineStr">
        <is>
          <t>Thirsk</t>
        </is>
      </c>
      <c r="D500" s="5" t="inlineStr">
        <is>
          <t>https://directory.crewechronicle.co.uk/company/742362676371456</t>
        </is>
      </c>
      <c r="E500" s="5" t="inlineStr">
        <is>
          <t>Directory</t>
        </is>
      </c>
      <c r="F500" s="5" t="inlineStr">
        <is>
          <t>2026-09-16</t>
        </is>
      </c>
      <c r="G500" s="5" t="inlineStr">
        <is>
          <t>address, postcode, phone</t>
        </is>
      </c>
      <c r="H500" s="5" t="inlineStr">
        <is>
          <t>Requires Verification</t>
        </is>
      </c>
    </row>
    <row r="501">
      <c r="A501" s="10" t="inlineStr">
        <is>
          <t>UK-000285</t>
        </is>
      </c>
      <c r="B501" s="10" t="inlineStr">
        <is>
          <t>The Vape Lounge Thirsk</t>
        </is>
      </c>
      <c r="C501" s="10" t="inlineStr">
        <is>
          <t>Thirsk</t>
        </is>
      </c>
      <c r="D501" s="10" t="inlineStr">
        <is>
          <t>https://ecigdirectory.co.uk/vape-shop/listing/the-vape-lounge-thirsk</t>
        </is>
      </c>
      <c r="E501" s="10" t="inlineStr">
        <is>
          <t>Directory</t>
        </is>
      </c>
      <c r="F501" s="10" t="inlineStr">
        <is>
          <t>2026-09-16</t>
        </is>
      </c>
      <c r="G501" s="10" t="inlineStr">
        <is>
          <t>listing confirmation</t>
        </is>
      </c>
      <c r="H501" s="10" t="inlineStr">
        <is>
          <t>Requires Verification</t>
        </is>
      </c>
    </row>
    <row r="502">
      <c r="A502" s="5" t="inlineStr">
        <is>
          <t>WY-0162</t>
        </is>
      </c>
      <c r="B502" s="5" t="inlineStr">
        <is>
          <t>The Vape Shop Wakefield</t>
        </is>
      </c>
      <c r="C502" s="5" t="inlineStr">
        <is>
          <t>Wakefield</t>
        </is>
      </c>
      <c r="D502" s="5" t="inlineStr">
        <is>
          <t>https://www.facebook.com/vapeshopwakefield.uk/</t>
        </is>
      </c>
      <c r="E502" s="5" t="inlineStr">
        <is>
          <t>Facebook</t>
        </is>
      </c>
      <c r="F502" s="5" t="inlineStr">
        <is>
          <t>2026-09-16</t>
        </is>
      </c>
      <c r="G502" s="5" t="inlineStr">
        <is>
          <t>existence, description</t>
        </is>
      </c>
      <c r="H502" s="5" t="inlineStr">
        <is>
          <t>Requires Verification</t>
        </is>
      </c>
    </row>
    <row r="503">
      <c r="A503" s="10" t="inlineStr">
        <is>
          <t>WY-0162</t>
        </is>
      </c>
      <c r="B503" s="10" t="inlineStr">
        <is>
          <t>The Vape Shop Wakefield</t>
        </is>
      </c>
      <c r="C503" s="10" t="inlineStr">
        <is>
          <t>Wakefield</t>
        </is>
      </c>
      <c r="D503" s="10" t="inlineStr">
        <is>
          <t>https://wakefield.cylex-uk.co.uk/company/the-vape-shop-26780276.html</t>
        </is>
      </c>
      <c r="E503" s="10" t="inlineStr">
        <is>
          <t>Directory</t>
        </is>
      </c>
      <c r="F503" s="10" t="inlineStr">
        <is>
          <t>2026-09-16</t>
        </is>
      </c>
      <c r="G503" s="10" t="inlineStr">
        <is>
          <t>location Horbury Road, Wakefield</t>
        </is>
      </c>
      <c r="H503" s="10" t="inlineStr">
        <is>
          <t>Requires Verification</t>
        </is>
      </c>
    </row>
    <row r="504">
      <c r="A504" s="5" t="inlineStr">
        <is>
          <t>UK-000286</t>
        </is>
      </c>
      <c r="B504" s="5" t="inlineStr">
        <is>
          <t>The Vape Supermarket</t>
        </is>
      </c>
      <c r="C504" s="5" t="inlineStr">
        <is>
          <t>Barnsley</t>
        </is>
      </c>
      <c r="D504" s="5" t="inlineStr">
        <is>
          <t>https://www.facebook.com/TheVapeSupermarket/</t>
        </is>
      </c>
      <c r="E504" s="5" t="inlineStr">
        <is>
          <t>Facebook</t>
        </is>
      </c>
      <c r="F504" s="5" t="inlineStr">
        <is>
          <t>2026-09-16</t>
        </is>
      </c>
      <c r="G504" s="5" t="inlineStr">
        <is>
          <t>name, area, product range</t>
        </is>
      </c>
      <c r="H504" s="5" t="inlineStr">
        <is>
          <t>Requires Verification</t>
        </is>
      </c>
    </row>
    <row r="505">
      <c r="A505" s="10" t="inlineStr">
        <is>
          <t>UK-000287</t>
        </is>
      </c>
      <c r="B505" s="10" t="inlineStr">
        <is>
          <t>The Vapers Guild</t>
        </is>
      </c>
      <c r="C505" s="10" t="inlineStr">
        <is>
          <t>Kingston upon Hull</t>
        </is>
      </c>
      <c r="D505" s="10" t="inlineStr">
        <is>
          <t>https://ecigdirectory.co.uk/vape-shop/listing/the-vapers-guild-hull</t>
        </is>
      </c>
      <c r="E505" s="10" t="inlineStr">
        <is>
          <t>Directory</t>
        </is>
      </c>
      <c r="F505" s="10" t="inlineStr">
        <is>
          <t>2026-09-16</t>
        </is>
      </c>
      <c r="G505" s="10" t="inlineStr">
        <is>
          <t>name, description (via search results)</t>
        </is>
      </c>
      <c r="H505" s="10" t="inlineStr">
        <is>
          <t>Requires Verification</t>
        </is>
      </c>
    </row>
    <row r="506">
      <c r="A506" s="5" t="inlineStr">
        <is>
          <t>WY-0163</t>
        </is>
      </c>
      <c r="B506" s="5" t="inlineStr">
        <is>
          <t>The Vintage Vapour Co</t>
        </is>
      </c>
      <c r="C506" s="5" t="inlineStr">
        <is>
          <t>Ossett</t>
        </is>
      </c>
      <c r="D506" s="5" t="inlineStr">
        <is>
          <t>https://vapegeezer.co.uk/vape-shop-directory/locations/west-yorkshire/</t>
        </is>
      </c>
      <c r="E506" s="5" t="inlineStr">
        <is>
          <t>Directory</t>
        </is>
      </c>
      <c r="F506" s="5" t="inlineStr">
        <is>
          <t>2026-09-16</t>
        </is>
      </c>
      <c r="G506" s="5" t="inlineStr">
        <is>
          <t>name, address 12 Town End, Ossett WF5 8BJ (via search snippet)</t>
        </is>
      </c>
      <c r="H506" s="5" t="inlineStr">
        <is>
          <t>Requires Verification</t>
        </is>
      </c>
    </row>
    <row r="507">
      <c r="A507" s="10" t="inlineStr">
        <is>
          <t>WY-0164</t>
        </is>
      </c>
      <c r="B507" s="10" t="inlineStr">
        <is>
          <t>Thornhill Convenience Store</t>
        </is>
      </c>
      <c r="C507" s="10" t="inlineStr">
        <is>
          <t>Dewsbury</t>
        </is>
      </c>
      <c r="D507" s="10" t="inlineStr">
        <is>
          <t>https://dewsbury.cylex-uk.co.uk/company/thornhill-convenience-store-28660320.html</t>
        </is>
      </c>
      <c r="E507" s="10" t="inlineStr">
        <is>
          <t>Directory</t>
        </is>
      </c>
      <c r="F507" s="10" t="inlineStr">
        <is>
          <t>2026-09-16</t>
        </is>
      </c>
      <c r="G507" s="10" t="inlineStr">
        <is>
          <t>address, postcode, phone</t>
        </is>
      </c>
      <c r="H507" s="10" t="inlineStr">
        <is>
          <t>Requires Verification</t>
        </is>
      </c>
    </row>
    <row r="508">
      <c r="A508" s="5" t="inlineStr">
        <is>
          <t>WY-0165</t>
        </is>
      </c>
      <c r="B508" s="5" t="inlineStr">
        <is>
          <t>Todmorden Newscentre</t>
        </is>
      </c>
      <c r="C508" s="5" t="inlineStr">
        <is>
          <t>Todmorden</t>
        </is>
      </c>
      <c r="D508" s="5" t="inlineStr">
        <is>
          <t>https://www.yell.com/biz/todmorden-newscentre-ltd-formerly-cryers-news-todmorden-1105850/</t>
        </is>
      </c>
      <c r="E508" s="5" t="inlineStr">
        <is>
          <t>Yell</t>
        </is>
      </c>
      <c r="F508" s="5" t="inlineStr">
        <is>
          <t>2026-09-16</t>
        </is>
      </c>
      <c r="G508" s="5" t="inlineStr">
        <is>
          <t>name, address</t>
        </is>
      </c>
      <c r="H508" s="5" t="inlineStr">
        <is>
          <t>Partially Verified</t>
        </is>
      </c>
    </row>
    <row r="509">
      <c r="A509" s="10" t="inlineStr">
        <is>
          <t>WY-0165</t>
        </is>
      </c>
      <c r="B509" s="10" t="inlineStr">
        <is>
          <t>Todmorden Newscentre</t>
        </is>
      </c>
      <c r="C509" s="10" t="inlineStr">
        <is>
          <t>Todmorden</t>
        </is>
      </c>
      <c r="D509" s="10" t="inlineStr">
        <is>
          <t>https://find-and-update.company-information.service.gov.uk/company/07292504</t>
        </is>
      </c>
      <c r="E509" s="10" t="inlineStr">
        <is>
          <t>Companies House</t>
        </is>
      </c>
      <c r="F509" s="10" t="inlineStr">
        <is>
          <t>2026-09-16</t>
        </is>
      </c>
      <c r="G509" s="10" t="inlineStr">
        <is>
          <t>company number, status, incorporation date, registered office, SIC (via search snippet)</t>
        </is>
      </c>
      <c r="H509" s="10" t="inlineStr">
        <is>
          <t>Partially Verified</t>
        </is>
      </c>
    </row>
    <row r="510">
      <c r="A510" s="5" t="inlineStr">
        <is>
          <t>WY-0165</t>
        </is>
      </c>
      <c r="B510" s="5" t="inlineStr">
        <is>
          <t>Todmorden Newscentre</t>
        </is>
      </c>
      <c r="C510" s="5" t="inlineStr">
        <is>
          <t>Todmorden</t>
        </is>
      </c>
      <c r="D510" s="5" t="inlineStr">
        <is>
          <t>https://directory.hinckleytimes.net/company/1520433816113152</t>
        </is>
      </c>
      <c r="E510" s="5" t="inlineStr">
        <is>
          <t>Directory</t>
        </is>
      </c>
      <c r="F510" s="5" t="inlineStr">
        <is>
          <t>2026-09-16</t>
        </is>
      </c>
      <c r="G510" s="5" t="inlineStr">
        <is>
          <t>address, postcode, phone</t>
        </is>
      </c>
      <c r="H510" s="5" t="inlineStr">
        <is>
          <t>Partially Verified</t>
        </is>
      </c>
    </row>
    <row r="511">
      <c r="A511" s="10" t="inlineStr">
        <is>
          <t>WY-0166</t>
        </is>
      </c>
      <c r="B511" s="10" t="inlineStr">
        <is>
          <t>Told Vape Co</t>
        </is>
      </c>
      <c r="C511" s="10" t="inlineStr">
        <is>
          <t>Horbury</t>
        </is>
      </c>
      <c r="D511" s="10" t="inlineStr">
        <is>
          <t>https://ecigdirectory.co.uk/vape-shop/listing/told-vape-co</t>
        </is>
      </c>
      <c r="E511" s="10" t="inlineStr">
        <is>
          <t>Directory</t>
        </is>
      </c>
      <c r="F511" s="10" t="inlineStr">
        <is>
          <t>2026-09-16</t>
        </is>
      </c>
      <c r="G511" s="10" t="inlineStr">
        <is>
          <t>address 29 Queen Street, Horbury WF4 6LP</t>
        </is>
      </c>
      <c r="H511" s="10" t="inlineStr">
        <is>
          <t>Requires Verification</t>
        </is>
      </c>
    </row>
    <row r="512">
      <c r="A512" s="5" t="inlineStr">
        <is>
          <t>WY-0167</t>
        </is>
      </c>
      <c r="B512" s="5" t="inlineStr">
        <is>
          <t>Top Shelf Off Licence</t>
        </is>
      </c>
      <c r="C512" s="5" t="inlineStr">
        <is>
          <t>Wakefield</t>
        </is>
      </c>
      <c r="D512" s="5" t="inlineStr">
        <is>
          <t>https://www.foodhygienerankings.co.uk/authorities/wakefield</t>
        </is>
      </c>
      <c r="E512" s="5" t="inlineStr">
        <is>
          <t>Other</t>
        </is>
      </c>
      <c r="F512" s="5" t="inlineStr">
        <is>
          <t>2026-09-16</t>
        </is>
      </c>
      <c r="G512" s="5" t="inlineStr">
        <is>
          <t>name and address 557 Leeds Road, Outwood WF1 2JL (via search snippet)</t>
        </is>
      </c>
      <c r="H512" s="5" t="inlineStr">
        <is>
          <t>Requires Verification</t>
        </is>
      </c>
    </row>
    <row r="513">
      <c r="A513" s="10" t="inlineStr">
        <is>
          <t>WY-0168</t>
        </is>
      </c>
      <c r="B513" s="10" t="inlineStr">
        <is>
          <t>Turners Food &amp; Wine</t>
        </is>
      </c>
      <c r="C513" s="10" t="inlineStr">
        <is>
          <t>Leeds</t>
        </is>
      </c>
      <c r="D513" s="10" t="inlineStr">
        <is>
          <t>https://www.yorkshire.com/leeds/shopping/off-license</t>
        </is>
      </c>
      <c r="E513" s="10" t="inlineStr">
        <is>
          <t>Directory</t>
        </is>
      </c>
      <c r="F513" s="10" t="inlineStr">
        <is>
          <t>2026-09-16</t>
        </is>
      </c>
      <c r="G513" s="10" t="inlineStr">
        <is>
          <t>name, legal name, Beeston location (via search results)</t>
        </is>
      </c>
      <c r="H513" s="10" t="inlineStr">
        <is>
          <t>Requires Verification</t>
        </is>
      </c>
    </row>
    <row r="514">
      <c r="A514" s="5" t="inlineStr">
        <is>
          <t>WY-0169</t>
        </is>
      </c>
      <c r="B514" s="5" t="inlineStr">
        <is>
          <t>Tylor's Booze</t>
        </is>
      </c>
      <c r="C514" s="5" t="inlineStr">
        <is>
          <t>Castleford</t>
        </is>
      </c>
      <c r="D514" s="5" t="inlineStr">
        <is>
          <t>https://www.yorkshire.com/castleford/shopping/off-license/tylors-booze</t>
        </is>
      </c>
      <c r="E514" s="5" t="inlineStr">
        <is>
          <t>Directory</t>
        </is>
      </c>
      <c r="F514" s="5" t="inlineStr">
        <is>
          <t>2026-09-16</t>
        </is>
      </c>
      <c r="G514" s="5" t="inlineStr">
        <is>
          <t>address 33 Albion Street WF10 1EG</t>
        </is>
      </c>
      <c r="H514" s="5" t="inlineStr">
        <is>
          <t>Partially Verified</t>
        </is>
      </c>
    </row>
    <row r="515">
      <c r="A515" s="10" t="inlineStr">
        <is>
          <t>WY-0169</t>
        </is>
      </c>
      <c r="B515" s="10" t="inlineStr">
        <is>
          <t>Tylor's Booze</t>
        </is>
      </c>
      <c r="C515" s="10" t="inlineStr">
        <is>
          <t>Castleford</t>
        </is>
      </c>
      <c r="D515" s="10" t="inlineStr">
        <is>
          <t>https://find-and-update.company-information.service.gov.uk/company/12100725</t>
        </is>
      </c>
      <c r="E515" s="10" t="inlineStr">
        <is>
          <t>Companies House</t>
        </is>
      </c>
      <c r="F515" s="10" t="inlineStr">
        <is>
          <t>2026-09-16</t>
        </is>
      </c>
      <c r="G515" s="10" t="inlineStr">
        <is>
          <t>company number, incorporation 12 July 2019, active (via search snippet)</t>
        </is>
      </c>
      <c r="H515" s="10" t="inlineStr">
        <is>
          <t>Partially Verified</t>
        </is>
      </c>
    </row>
    <row r="516">
      <c r="A516" s="5" t="inlineStr">
        <is>
          <t>WY-0169</t>
        </is>
      </c>
      <c r="B516" s="5" t="inlineStr">
        <is>
          <t>Tylor's Booze</t>
        </is>
      </c>
      <c r="C516" s="5" t="inlineStr">
        <is>
          <t>Castleford</t>
        </is>
      </c>
      <c r="D516" s="5" t="inlineStr">
        <is>
          <t>https://ratings.food.gov.uk/business/1603061</t>
        </is>
      </c>
      <c r="E516" s="5" t="inlineStr">
        <is>
          <t>Other</t>
        </is>
      </c>
      <c r="F516" s="5" t="inlineStr">
        <is>
          <t>2026-09-16</t>
        </is>
      </c>
      <c r="G516" s="5" t="inlineStr">
        <is>
          <t>FSA hygiene listing (existence cross-check)</t>
        </is>
      </c>
      <c r="H516" s="5" t="inlineStr">
        <is>
          <t>Partially Verified</t>
        </is>
      </c>
    </row>
    <row r="517">
      <c r="A517" s="10" t="inlineStr">
        <is>
          <t>WY-0169</t>
        </is>
      </c>
      <c r="B517" s="10" t="inlineStr">
        <is>
          <t>Tylor's Booze</t>
        </is>
      </c>
      <c r="C517" s="10" t="inlineStr">
        <is>
          <t>Castleford</t>
        </is>
      </c>
      <c r="D517" s="10" t="inlineStr">
        <is>
          <t>https://www.wakefieldexpress.co.uk/news/crime/castleford-shop-surrenders-booze-licence-after-west-yorkshire-police-allegedly-find-counterfeit-cigarettes-3258964</t>
        </is>
      </c>
      <c r="E517" s="10" t="inlineStr">
        <is>
          <t>News / Trade Press</t>
        </is>
      </c>
      <c r="F517" s="10" t="inlineStr">
        <is>
          <t>2026-09-16</t>
        </is>
      </c>
      <c r="G517" s="10" t="inlineStr">
        <is>
          <t>possible licensing issue (unconfirmed link to this business)</t>
        </is>
      </c>
      <c r="H517" s="10" t="inlineStr">
        <is>
          <t>Partially Verified</t>
        </is>
      </c>
    </row>
    <row r="518">
      <c r="A518" s="5" t="inlineStr">
        <is>
          <t>WY-0170</t>
        </is>
      </c>
      <c r="B518" s="5" t="inlineStr">
        <is>
          <t>Umrah Supermarket</t>
        </is>
      </c>
      <c r="C518" s="5" t="inlineStr">
        <is>
          <t>Huddersfield</t>
        </is>
      </c>
      <c r="D518" s="5" t="inlineStr">
        <is>
          <t>https://www.yorkshire.com/huddersfield/shopping/supermarkets/umrah-supermarket-huddersfield</t>
        </is>
      </c>
      <c r="E518" s="5" t="inlineStr">
        <is>
          <t>Directory</t>
        </is>
      </c>
      <c r="F518" s="5" t="inlineStr">
        <is>
          <t>2026-09-16</t>
        </is>
      </c>
      <c r="G518" s="5" t="inlineStr">
        <is>
          <t>street, hours</t>
        </is>
      </c>
      <c r="H518" s="5" t="inlineStr">
        <is>
          <t>Requires Verification</t>
        </is>
      </c>
    </row>
    <row r="519">
      <c r="A519" s="10" t="inlineStr">
        <is>
          <t>WY-0170</t>
        </is>
      </c>
      <c r="B519" s="10" t="inlineStr">
        <is>
          <t>Umrah Supermarket</t>
        </is>
      </c>
      <c r="C519" s="10" t="inlineStr">
        <is>
          <t>Huddersfield</t>
        </is>
      </c>
      <c r="D519" s="10" t="inlineStr">
        <is>
          <t>https://www.facebook.com/p/Umrah-Supermarket-Huddersfield-61555683256072/</t>
        </is>
      </c>
      <c r="E519" s="10" t="inlineStr">
        <is>
          <t>Facebook</t>
        </is>
      </c>
      <c r="F519" s="10" t="inlineStr">
        <is>
          <t>2026-09-16</t>
        </is>
      </c>
      <c r="G519" s="10" t="inlineStr">
        <is>
          <t>business Facebook page</t>
        </is>
      </c>
      <c r="H519" s="10" t="inlineStr">
        <is>
          <t>Requires Verification</t>
        </is>
      </c>
    </row>
    <row r="520">
      <c r="A520" s="5" t="inlineStr">
        <is>
          <t>WY-0171</t>
        </is>
      </c>
      <c r="B520" s="5" t="inlineStr">
        <is>
          <t>VAPE (Heckmondwike)</t>
        </is>
      </c>
      <c r="C520" s="5" t="inlineStr">
        <is>
          <t>Heckmondwike</t>
        </is>
      </c>
      <c r="D520" s="5" t="inlineStr">
        <is>
          <t>https://ecigdirectory.co.uk/vape-shop/listing/vape-heckmondwike</t>
        </is>
      </c>
      <c r="E520" s="5" t="inlineStr">
        <is>
          <t>Directory</t>
        </is>
      </c>
      <c r="F520" s="5" t="inlineStr">
        <is>
          <t>2026-09-16</t>
        </is>
      </c>
      <c r="G520" s="5" t="inlineStr">
        <is>
          <t>address, phone, hours</t>
        </is>
      </c>
      <c r="H520" s="5" t="inlineStr">
        <is>
          <t>Requires Verification</t>
        </is>
      </c>
    </row>
    <row r="521">
      <c r="A521" s="10" t="inlineStr">
        <is>
          <t>WY-0171</t>
        </is>
      </c>
      <c r="B521" s="10" t="inlineStr">
        <is>
          <t>VAPE (Heckmondwike)</t>
        </is>
      </c>
      <c r="C521" s="10" t="inlineStr">
        <is>
          <t>Heckmondwike</t>
        </is>
      </c>
      <c r="D521" s="10" t="inlineStr">
        <is>
          <t>https://www.theukhighstreet.com/store/0/65960/757/</t>
        </is>
      </c>
      <c r="E521" s="10" t="inlineStr">
        <is>
          <t>Directory</t>
        </is>
      </c>
      <c r="F521" s="10" t="inlineStr">
        <is>
          <t>2026-09-16</t>
        </is>
      </c>
      <c r="G521" s="10" t="inlineStr">
        <is>
          <t>cross-check of address and phone</t>
        </is>
      </c>
      <c r="H521" s="10" t="inlineStr">
        <is>
          <t>Requires Verification</t>
        </is>
      </c>
    </row>
    <row r="522">
      <c r="A522" s="5" t="inlineStr">
        <is>
          <t>WY-0172</t>
        </is>
      </c>
      <c r="B522" s="5" t="inlineStr">
        <is>
          <t>Vape Dream</t>
        </is>
      </c>
      <c r="C522" s="5" t="inlineStr">
        <is>
          <t>Dewsbury</t>
        </is>
      </c>
      <c r="D522" s="5" t="inlineStr">
        <is>
          <t>https://www.facebook.com/p/Vape-Dream-Vape-Shop-61558567906935/</t>
        </is>
      </c>
      <c r="E522" s="5" t="inlineStr">
        <is>
          <t>Facebook</t>
        </is>
      </c>
      <c r="F522" s="5" t="inlineStr">
        <is>
          <t>2026-09-16</t>
        </is>
      </c>
      <c r="G522" s="5" t="inlineStr">
        <is>
          <t>business name, town</t>
        </is>
      </c>
      <c r="H522" s="5" t="inlineStr">
        <is>
          <t>Requires Verification</t>
        </is>
      </c>
    </row>
    <row r="523">
      <c r="A523" s="10" t="inlineStr">
        <is>
          <t>UK-000288</t>
        </is>
      </c>
      <c r="B523" s="10" t="inlineStr">
        <is>
          <t>Vape HQ Stocksbridge</t>
        </is>
      </c>
      <c r="C523" s="10" t="inlineStr">
        <is>
          <t>Sheffield</t>
        </is>
      </c>
      <c r="D523" s="10" t="inlineStr">
        <is>
          <t>https://www.facebook.com/VHQStocksbridge/</t>
        </is>
      </c>
      <c r="E523" s="10" t="inlineStr">
        <is>
          <t>Facebook</t>
        </is>
      </c>
      <c r="F523" s="10" t="inlineStr">
        <is>
          <t>2026-09-16</t>
        </is>
      </c>
      <c r="G523" s="10" t="inlineStr">
        <is>
          <t>name, area</t>
        </is>
      </c>
      <c r="H523" s="10" t="inlineStr">
        <is>
          <t>Requires Verification</t>
        </is>
      </c>
    </row>
    <row r="524">
      <c r="A524" s="5" t="inlineStr">
        <is>
          <t>WY-0173</t>
        </is>
      </c>
      <c r="B524" s="5" t="inlineStr">
        <is>
          <t>Vape N Go</t>
        </is>
      </c>
      <c r="C524" s="5" t="inlineStr">
        <is>
          <t>Halifax</t>
        </is>
      </c>
      <c r="D524" s="5" t="inlineStr">
        <is>
          <t>https://www.yell.com/s/tobacconists-halifax.html</t>
        </is>
      </c>
      <c r="E524" s="5" t="inlineStr">
        <is>
          <t>Yell</t>
        </is>
      </c>
      <c r="F524" s="5" t="inlineStr">
        <is>
          <t>2026-09-16</t>
        </is>
      </c>
      <c r="G524" s="5" t="inlineStr">
        <is>
          <t>name, address, postcode</t>
        </is>
      </c>
      <c r="H524" s="5" t="inlineStr">
        <is>
          <t>Requires Verification</t>
        </is>
      </c>
    </row>
    <row r="525">
      <c r="A525" s="10" t="inlineStr">
        <is>
          <t>WY-0174</t>
        </is>
      </c>
      <c r="B525" s="10" t="inlineStr">
        <is>
          <t>Vape Nation UK</t>
        </is>
      </c>
      <c r="C525" s="10" t="inlineStr">
        <is>
          <t>Huddersfield</t>
        </is>
      </c>
      <c r="D525" s="10" t="inlineStr">
        <is>
          <t>https://ecigdirectory.co.uk/vape-shop/listing/vape-nation-uk-huddersfield</t>
        </is>
      </c>
      <c r="E525" s="10" t="inlineStr">
        <is>
          <t>Directory</t>
        </is>
      </c>
      <c r="F525" s="10" t="inlineStr">
        <is>
          <t>2026-09-16</t>
        </is>
      </c>
      <c r="G525" s="10" t="inlineStr">
        <is>
          <t>address, phone, location description</t>
        </is>
      </c>
      <c r="H525" s="10" t="inlineStr">
        <is>
          <t>Partially Verified</t>
        </is>
      </c>
    </row>
    <row r="526">
      <c r="A526" s="5" t="inlineStr">
        <is>
          <t>WY-0174</t>
        </is>
      </c>
      <c r="B526" s="5" t="inlineStr">
        <is>
          <t>Vape Nation UK</t>
        </is>
      </c>
      <c r="C526" s="5" t="inlineStr">
        <is>
          <t>Huddersfield</t>
        </is>
      </c>
      <c r="D526" s="5" t="inlineStr">
        <is>
          <t>https://vapenationeshop.co.uk/contact-us/</t>
        </is>
      </c>
      <c r="E526" s="5" t="inlineStr">
        <is>
          <t>Official Website</t>
        </is>
      </c>
      <c r="F526" s="5" t="inlineStr">
        <is>
          <t>2026-09-16</t>
        </is>
      </c>
      <c r="G526" s="5" t="inlineStr">
        <is>
          <t>website URL seen in search results (fetch blocked)</t>
        </is>
      </c>
      <c r="H526" s="5" t="inlineStr">
        <is>
          <t>Partially Verified</t>
        </is>
      </c>
    </row>
    <row r="527">
      <c r="A527" s="10" t="inlineStr">
        <is>
          <t>UK-000289</t>
        </is>
      </c>
      <c r="B527" s="10" t="inlineStr">
        <is>
          <t>Vape Newland</t>
        </is>
      </c>
      <c r="C527" s="10" t="inlineStr">
        <is>
          <t>Kingston upon Hull</t>
        </is>
      </c>
      <c r="D527" s="10" t="inlineStr">
        <is>
          <t>https://www.facebook.com/p/Vape-Newland-100086500027739/</t>
        </is>
      </c>
      <c r="E527" s="10" t="inlineStr">
        <is>
          <t>Facebook</t>
        </is>
      </c>
      <c r="F527" s="10" t="inlineStr">
        <is>
          <t>2026-09-16</t>
        </is>
      </c>
      <c r="G527" s="10" t="inlineStr">
        <is>
          <t>name, Newland Avenue address (via search results)</t>
        </is>
      </c>
      <c r="H527" s="10" t="inlineStr">
        <is>
          <t>Requires Verification</t>
        </is>
      </c>
    </row>
    <row r="528">
      <c r="A528" s="5" t="inlineStr">
        <is>
          <t>WY-0175</t>
        </is>
      </c>
      <c r="B528" s="5" t="inlineStr">
        <is>
          <t>Vape Road</t>
        </is>
      </c>
      <c r="C528" s="5" t="inlineStr">
        <is>
          <t>Brighouse</t>
        </is>
      </c>
      <c r="D528" s="5" t="inlineStr">
        <is>
          <t>https://brighouse.cylex-uk.co.uk/company/vape-road-27599481.html</t>
        </is>
      </c>
      <c r="E528" s="5" t="inlineStr">
        <is>
          <t>Directory</t>
        </is>
      </c>
      <c r="F528" s="5" t="inlineStr">
        <is>
          <t>2026-09-16</t>
        </is>
      </c>
      <c r="G528" s="5" t="inlineStr">
        <is>
          <t>address, postcode, phone</t>
        </is>
      </c>
      <c r="H528" s="5" t="inlineStr">
        <is>
          <t>Requires Verification</t>
        </is>
      </c>
    </row>
    <row r="529">
      <c r="A529" s="10" t="inlineStr">
        <is>
          <t>WY-0175</t>
        </is>
      </c>
      <c r="B529" s="10" t="inlineStr">
        <is>
          <t>Vape Road</t>
        </is>
      </c>
      <c r="C529" s="10" t="inlineStr">
        <is>
          <t>Brighouse</t>
        </is>
      </c>
      <c r="D529" s="10" t="inlineStr">
        <is>
          <t>https://www.visitbrighouse.co.uk/directory/vape-road/</t>
        </is>
      </c>
      <c r="E529" s="10" t="inlineStr">
        <is>
          <t>Directory</t>
        </is>
      </c>
      <c r="F529" s="10" t="inlineStr">
        <is>
          <t>2026-09-16</t>
        </is>
      </c>
      <c r="G529" s="10" t="inlineStr">
        <is>
          <t>listing confirmation</t>
        </is>
      </c>
      <c r="H529" s="10" t="inlineStr">
        <is>
          <t>Requires Verification</t>
        </is>
      </c>
    </row>
    <row r="530">
      <c r="A530" s="5" t="inlineStr">
        <is>
          <t>WY-0176</t>
        </is>
      </c>
      <c r="B530" s="5" t="inlineStr">
        <is>
          <t>Vape Road Cleckheaton</t>
        </is>
      </c>
      <c r="C530" s="5" t="inlineStr">
        <is>
          <t>Cleckheaton</t>
        </is>
      </c>
      <c r="D530" s="5" t="inlineStr">
        <is>
          <t>https://cleckheaton.cylex-uk.co.uk/company/vape-road-cleckheaton-26986187.html</t>
        </is>
      </c>
      <c r="E530" s="5" t="inlineStr">
        <is>
          <t>Directory</t>
        </is>
      </c>
      <c r="F530" s="5" t="inlineStr">
        <is>
          <t>2026-09-16</t>
        </is>
      </c>
      <c r="G530" s="5" t="inlineStr">
        <is>
          <t>name, street, partial phone (not recorded)</t>
        </is>
      </c>
      <c r="H530" s="5" t="inlineStr">
        <is>
          <t>Requires Verification</t>
        </is>
      </c>
    </row>
    <row r="531">
      <c r="A531" s="10" t="inlineStr">
        <is>
          <t>UK-000290</t>
        </is>
      </c>
      <c r="B531" s="10" t="inlineStr">
        <is>
          <t>Vape Safe Bridlington</t>
        </is>
      </c>
      <c r="C531" s="10" t="inlineStr">
        <is>
          <t>Bridlington</t>
        </is>
      </c>
      <c r="D531" s="10" t="inlineStr">
        <is>
          <t>https://www.yell.com/s/vape+shops-bridlington.html</t>
        </is>
      </c>
      <c r="E531" s="10" t="inlineStr">
        <is>
          <t>Directory</t>
        </is>
      </c>
      <c r="F531" s="10" t="inlineStr">
        <is>
          <t>2026-09-16</t>
        </is>
      </c>
      <c r="G531" s="10" t="inlineStr">
        <is>
          <t>name, 4b Promenade address (via search results)</t>
        </is>
      </c>
      <c r="H531" s="10" t="inlineStr">
        <is>
          <t>Requires Verification</t>
        </is>
      </c>
    </row>
    <row r="532">
      <c r="A532" s="5" t="inlineStr">
        <is>
          <t>UK-000291</t>
        </is>
      </c>
      <c r="B532" s="5" t="inlineStr">
        <is>
          <t>Vape Store &amp; Bargains Galore</t>
        </is>
      </c>
      <c r="C532" s="5" t="inlineStr">
        <is>
          <t>Barnsley</t>
        </is>
      </c>
      <c r="D532" s="5" t="inlineStr">
        <is>
          <t>https://www.yell.com/biz/vape-store-and-bargains-galore-barnsley-10072936/</t>
        </is>
      </c>
      <c r="E532" s="5" t="inlineStr">
        <is>
          <t>Yell</t>
        </is>
      </c>
      <c r="F532" s="5" t="inlineStr">
        <is>
          <t>2026-09-16</t>
        </is>
      </c>
      <c r="G532" s="5" t="inlineStr">
        <is>
          <t>name, product range</t>
        </is>
      </c>
      <c r="H532" s="5" t="inlineStr">
        <is>
          <t>Requires Verification</t>
        </is>
      </c>
    </row>
    <row r="533">
      <c r="A533" s="10" t="inlineStr">
        <is>
          <t>WY-0177</t>
        </is>
      </c>
      <c r="B533" s="10" t="inlineStr">
        <is>
          <t>Vape Suite</t>
        </is>
      </c>
      <c r="C533" s="10" t="inlineStr">
        <is>
          <t>Huddersfield</t>
        </is>
      </c>
      <c r="D533" s="10" t="inlineStr">
        <is>
          <t>https://directory.gazettelive.co.uk/company/1069910382063616</t>
        </is>
      </c>
      <c r="E533" s="10" t="inlineStr">
        <is>
          <t>Directory</t>
        </is>
      </c>
      <c r="F533" s="10" t="inlineStr">
        <is>
          <t>2026-09-16</t>
        </is>
      </c>
      <c r="G533" s="10" t="inlineStr">
        <is>
          <t>address, postcode</t>
        </is>
      </c>
      <c r="H533" s="10" t="inlineStr">
        <is>
          <t>Requires Verification</t>
        </is>
      </c>
    </row>
    <row r="534">
      <c r="A534" s="5" t="inlineStr">
        <is>
          <t>WY-0177</t>
        </is>
      </c>
      <c r="B534" s="5" t="inlineStr">
        <is>
          <t>Vape Suite</t>
        </is>
      </c>
      <c r="C534" s="5" t="inlineStr">
        <is>
          <t>Huddersfield</t>
        </is>
      </c>
      <c r="D534" s="5" t="inlineStr">
        <is>
          <t>https://www.yell.com/biz/vape-suite-huddersfield-9317660/</t>
        </is>
      </c>
      <c r="E534" s="5" t="inlineStr">
        <is>
          <t>Yell</t>
        </is>
      </c>
      <c r="F534" s="5" t="inlineStr">
        <is>
          <t>2026-09-16</t>
        </is>
      </c>
      <c r="G534" s="5" t="inlineStr">
        <is>
          <t>listing confirmation</t>
        </is>
      </c>
      <c r="H534" s="5" t="inlineStr">
        <is>
          <t>Requires Verification</t>
        </is>
      </c>
    </row>
    <row r="535">
      <c r="A535" s="10" t="inlineStr">
        <is>
          <t>WY-0177</t>
        </is>
      </c>
      <c r="B535" s="10" t="inlineStr">
        <is>
          <t>Vape Suite</t>
        </is>
      </c>
      <c r="C535" s="10" t="inlineStr">
        <is>
          <t>Huddersfield</t>
        </is>
      </c>
      <c r="D535" s="10" t="inlineStr">
        <is>
          <t>https://find-and-update.company-information.service.gov.uk/company/13476013</t>
        </is>
      </c>
      <c r="E535" s="10" t="inlineStr">
        <is>
          <t>Companies House</t>
        </is>
      </c>
      <c r="F535" s="10" t="inlineStr">
        <is>
          <t>2026-09-16</t>
        </is>
      </c>
      <c r="G535" s="10" t="inlineStr">
        <is>
          <t>registered company name, company number</t>
        </is>
      </c>
      <c r="H535" s="10" t="inlineStr">
        <is>
          <t>Requires Verification</t>
        </is>
      </c>
    </row>
    <row r="536">
      <c r="A536" s="5" t="inlineStr">
        <is>
          <t>WY-0177</t>
        </is>
      </c>
      <c r="B536" s="5" t="inlineStr">
        <is>
          <t>Vape Suite</t>
        </is>
      </c>
      <c r="C536" s="5" t="inlineStr">
        <is>
          <t>Huddersfield</t>
        </is>
      </c>
      <c r="D536" s="5" t="inlineStr">
        <is>
          <t>https://wanderlog.com/place/details/13603475/vape-suite-e-cigarettedisposable-vapee-liquid-vape-shop-huddersfield-town-centre</t>
        </is>
      </c>
      <c r="E536" s="5" t="inlineStr">
        <is>
          <t>Directory</t>
        </is>
      </c>
      <c r="F536" s="5" t="inlineStr">
        <is>
          <t>2026-09-16</t>
        </is>
      </c>
      <c r="G536" s="5" t="inlineStr">
        <is>
          <t>town-centre location, reviews</t>
        </is>
      </c>
      <c r="H536" s="5" t="inlineStr">
        <is>
          <t>Requires Verification</t>
        </is>
      </c>
    </row>
    <row r="537">
      <c r="A537" s="10" t="inlineStr">
        <is>
          <t>WY-0178</t>
        </is>
      </c>
      <c r="B537" s="10" t="inlineStr">
        <is>
          <t>Vape and Wine Village</t>
        </is>
      </c>
      <c r="C537" s="10" t="inlineStr">
        <is>
          <t>Leeds</t>
        </is>
      </c>
      <c r="D537" s="10" t="inlineStr">
        <is>
          <t>https://www.yorkshire.com/leeds/shopping/off-license</t>
        </is>
      </c>
      <c r="E537" s="10" t="inlineStr">
        <is>
          <t>Directory</t>
        </is>
      </c>
      <c r="F537" s="10" t="inlineStr">
        <is>
          <t>2026-09-16</t>
        </is>
      </c>
      <c r="G537" s="10" t="inlineStr">
        <is>
          <t>name, address (via search results)</t>
        </is>
      </c>
      <c r="H537" s="10" t="inlineStr">
        <is>
          <t>Requires Verification</t>
        </is>
      </c>
    </row>
    <row r="538">
      <c r="A538" s="5" t="inlineStr">
        <is>
          <t>UK-000292</t>
        </is>
      </c>
      <c r="B538" s="5" t="inlineStr">
        <is>
          <t>Vape with Us Northallerton</t>
        </is>
      </c>
      <c r="C538" s="5" t="inlineStr">
        <is>
          <t>Northallerton</t>
        </is>
      </c>
      <c r="D538" s="5" t="inlineStr">
        <is>
          <t>https://www.lovenorthallerton.com/business-directory/vape-with-us/</t>
        </is>
      </c>
      <c r="E538" s="5" t="inlineStr">
        <is>
          <t>Directory</t>
        </is>
      </c>
      <c r="F538" s="5" t="inlineStr">
        <is>
          <t>2026-09-16</t>
        </is>
      </c>
      <c r="G538" s="5" t="inlineStr">
        <is>
          <t>address, postcode, phone</t>
        </is>
      </c>
      <c r="H538" s="5" t="inlineStr">
        <is>
          <t>Requires Verification</t>
        </is>
      </c>
    </row>
    <row r="539">
      <c r="A539" s="10" t="inlineStr">
        <is>
          <t>UK-000292</t>
        </is>
      </c>
      <c r="B539" s="10" t="inlineStr">
        <is>
          <t>Vape with Us Northallerton</t>
        </is>
      </c>
      <c r="C539" s="10" t="inlineStr">
        <is>
          <t>Northallerton</t>
        </is>
      </c>
      <c r="D539" s="10" t="inlineStr">
        <is>
          <t>https://www.facebook.com/VAPEWITHUSNorthallerton/</t>
        </is>
      </c>
      <c r="E539" s="10" t="inlineStr">
        <is>
          <t>Facebook</t>
        </is>
      </c>
      <c r="F539" s="10" t="inlineStr">
        <is>
          <t>2026-09-16</t>
        </is>
      </c>
      <c r="G539" s="10" t="inlineStr">
        <is>
          <t>social page</t>
        </is>
      </c>
      <c r="H539" s="10" t="inlineStr">
        <is>
          <t>Requires Verification</t>
        </is>
      </c>
    </row>
    <row r="540">
      <c r="A540" s="5" t="inlineStr">
        <is>
          <t>WY-0179</t>
        </is>
      </c>
      <c r="B540" s="5" t="inlineStr">
        <is>
          <t>VapeShop Leeds</t>
        </is>
      </c>
      <c r="C540" s="5" t="inlineStr">
        <is>
          <t>Leeds</t>
        </is>
      </c>
      <c r="D540" s="5" t="inlineStr">
        <is>
          <t>https://ecigdirectory.co.uk/vape-shop/listing/vapeshop-leeds</t>
        </is>
      </c>
      <c r="E540" s="5" t="inlineStr">
        <is>
          <t>Directory</t>
        </is>
      </c>
      <c r="F540" s="5" t="inlineStr">
        <is>
          <t>2026-09-16</t>
        </is>
      </c>
      <c r="G540" s="5" t="inlineStr">
        <is>
          <t>name, address, description (via search results)</t>
        </is>
      </c>
      <c r="H540" s="5" t="inlineStr">
        <is>
          <t>Requires Verification</t>
        </is>
      </c>
    </row>
    <row r="541">
      <c r="A541" s="10" t="inlineStr">
        <is>
          <t>WY-0180</t>
        </is>
      </c>
      <c r="B541" s="10" t="inlineStr">
        <is>
          <t>Vaperites</t>
        </is>
      </c>
      <c r="C541" s="10" t="inlineStr">
        <is>
          <t>Pontefract</t>
        </is>
      </c>
      <c r="D541" s="10" t="inlineStr">
        <is>
          <t>https://vapeshops.puffingbird.com/yorkshire-and-the-humber/pontefract/vaperites-e-cigarette-store</t>
        </is>
      </c>
      <c r="E541" s="10" t="inlineStr">
        <is>
          <t>Directory</t>
        </is>
      </c>
      <c r="F541" s="10" t="inlineStr">
        <is>
          <t>2026-09-16</t>
        </is>
      </c>
      <c r="G541" s="10" t="inlineStr">
        <is>
          <t>address, phone, email, hours, wholesale note (via search snippet)</t>
        </is>
      </c>
      <c r="H541" s="10" t="inlineStr">
        <is>
          <t>Requires Verification</t>
        </is>
      </c>
    </row>
    <row r="542">
      <c r="A542" s="5" t="inlineStr">
        <is>
          <t>WY-0180</t>
        </is>
      </c>
      <c r="B542" s="5" t="inlineStr">
        <is>
          <t>Vaperites</t>
        </is>
      </c>
      <c r="C542" s="5" t="inlineStr">
        <is>
          <t>Pontefract</t>
        </is>
      </c>
      <c r="D542" s="5" t="inlineStr">
        <is>
          <t>https://www.facebook.com/TheVapePeople/posts/new-opening-times9-horsefair-pontefract-wf8-1pe/417671657263981/</t>
        </is>
      </c>
      <c r="E542" s="5" t="inlineStr">
        <is>
          <t>Facebook</t>
        </is>
      </c>
      <c r="F542" s="5" t="inlineStr">
        <is>
          <t>2026-09-16</t>
        </is>
      </c>
      <c r="G542" s="5" t="inlineStr">
        <is>
          <t>address 9 Horsefair WF8 1PE, opening times</t>
        </is>
      </c>
      <c r="H542" s="5" t="inlineStr">
        <is>
          <t>Requires Verification</t>
        </is>
      </c>
    </row>
    <row r="543">
      <c r="A543" s="10" t="inlineStr">
        <is>
          <t>WY-0181</t>
        </is>
      </c>
      <c r="B543" s="10" t="inlineStr">
        <is>
          <t>Vapestation</t>
        </is>
      </c>
      <c r="C543" s="10" t="inlineStr">
        <is>
          <t>Halifax</t>
        </is>
      </c>
      <c r="D543" s="10" t="inlineStr">
        <is>
          <t>https://www.yelp.com/biz/vapestation-halifax</t>
        </is>
      </c>
      <c r="E543" s="10" t="inlineStr">
        <is>
          <t>Directory</t>
        </is>
      </c>
      <c r="F543" s="10" t="inlineStr">
        <is>
          <t>2026-09-16</t>
        </is>
      </c>
      <c r="G543" s="10" t="inlineStr">
        <is>
          <t>address, postcode, phone</t>
        </is>
      </c>
      <c r="H543" s="10" t="inlineStr">
        <is>
          <t>Requires Verification</t>
        </is>
      </c>
    </row>
    <row r="544">
      <c r="A544" s="5" t="inlineStr">
        <is>
          <t>WY-0181</t>
        </is>
      </c>
      <c r="B544" s="5" t="inlineStr">
        <is>
          <t>Vapestation</t>
        </is>
      </c>
      <c r="C544" s="5" t="inlineStr">
        <is>
          <t>Halifax</t>
        </is>
      </c>
      <c r="D544" s="5" t="inlineStr">
        <is>
          <t>https://www.yell.com/biz/vape-station-halifax-8116342/</t>
        </is>
      </c>
      <c r="E544" s="5" t="inlineStr">
        <is>
          <t>Yell</t>
        </is>
      </c>
      <c r="F544" s="5" t="inlineStr">
        <is>
          <t>2026-09-16</t>
        </is>
      </c>
      <c r="G544" s="5" t="inlineStr">
        <is>
          <t>listing confirmation</t>
        </is>
      </c>
      <c r="H544" s="5" t="inlineStr">
        <is>
          <t>Requires Verification</t>
        </is>
      </c>
    </row>
    <row r="545">
      <c r="A545" s="10" t="inlineStr">
        <is>
          <t>WY-0182</t>
        </is>
      </c>
      <c r="B545" s="10" t="inlineStr">
        <is>
          <t>Vaping Bar Normanton</t>
        </is>
      </c>
      <c r="C545" s="10" t="inlineStr">
        <is>
          <t>Normanton</t>
        </is>
      </c>
      <c r="D545" s="10" t="inlineStr">
        <is>
          <t>https://www.facebook.com/p/Vaping-Bar-Normanton-100063635944918/</t>
        </is>
      </c>
      <c r="E545" s="10" t="inlineStr">
        <is>
          <t>Facebook</t>
        </is>
      </c>
      <c r="F545" s="10" t="inlineStr">
        <is>
          <t>2026-09-16</t>
        </is>
      </c>
      <c r="G545" s="10" t="inlineStr">
        <is>
          <t>existence, description</t>
        </is>
      </c>
      <c r="H545" s="10" t="inlineStr">
        <is>
          <t>Requires Verification</t>
        </is>
      </c>
    </row>
    <row r="546">
      <c r="A546" s="5" t="inlineStr">
        <is>
          <t>UK-000293</t>
        </is>
      </c>
      <c r="B546" s="5" t="inlineStr">
        <is>
          <t>Vaping Cloud</t>
        </is>
      </c>
      <c r="C546" s="5" t="inlineStr">
        <is>
          <t>Cleethorpes</t>
        </is>
      </c>
      <c r="D546" s="5" t="inlineStr">
        <is>
          <t>https://ecigdirectory.co.uk/vape-shop/listing/vaping-lounge-high-street</t>
        </is>
      </c>
      <c r="E546" s="5" t="inlineStr">
        <is>
          <t>Directory</t>
        </is>
      </c>
      <c r="F546" s="5" t="inlineStr">
        <is>
          <t>2026-09-16</t>
        </is>
      </c>
      <c r="G546" s="5" t="inlineStr">
        <is>
          <t>name, Bedford Road address, phone (via search results)</t>
        </is>
      </c>
      <c r="H546" s="5" t="inlineStr">
        <is>
          <t>Requires Verification</t>
        </is>
      </c>
    </row>
    <row r="547">
      <c r="A547" s="10" t="inlineStr">
        <is>
          <t>WY-0183</t>
        </is>
      </c>
      <c r="B547" s="10" t="inlineStr">
        <is>
          <t>Vaporized Meanwood</t>
        </is>
      </c>
      <c r="C547" s="10" t="inlineStr">
        <is>
          <t>Leeds</t>
        </is>
      </c>
      <c r="D547" s="10" t="inlineStr">
        <is>
          <t>https://ecigdirectory.co.uk/vape-shop/listing/vaporized-meanwood-leeds</t>
        </is>
      </c>
      <c r="E547" s="10" t="inlineStr">
        <is>
          <t>Directory</t>
        </is>
      </c>
      <c r="F547" s="10" t="inlineStr">
        <is>
          <t>2026-09-16</t>
        </is>
      </c>
      <c r="G547" s="10" t="inlineStr">
        <is>
          <t>name, Stonegate Road address, phone (via search results)</t>
        </is>
      </c>
      <c r="H547" s="10" t="inlineStr">
        <is>
          <t>Requires Verification</t>
        </is>
      </c>
    </row>
    <row r="548">
      <c r="A548" s="5" t="inlineStr">
        <is>
          <t>WY-0183</t>
        </is>
      </c>
      <c r="B548" s="5" t="inlineStr">
        <is>
          <t>Vaporized Meanwood</t>
        </is>
      </c>
      <c r="C548" s="5" t="inlineStr">
        <is>
          <t>Leeds</t>
        </is>
      </c>
      <c r="D548" s="5" t="inlineStr">
        <is>
          <t>https://www.yellowpages.net/phone_44-1132748997_vaporizer-store_Leeds_PL4814848.html</t>
        </is>
      </c>
      <c r="E548" s="5" t="inlineStr">
        <is>
          <t>Directory</t>
        </is>
      </c>
      <c r="F548" s="5" t="inlineStr">
        <is>
          <t>2026-09-16</t>
        </is>
      </c>
      <c r="G548" s="5" t="inlineStr">
        <is>
          <t>phone, alternate Meanwood Road address (via search results)</t>
        </is>
      </c>
      <c r="H548" s="5" t="inlineStr">
        <is>
          <t>Requires Verification</t>
        </is>
      </c>
    </row>
    <row r="549">
      <c r="A549" s="10" t="inlineStr">
        <is>
          <t>WY-0184</t>
        </is>
      </c>
      <c r="B549" s="10" t="inlineStr">
        <is>
          <t>Vapour Parlour</t>
        </is>
      </c>
      <c r="C549" s="10" t="inlineStr">
        <is>
          <t>Hemsworth</t>
        </is>
      </c>
      <c r="D549" s="10" t="inlineStr">
        <is>
          <t>https://ecigdirectory.co.uk/vape-shop/listing/vapour-parlour</t>
        </is>
      </c>
      <c r="E549" s="10" t="inlineStr">
        <is>
          <t>Directory</t>
        </is>
      </c>
      <c r="F549" s="10" t="inlineStr">
        <is>
          <t>2026-09-16</t>
        </is>
      </c>
      <c r="G549" s="10" t="inlineStr">
        <is>
          <t>address 83 Kirkby Road, Hemsworth</t>
        </is>
      </c>
      <c r="H549" s="10" t="inlineStr">
        <is>
          <t>Requires Verification</t>
        </is>
      </c>
    </row>
    <row r="550">
      <c r="A550" s="5" t="inlineStr">
        <is>
          <t>UK-000294</t>
        </is>
      </c>
      <c r="B550" s="5" t="inlineStr">
        <is>
          <t>VapourWave Harrogate</t>
        </is>
      </c>
      <c r="C550" s="5" t="inlineStr">
        <is>
          <t>Harrogate</t>
        </is>
      </c>
      <c r="D550" s="5" t="inlineStr">
        <is>
          <t>https://www.vapour-wave.co.uk/location</t>
        </is>
      </c>
      <c r="E550" s="5" t="inlineStr">
        <is>
          <t>Official Website</t>
        </is>
      </c>
      <c r="F550" s="5" t="inlineStr">
        <is>
          <t>2026-09-16</t>
        </is>
      </c>
      <c r="G550" s="5" t="inlineStr">
        <is>
          <t>address, postcode, phone (search snippet)</t>
        </is>
      </c>
      <c r="H550" s="5" t="inlineStr">
        <is>
          <t>Requires Verification</t>
        </is>
      </c>
    </row>
    <row r="551">
      <c r="A551" s="10" t="inlineStr">
        <is>
          <t>UK-000294</t>
        </is>
      </c>
      <c r="B551" s="10" t="inlineStr">
        <is>
          <t>VapourWave Harrogate</t>
        </is>
      </c>
      <c r="C551" s="10" t="inlineStr">
        <is>
          <t>Harrogate</t>
        </is>
      </c>
      <c r="D551" s="10" t="inlineStr">
        <is>
          <t>https://harrogate.cylex-uk.co.uk/company/vapourwave-28594474.html</t>
        </is>
      </c>
      <c r="E551" s="10" t="inlineStr">
        <is>
          <t>Directory</t>
        </is>
      </c>
      <c r="F551" s="10" t="inlineStr">
        <is>
          <t>2026-09-16</t>
        </is>
      </c>
      <c r="G551" s="10" t="inlineStr">
        <is>
          <t>listing confirmation</t>
        </is>
      </c>
      <c r="H551" s="10" t="inlineStr">
        <is>
          <t>Requires Verification</t>
        </is>
      </c>
    </row>
    <row r="552">
      <c r="A552" s="5" t="inlineStr">
        <is>
          <t>UK-000294</t>
        </is>
      </c>
      <c r="B552" s="5" t="inlineStr">
        <is>
          <t>VapourWave Harrogate</t>
        </is>
      </c>
      <c r="C552" s="5" t="inlineStr">
        <is>
          <t>Harrogate</t>
        </is>
      </c>
      <c r="D552" s="5" t="inlineStr">
        <is>
          <t>https://www.facebook.com/VapourWaveHG/</t>
        </is>
      </c>
      <c r="E552" s="5" t="inlineStr">
        <is>
          <t>Facebook</t>
        </is>
      </c>
      <c r="F552" s="5" t="inlineStr">
        <is>
          <t>2026-09-16</t>
        </is>
      </c>
      <c r="G552" s="5" t="inlineStr">
        <is>
          <t>social page</t>
        </is>
      </c>
      <c r="H552" s="5" t="inlineStr">
        <is>
          <t>Requires Verification</t>
        </is>
      </c>
    </row>
    <row r="553">
      <c r="A553" s="10" t="inlineStr">
        <is>
          <t>WY-0185</t>
        </is>
      </c>
      <c r="B553" s="10" t="inlineStr">
        <is>
          <t>Wakefield Road Service Station (Featherstone)</t>
        </is>
      </c>
      <c r="C553" s="10" t="inlineStr">
        <is>
          <t>Featherstone</t>
        </is>
      </c>
      <c r="D553" s="10" t="inlineStr">
        <is>
          <t>https://forecourttrader.co.uk/latest-news/forecourt-operator-duo-add-wakefield-road-service-station-to-portfolio/708047.article</t>
        </is>
      </c>
      <c r="E553" s="10" t="inlineStr">
        <is>
          <t>News / Trade Press</t>
        </is>
      </c>
      <c r="F553" s="10" t="inlineStr">
        <is>
          <t>2026-09-16</t>
        </is>
      </c>
      <c r="G553" s="10" t="inlineStr">
        <is>
          <t>site acquisition, operator names, 3-site portfolio</t>
        </is>
      </c>
      <c r="H553" s="10" t="inlineStr">
        <is>
          <t>Requires Verification</t>
        </is>
      </c>
    </row>
    <row r="554">
      <c r="A554" s="5" t="inlineStr">
        <is>
          <t>UK-000295</t>
        </is>
      </c>
      <c r="B554" s="5" t="inlineStr">
        <is>
          <t>Walkley Beer Company</t>
        </is>
      </c>
      <c r="C554" s="5" t="inlineStr">
        <is>
          <t>Sheffield</t>
        </is>
      </c>
      <c r="D554" s="5" t="inlineStr">
        <is>
          <t>https://www.yorkshire.com/sheffield/shopping/off-license</t>
        </is>
      </c>
      <c r="E554" s="5" t="inlineStr">
        <is>
          <t>Directory</t>
        </is>
      </c>
      <c r="F554" s="5" t="inlineStr">
        <is>
          <t>2026-09-16</t>
        </is>
      </c>
      <c r="G554" s="5" t="inlineStr">
        <is>
          <t>name, area, product range</t>
        </is>
      </c>
      <c r="H554" s="5" t="inlineStr">
        <is>
          <t>Requires Verification</t>
        </is>
      </c>
    </row>
    <row r="555">
      <c r="A555" s="10" t="inlineStr">
        <is>
          <t>WY-0186</t>
        </is>
      </c>
      <c r="B555" s="10" t="inlineStr">
        <is>
          <t>Wayward Wines</t>
        </is>
      </c>
      <c r="C555" s="10" t="inlineStr">
        <is>
          <t>Leeds</t>
        </is>
      </c>
      <c r="D555" s="10" t="inlineStr">
        <is>
          <t>https://confidentials.com/leeds/six-of-the-best-bottle-shops</t>
        </is>
      </c>
      <c r="E555" s="10" t="inlineStr">
        <is>
          <t>News / Trade Press</t>
        </is>
      </c>
      <c r="F555" s="10" t="inlineStr">
        <is>
          <t>2026-09-16</t>
        </is>
      </c>
      <c r="G555" s="10" t="inlineStr">
        <is>
          <t>name, address (via search results)</t>
        </is>
      </c>
      <c r="H555" s="10" t="inlineStr">
        <is>
          <t>Requires Verification</t>
        </is>
      </c>
    </row>
    <row r="556">
      <c r="A556" s="5" t="inlineStr">
        <is>
          <t>WY-0186</t>
        </is>
      </c>
      <c r="B556" s="5" t="inlineStr">
        <is>
          <t>Wayward Wines</t>
        </is>
      </c>
      <c r="C556" s="5" t="inlineStr">
        <is>
          <t>Leeds</t>
        </is>
      </c>
      <c r="D556" s="5" t="inlineStr">
        <is>
          <t>https://leeds-list.com/lifestyle/the-best-bottle-shops-in-leeds/</t>
        </is>
      </c>
      <c r="E556" s="5" t="inlineStr">
        <is>
          <t>News / Trade Press</t>
        </is>
      </c>
      <c r="F556" s="5" t="inlineStr">
        <is>
          <t>2026-09-16</t>
        </is>
      </c>
      <c r="G556" s="5" t="inlineStr">
        <is>
          <t>listing among Leeds bottle shops (via search results)</t>
        </is>
      </c>
      <c r="H556" s="5" t="inlineStr">
        <is>
          <t>Requires Verification</t>
        </is>
      </c>
    </row>
    <row r="557">
      <c r="A557" s="10" t="inlineStr">
        <is>
          <t>UK-000296</t>
        </is>
      </c>
      <c r="B557" s="10" t="inlineStr">
        <is>
          <t>Weetons Food Hall</t>
        </is>
      </c>
      <c r="C557" s="10" t="inlineStr">
        <is>
          <t>Harrogate</t>
        </is>
      </c>
      <c r="D557" s="10" t="inlineStr">
        <is>
          <t>https://weetons.co.uk/policies/contact-information</t>
        </is>
      </c>
      <c r="E557" s="10" t="inlineStr">
        <is>
          <t>Official Website</t>
        </is>
      </c>
      <c r="F557" s="10" t="inlineStr">
        <is>
          <t>2026-09-16</t>
        </is>
      </c>
      <c r="G557" s="10" t="inlineStr">
        <is>
          <t>address, postcode, phone (search snippet)</t>
        </is>
      </c>
      <c r="H557" s="10" t="inlineStr">
        <is>
          <t>Requires Verification</t>
        </is>
      </c>
    </row>
    <row r="558">
      <c r="A558" s="5" t="inlineStr">
        <is>
          <t>UK-000296</t>
        </is>
      </c>
      <c r="B558" s="5" t="inlineStr">
        <is>
          <t>Weetons Food Hall</t>
        </is>
      </c>
      <c r="C558" s="5" t="inlineStr">
        <is>
          <t>Harrogate</t>
        </is>
      </c>
      <c r="D558" s="5" t="inlineStr">
        <is>
          <t>https://visitnorthyorkshire.com/index/weetons</t>
        </is>
      </c>
      <c r="E558" s="5" t="inlineStr">
        <is>
          <t>Directory</t>
        </is>
      </c>
      <c r="F558" s="5" t="inlineStr">
        <is>
          <t>2026-09-16</t>
        </is>
      </c>
      <c r="G558" s="5" t="inlineStr">
        <is>
          <t>listing confirmation</t>
        </is>
      </c>
      <c r="H558" s="5" t="inlineStr">
        <is>
          <t>Requires Verification</t>
        </is>
      </c>
    </row>
    <row r="559">
      <c r="A559" s="10" t="inlineStr">
        <is>
          <t>WY-0187</t>
        </is>
      </c>
      <c r="B559" s="10" t="inlineStr">
        <is>
          <t>West End Off Licence</t>
        </is>
      </c>
      <c r="C559" s="10" t="inlineStr">
        <is>
          <t>Halifax</t>
        </is>
      </c>
      <c r="D559" s="10" t="inlineStr">
        <is>
          <t>https://www.yelp.co.uk/biz/westend-off-licence-rickys-halifax</t>
        </is>
      </c>
      <c r="E559" s="10" t="inlineStr">
        <is>
          <t>Directory</t>
        </is>
      </c>
      <c r="F559" s="10" t="inlineStr">
        <is>
          <t>2026-09-16</t>
        </is>
      </c>
      <c r="G559" s="10" t="inlineStr">
        <is>
          <t>name, address, postcode, hours</t>
        </is>
      </c>
      <c r="H559" s="10" t="inlineStr">
        <is>
          <t>Requires Verification</t>
        </is>
      </c>
    </row>
    <row r="560">
      <c r="A560" s="5" t="inlineStr">
        <is>
          <t>WY-0187</t>
        </is>
      </c>
      <c r="B560" s="5" t="inlineStr">
        <is>
          <t>West End Off Licence</t>
        </is>
      </c>
      <c r="C560" s="5" t="inlineStr">
        <is>
          <t>Halifax</t>
        </is>
      </c>
      <c r="D560" s="5" t="inlineStr">
        <is>
          <t>https://www.yorkshire.com/halifax/shopping/off-license/west-end-off-licence</t>
        </is>
      </c>
      <c r="E560" s="5" t="inlineStr">
        <is>
          <t>Directory</t>
        </is>
      </c>
      <c r="F560" s="5" t="inlineStr">
        <is>
          <t>2026-09-16</t>
        </is>
      </c>
      <c r="G560" s="5" t="inlineStr">
        <is>
          <t>listing confirmation</t>
        </is>
      </c>
      <c r="H560" s="5" t="inlineStr">
        <is>
          <t>Requires Verification</t>
        </is>
      </c>
    </row>
    <row r="561">
      <c r="A561" s="10" t="inlineStr">
        <is>
          <t>WY-0188</t>
        </is>
      </c>
      <c r="B561" s="10" t="inlineStr">
        <is>
          <t>White Rose Catering</t>
        </is>
      </c>
      <c r="C561" s="10" t="inlineStr">
        <is>
          <t>Dewsbury</t>
        </is>
      </c>
      <c r="D561" s="10" t="inlineStr">
        <is>
          <t>https://www.192.com/atoz/business/dewsbury-wf13/cash-and-carry-wholesalers/white-rose-catering-ltd/1cd73791cf719e65496fe8e9a0a2d1c534c879e1/ml/</t>
        </is>
      </c>
      <c r="E561" s="10" t="inlineStr">
        <is>
          <t>Directory</t>
        </is>
      </c>
      <c r="F561" s="10" t="inlineStr">
        <is>
          <t>2026-09-16</t>
        </is>
      </c>
      <c r="G561" s="10" t="inlineStr">
        <is>
          <t>name, legal name, address, postcode, phone</t>
        </is>
      </c>
      <c r="H561" s="10" t="inlineStr">
        <is>
          <t>Requires Verification</t>
        </is>
      </c>
    </row>
    <row r="562">
      <c r="A562" s="5" t="inlineStr">
        <is>
          <t>WY-0189</t>
        </is>
      </c>
      <c r="B562" s="5" t="inlineStr">
        <is>
          <t>Wigton Cash &amp; Carry (Wigton Distribution)</t>
        </is>
      </c>
      <c r="C562" s="5" t="inlineStr">
        <is>
          <t>Leeds</t>
        </is>
      </c>
      <c r="D562" s="5" t="inlineStr">
        <is>
          <t>https://www.tiktok.com/@wigtondistribution/video/7475737721617583382</t>
        </is>
      </c>
      <c r="E562" s="5" t="inlineStr">
        <is>
          <t>Other</t>
        </is>
      </c>
      <c r="F562" s="5" t="inlineStr">
        <is>
          <t>2026-09-16</t>
        </is>
      </c>
      <c r="G562" s="5" t="inlineStr">
        <is>
          <t>address 27 Lockwood Way LS11 5TH, business description (via search results)</t>
        </is>
      </c>
      <c r="H562" s="5" t="inlineStr">
        <is>
          <t>Partially Verified</t>
        </is>
      </c>
    </row>
    <row r="563">
      <c r="A563" s="10" t="inlineStr">
        <is>
          <t>WY-0189</t>
        </is>
      </c>
      <c r="B563" s="10" t="inlineStr">
        <is>
          <t>Wigton Cash &amp; Carry (Wigton Distribution)</t>
        </is>
      </c>
      <c r="C563" s="10" t="inlineStr">
        <is>
          <t>Leeds</t>
        </is>
      </c>
      <c r="D563" s="10" t="inlineStr">
        <is>
          <t>https://find-and-update.company-information.service.gov.uk/company/09821856</t>
        </is>
      </c>
      <c r="E563" s="10" t="inlineStr">
        <is>
          <t>Companies House</t>
        </is>
      </c>
      <c r="F563" s="10" t="inlineStr">
        <is>
          <t>2026-09-16</t>
        </is>
      </c>
      <c r="G563" s="10" t="inlineStr">
        <is>
          <t>registered name and company number (via search results)</t>
        </is>
      </c>
      <c r="H563" s="10" t="inlineStr">
        <is>
          <t>Partially Verified</t>
        </is>
      </c>
    </row>
    <row r="564">
      <c r="A564" s="5" t="inlineStr">
        <is>
          <t>WY-0189</t>
        </is>
      </c>
      <c r="B564" s="5" t="inlineStr">
        <is>
          <t>Wigton Cash &amp; Carry (Wigton Distribution)</t>
        </is>
      </c>
      <c r="C564" s="5" t="inlineStr">
        <is>
          <t>Leeds</t>
        </is>
      </c>
      <c r="D564" s="5" t="inlineStr">
        <is>
          <t>https://www.thomsonlocal.com/search/cash-carry-wholesalers/leeds-west-yorkshire</t>
        </is>
      </c>
      <c r="E564" s="5" t="inlineStr">
        <is>
          <t>Directory</t>
        </is>
      </c>
      <c r="F564" s="5" t="inlineStr">
        <is>
          <t>2026-09-16</t>
        </is>
      </c>
      <c r="G564" s="5" t="inlineStr">
        <is>
          <t>cash &amp; carry listing context (via search results)</t>
        </is>
      </c>
      <c r="H564" s="5" t="inlineStr">
        <is>
          <t>Partially Verified</t>
        </is>
      </c>
    </row>
    <row r="565">
      <c r="A565" s="10" t="inlineStr">
        <is>
          <t>WY-0190</t>
        </is>
      </c>
      <c r="B565" s="10" t="inlineStr">
        <is>
          <t>Yorkshire Fuels (Green Lane Service Station)</t>
        </is>
      </c>
      <c r="C565" s="10" t="inlineStr">
        <is>
          <t>Yeadon</t>
        </is>
      </c>
      <c r="D565" s="10" t="inlineStr">
        <is>
          <t>https://find-and-update.company-information.service.gov.uk/company/14479452</t>
        </is>
      </c>
      <c r="E565" s="10" t="inlineStr">
        <is>
          <t>Companies House</t>
        </is>
      </c>
      <c r="F565" s="10" t="inlineStr">
        <is>
          <t>2026-09-16</t>
        </is>
      </c>
      <c r="G565" s="10" t="inlineStr">
        <is>
          <t>registered name, number, status, incorporation date, registered office (via search results)</t>
        </is>
      </c>
      <c r="H565" s="10" t="inlineStr">
        <is>
          <t>Partially Verified</t>
        </is>
      </c>
    </row>
    <row r="566">
      <c r="A566" s="5" t="inlineStr">
        <is>
          <t>WY-0190</t>
        </is>
      </c>
      <c r="B566" s="5" t="inlineStr">
        <is>
          <t>Yorkshire Fuels (Green Lane Service Station)</t>
        </is>
      </c>
      <c r="C566" s="5" t="inlineStr">
        <is>
          <t>Yeadon</t>
        </is>
      </c>
      <c r="D566" s="5" t="inlineStr">
        <is>
          <t>https://www.yorkshire.com/guiseley/services/petrol-stations/yorkshire-fuels</t>
        </is>
      </c>
      <c r="E566" s="5" t="inlineStr">
        <is>
          <t>Directory</t>
        </is>
      </c>
      <c r="F566" s="5" t="inlineStr">
        <is>
          <t>2026-09-16</t>
        </is>
      </c>
      <c r="G566" s="5" t="inlineStr">
        <is>
          <t>Jet branding, 24/7 operation, location (via search results)</t>
        </is>
      </c>
      <c r="H566" s="5" t="inlineStr">
        <is>
          <t>Partially Verified</t>
        </is>
      </c>
    </row>
    <row r="567">
      <c r="A567" s="10" t="inlineStr">
        <is>
          <t>WY-0190</t>
        </is>
      </c>
      <c r="B567" s="10" t="inlineStr">
        <is>
          <t>Yorkshire Fuels (Green Lane Service Station)</t>
        </is>
      </c>
      <c r="C567" s="10" t="inlineStr">
        <is>
          <t>Yeadon</t>
        </is>
      </c>
      <c r="D567" s="10" t="inlineStr">
        <is>
          <t>https://petrolmap.co.uk/petrol-stations/west-yorkshire/leeds/airport-autopoint/10876</t>
        </is>
      </c>
      <c r="E567" s="10" t="inlineStr">
        <is>
          <t>Directory</t>
        </is>
      </c>
      <c r="F567" s="10" t="inlineStr">
        <is>
          <t>2026-09-16</t>
        </is>
      </c>
      <c r="G567" s="10" t="inlineStr">
        <is>
          <t>Gulf branding, Green Lane Yeadon site (via search results)</t>
        </is>
      </c>
      <c r="H567" s="10" t="inlineStr">
        <is>
          <t>Partially Verified</t>
        </is>
      </c>
    </row>
    <row r="568">
      <c r="A568" s="5" t="inlineStr">
        <is>
          <t>WY-0191</t>
        </is>
      </c>
      <c r="B568" s="5" t="inlineStr">
        <is>
          <t>Zesty Vape</t>
        </is>
      </c>
      <c r="C568" s="5" t="inlineStr">
        <is>
          <t>Brighouse</t>
        </is>
      </c>
      <c r="D568" s="5" t="inlineStr">
        <is>
          <t>https://brighouse.cylex-uk.co.uk/vape-shops/</t>
        </is>
      </c>
      <c r="E568" s="5" t="inlineStr">
        <is>
          <t>Directory</t>
        </is>
      </c>
      <c r="F568" s="5" t="inlineStr">
        <is>
          <t>2026-09-16</t>
        </is>
      </c>
      <c r="G568" s="5" t="inlineStr">
        <is>
          <t>name, address, postcode, phone</t>
        </is>
      </c>
      <c r="H568" s="5" t="inlineStr">
        <is>
          <t>Requires Verification</t>
        </is>
      </c>
    </row>
    <row r="569">
      <c r="A569" s="10" t="inlineStr">
        <is>
          <t>WY-0192</t>
        </is>
      </c>
      <c r="B569" s="10" t="inlineStr">
        <is>
          <t>eVape Outlet</t>
        </is>
      </c>
      <c r="C569" s="10" t="inlineStr">
        <is>
          <t>Keighley</t>
        </is>
      </c>
      <c r="D569" s="10" t="inlineStr">
        <is>
          <t>https://keighley.cylex-uk.co.uk/company/evape-outlet-27656791.html</t>
        </is>
      </c>
      <c r="E569" s="10" t="inlineStr">
        <is>
          <t>Directory</t>
        </is>
      </c>
      <c r="F569" s="10" t="inlineStr">
        <is>
          <t>2026-09-16</t>
        </is>
      </c>
      <c r="G569" s="10" t="inlineStr">
        <is>
          <t>business name and Keighley location (search result)</t>
        </is>
      </c>
      <c r="H569" s="10" t="inlineStr">
        <is>
          <t>Requires Verification</t>
        </is>
      </c>
    </row>
    <row r="570">
      <c r="A570" s="5" t="inlineStr">
        <is>
          <t>WY-0193</t>
        </is>
      </c>
      <c r="B570" s="5" t="inlineStr">
        <is>
          <t>iVape Lounge</t>
        </is>
      </c>
      <c r="C570" s="5" t="inlineStr">
        <is>
          <t>Todmorden</t>
        </is>
      </c>
      <c r="D570" s="5" t="inlineStr">
        <is>
          <t>https://ivape-lounge-todmorden-vape-shop.wheree.com/</t>
        </is>
      </c>
      <c r="E570" s="5" t="inlineStr">
        <is>
          <t>Directory</t>
        </is>
      </c>
      <c r="F570" s="5" t="inlineStr">
        <is>
          <t>2026-09-16</t>
        </is>
      </c>
      <c r="G570" s="5" t="inlineStr">
        <is>
          <t>name, address, postcode</t>
        </is>
      </c>
      <c r="H570" s="5" t="inlineStr">
        <is>
          <t>Requires Verification</t>
        </is>
      </c>
    </row>
  </sheetData>
  <autoFilter ref="A1:H57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299"/>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28"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2026-09-16</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2026-09-16</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2026-09-16</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2026-09-16</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2026-09-16</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2026-09-16</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2026-09-16</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2026-09-16</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2026-09-16</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WY-0053</t>
        </is>
      </c>
      <c r="B11" s="10" t="inlineStr">
        <is>
          <t>Azeem's Vape Shop</t>
        </is>
      </c>
      <c r="C11" s="10" t="inlineStr">
        <is>
          <t>Keighley</t>
        </is>
      </c>
      <c r="D11" s="10" t="inlineStr">
        <is>
          <t>Vape Shop</t>
        </is>
      </c>
      <c r="E11" s="10" t="inlineStr">
        <is>
          <t>High</t>
        </is>
      </c>
      <c r="F11" s="10" t="inlineStr">
        <is>
          <t>01535 213920</t>
        </is>
      </c>
      <c r="G11" s="10" t="inlineStr">
        <is>
          <t>info@azeemsvapeshop.co.uk</t>
        </is>
      </c>
      <c r="H11" s="10" t="inlineStr"/>
      <c r="I11" s="10" t="inlineStr"/>
      <c r="J11" s="10" t="inlineStr"/>
      <c r="K11" s="10" t="inlineStr">
        <is>
          <t>New</t>
        </is>
      </c>
      <c r="L11" s="10" t="inlineStr">
        <is>
          <t>2026-09-16</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WY-0059</t>
        </is>
      </c>
      <c r="B12" s="5" t="inlineStr">
        <is>
          <t>Barry's Cash &amp; Carry</t>
        </is>
      </c>
      <c r="C12" s="5" t="inlineStr">
        <is>
          <t>Halifax</t>
        </is>
      </c>
      <c r="D12" s="5" t="inlineStr">
        <is>
          <t>Cash &amp; Carry</t>
        </is>
      </c>
      <c r="E12" s="5" t="inlineStr">
        <is>
          <t>High</t>
        </is>
      </c>
      <c r="F12" s="5" t="inlineStr">
        <is>
          <t>01422 646060</t>
        </is>
      </c>
      <c r="G12" s="5" t="inlineStr">
        <is>
          <t>info@cutpricebarrys.co.uk</t>
        </is>
      </c>
      <c r="H12" s="5" t="inlineStr"/>
      <c r="I12" s="5" t="inlineStr"/>
      <c r="J12" s="5" t="inlineStr"/>
      <c r="K12" s="5" t="inlineStr">
        <is>
          <t>New</t>
        </is>
      </c>
      <c r="L12" s="5" t="inlineStr">
        <is>
          <t>2026-09-16</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WY-0061</t>
        </is>
      </c>
      <c r="B13" s="10" t="inlineStr">
        <is>
          <t>Beer Ritz</t>
        </is>
      </c>
      <c r="C13" s="10" t="inlineStr">
        <is>
          <t>Leeds</t>
        </is>
      </c>
      <c r="D13" s="10" t="inlineStr">
        <is>
          <t>Off-Licence</t>
        </is>
      </c>
      <c r="E13" s="10" t="inlineStr">
        <is>
          <t>High</t>
        </is>
      </c>
      <c r="F13" s="10" t="inlineStr">
        <is>
          <t>0113 275 3464</t>
        </is>
      </c>
      <c r="G13" s="10" t="inlineStr"/>
      <c r="H13" s="10" t="inlineStr">
        <is>
          <t>sales@beerritz.co.uk</t>
        </is>
      </c>
      <c r="I13" s="10" t="inlineStr"/>
      <c r="J13" s="10" t="inlineStr"/>
      <c r="K13" s="10" t="inlineStr">
        <is>
          <t>New</t>
        </is>
      </c>
      <c r="L13" s="10" t="inlineStr">
        <is>
          <t>2026-09-16</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WY-0063</t>
        </is>
      </c>
      <c r="B14" s="5" t="inlineStr">
        <is>
          <t>Best Choice Wholesale</t>
        </is>
      </c>
      <c r="C14" s="5" t="inlineStr">
        <is>
          <t>Leeds</t>
        </is>
      </c>
      <c r="D14" s="5" t="inlineStr">
        <is>
          <t>Cash &amp; Carry</t>
        </is>
      </c>
      <c r="E14" s="5" t="inlineStr">
        <is>
          <t>High</t>
        </is>
      </c>
      <c r="F14" s="5" t="inlineStr">
        <is>
          <t>0113 531 6345</t>
        </is>
      </c>
      <c r="G14" s="5" t="inlineStr">
        <is>
          <t>info@bestchoicewholesale.co.uk</t>
        </is>
      </c>
      <c r="H14" s="5" t="inlineStr"/>
      <c r="I14" s="5" t="inlineStr"/>
      <c r="J14" s="5" t="inlineStr"/>
      <c r="K14" s="5" t="inlineStr">
        <is>
          <t>New</t>
        </is>
      </c>
      <c r="L14" s="5" t="inlineStr">
        <is>
          <t>2026-09-16</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WY-0012</t>
        </is>
      </c>
      <c r="B15" s="10" t="inlineStr">
        <is>
          <t>C.Gars Leeds (Dominique London)</t>
        </is>
      </c>
      <c r="C15" s="10" t="inlineStr">
        <is>
          <t>Leeds</t>
        </is>
      </c>
      <c r="D15" s="10" t="inlineStr">
        <is>
          <t>Tobacco Specialist</t>
        </is>
      </c>
      <c r="E15" s="10" t="inlineStr">
        <is>
          <t>High</t>
        </is>
      </c>
      <c r="F15" s="10" t="inlineStr">
        <is>
          <t>0113 244 5556</t>
        </is>
      </c>
      <c r="G15" s="10" t="inlineStr"/>
      <c r="H15" s="10" t="inlineStr"/>
      <c r="I15" s="10" t="inlineStr"/>
      <c r="J15" s="10" t="inlineStr"/>
      <c r="K15" s="10" t="inlineStr">
        <is>
          <t>New</t>
        </is>
      </c>
      <c r="L15" s="10" t="inlineStr">
        <is>
          <t>2026-09-16</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UK-000194</t>
        </is>
      </c>
      <c r="B16" s="5" t="inlineStr">
        <is>
          <t>CRAM Vape</t>
        </is>
      </c>
      <c r="C16" s="5" t="inlineStr">
        <is>
          <t>Scunthorpe</t>
        </is>
      </c>
      <c r="D16" s="5" t="inlineStr">
        <is>
          <t>Vape Shop</t>
        </is>
      </c>
      <c r="E16" s="5" t="inlineStr">
        <is>
          <t>High</t>
        </is>
      </c>
      <c r="F16" s="5" t="inlineStr">
        <is>
          <t>01724 277259</t>
        </is>
      </c>
      <c r="G16" s="5" t="inlineStr"/>
      <c r="H16" s="5" t="inlineStr"/>
      <c r="I16" s="5" t="inlineStr"/>
      <c r="J16" s="5" t="inlineStr"/>
      <c r="K16" s="5" t="inlineStr">
        <is>
          <t>New</t>
        </is>
      </c>
      <c r="L16" s="5" t="inlineStr">
        <is>
          <t>2026-09-16</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WY-0011</t>
        </is>
      </c>
      <c r="B17" s="10" t="inlineStr">
        <is>
          <t>Cheapasmokes</t>
        </is>
      </c>
      <c r="C17" s="10" t="inlineStr">
        <is>
          <t>Halifax</t>
        </is>
      </c>
      <c r="D17" s="10" t="inlineStr">
        <is>
          <t>Tobacco Specialist</t>
        </is>
      </c>
      <c r="E17" s="10" t="inlineStr">
        <is>
          <t>High</t>
        </is>
      </c>
      <c r="F17" s="10" t="inlineStr">
        <is>
          <t>01422 355554</t>
        </is>
      </c>
      <c r="G17" s="10" t="inlineStr"/>
      <c r="H17" s="10" t="inlineStr">
        <is>
          <t>sales@cheapasmokes.com</t>
        </is>
      </c>
      <c r="I17" s="10" t="inlineStr"/>
      <c r="J17" s="10" t="inlineStr"/>
      <c r="K17" s="10" t="inlineStr">
        <is>
          <t>New</t>
        </is>
      </c>
      <c r="L17" s="10" t="inlineStr">
        <is>
          <t>2026-09-16</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WY-0013</t>
        </is>
      </c>
      <c r="B18" s="5" t="inlineStr">
        <is>
          <t>Ecig N Vape South Elmsall</t>
        </is>
      </c>
      <c r="C18" s="5" t="inlineStr">
        <is>
          <t>South Elmsall</t>
        </is>
      </c>
      <c r="D18" s="5" t="inlineStr">
        <is>
          <t>Vape Shop</t>
        </is>
      </c>
      <c r="E18" s="5" t="inlineStr">
        <is>
          <t>High</t>
        </is>
      </c>
      <c r="F18" s="5" t="inlineStr">
        <is>
          <t>01977 647267</t>
        </is>
      </c>
      <c r="G18" s="5" t="inlineStr"/>
      <c r="H18" s="5" t="inlineStr"/>
      <c r="I18" s="5" t="inlineStr"/>
      <c r="J18" s="5" t="inlineStr"/>
      <c r="K18" s="5" t="inlineStr">
        <is>
          <t>New</t>
        </is>
      </c>
      <c r="L18" s="5" t="inlineStr">
        <is>
          <t>2026-09-16</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UK-000196</t>
        </is>
      </c>
      <c r="B19" s="10" t="inlineStr">
        <is>
          <t>Electric Vape Rotherham</t>
        </is>
      </c>
      <c r="C19" s="10" t="inlineStr">
        <is>
          <t>Rotherham</t>
        </is>
      </c>
      <c r="D19" s="10" t="inlineStr">
        <is>
          <t>Vape Shop</t>
        </is>
      </c>
      <c r="E19" s="10" t="inlineStr">
        <is>
          <t>High</t>
        </is>
      </c>
      <c r="F19" s="10" t="inlineStr"/>
      <c r="G19" s="10" t="inlineStr"/>
      <c r="H19" s="10" t="inlineStr"/>
      <c r="I19" s="10" t="inlineStr"/>
      <c r="J19" s="10" t="inlineStr"/>
      <c r="K19" s="10" t="inlineStr">
        <is>
          <t>New</t>
        </is>
      </c>
      <c r="L19" s="10" t="inlineStr">
        <is>
          <t>2026-09-16</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UK-000198</t>
        </is>
      </c>
      <c r="B20" s="5" t="inlineStr">
        <is>
          <t>Ezi Vape Skipton</t>
        </is>
      </c>
      <c r="C20" s="5" t="inlineStr">
        <is>
          <t>Skipton</t>
        </is>
      </c>
      <c r="D20" s="5" t="inlineStr">
        <is>
          <t>Vape Shop</t>
        </is>
      </c>
      <c r="E20" s="5" t="inlineStr">
        <is>
          <t>High</t>
        </is>
      </c>
      <c r="F20" s="5" t="inlineStr">
        <is>
          <t>07967 075860</t>
        </is>
      </c>
      <c r="G20" s="5" t="inlineStr"/>
      <c r="H20" s="5" t="inlineStr"/>
      <c r="I20" s="5" t="inlineStr"/>
      <c r="J20" s="5" t="inlineStr"/>
      <c r="K20" s="5" t="inlineStr">
        <is>
          <t>New</t>
        </is>
      </c>
      <c r="L20" s="5" t="inlineStr">
        <is>
          <t>2026-09-16</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UK-000226</t>
        </is>
      </c>
      <c r="B21" s="10" t="inlineStr">
        <is>
          <t>Fodder</t>
        </is>
      </c>
      <c r="C21" s="10" t="inlineStr">
        <is>
          <t>Harrogate</t>
        </is>
      </c>
      <c r="D21" s="10" t="inlineStr">
        <is>
          <t>Independent Supermarket</t>
        </is>
      </c>
      <c r="E21" s="10" t="inlineStr">
        <is>
          <t>High</t>
        </is>
      </c>
      <c r="F21" s="10" t="inlineStr">
        <is>
          <t>01423 546111</t>
        </is>
      </c>
      <c r="G21" s="10" t="inlineStr">
        <is>
          <t>enquiries@fodder.co.uk</t>
        </is>
      </c>
      <c r="H21" s="10" t="inlineStr"/>
      <c r="I21" s="10" t="inlineStr"/>
      <c r="J21" s="10" t="inlineStr"/>
      <c r="K21" s="10" t="inlineStr">
        <is>
          <t>New</t>
        </is>
      </c>
      <c r="L21" s="10" t="inlineStr">
        <is>
          <t>2026-09-16</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WY-0093</t>
        </is>
      </c>
      <c r="B22" s="5" t="inlineStr">
        <is>
          <t>Halal Sweets Company</t>
        </is>
      </c>
      <c r="C22" s="5" t="inlineStr">
        <is>
          <t>Bradford</t>
        </is>
      </c>
      <c r="D22" s="5" t="inlineStr">
        <is>
          <t>Cash &amp; Carry</t>
        </is>
      </c>
      <c r="E22" s="5" t="inlineStr">
        <is>
          <t>High</t>
        </is>
      </c>
      <c r="F22" s="5" t="inlineStr"/>
      <c r="G22" s="5" t="inlineStr">
        <is>
          <t>support@halalsweetscompany.co.uk</t>
        </is>
      </c>
      <c r="H22" s="5" t="inlineStr"/>
      <c r="I22" s="5" t="inlineStr"/>
      <c r="J22" s="5" t="inlineStr"/>
      <c r="K22" s="5" t="inlineStr">
        <is>
          <t>New</t>
        </is>
      </c>
      <c r="L22" s="5" t="inlineStr">
        <is>
          <t>2026-09-16</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WY-0015</t>
        </is>
      </c>
      <c r="B23" s="10" t="inlineStr">
        <is>
          <t>KPM Vapes</t>
        </is>
      </c>
      <c r="C23" s="10" t="inlineStr">
        <is>
          <t>Huddersfield</t>
        </is>
      </c>
      <c r="D23" s="10" t="inlineStr">
        <is>
          <t>Vape Shop</t>
        </is>
      </c>
      <c r="E23" s="10" t="inlineStr">
        <is>
          <t>High</t>
        </is>
      </c>
      <c r="F23" s="10" t="inlineStr">
        <is>
          <t>07463 530406</t>
        </is>
      </c>
      <c r="G23" s="10" t="inlineStr">
        <is>
          <t>kpmvapes@outlook.com</t>
        </is>
      </c>
      <c r="H23" s="10" t="inlineStr"/>
      <c r="I23" s="10" t="inlineStr"/>
      <c r="J23" s="10" t="inlineStr"/>
      <c r="K23" s="10" t="inlineStr">
        <is>
          <t>New</t>
        </is>
      </c>
      <c r="L23" s="10" t="inlineStr">
        <is>
          <t>2026-09-16</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WY-0018</t>
        </is>
      </c>
      <c r="B24" s="5" t="inlineStr">
        <is>
          <t>Manchester Superstore Bradford</t>
        </is>
      </c>
      <c r="C24" s="5" t="inlineStr">
        <is>
          <t>Bradford</t>
        </is>
      </c>
      <c r="D24" s="5" t="inlineStr">
        <is>
          <t>Independent Supermarket</t>
        </is>
      </c>
      <c r="E24" s="5" t="inlineStr">
        <is>
          <t>High</t>
        </is>
      </c>
      <c r="F24" s="5" t="inlineStr">
        <is>
          <t>01274 668800</t>
        </is>
      </c>
      <c r="G24" s="5" t="inlineStr">
        <is>
          <t>mssbradford01@gmail.com</t>
        </is>
      </c>
      <c r="H24" s="5" t="inlineStr"/>
      <c r="I24" s="5" t="inlineStr"/>
      <c r="J24" s="5" t="inlineStr"/>
      <c r="K24" s="5" t="inlineStr">
        <is>
          <t>New</t>
        </is>
      </c>
      <c r="L24" s="5" t="inlineStr">
        <is>
          <t>2026-09-16</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WY-0118</t>
        </is>
      </c>
      <c r="B25" s="10" t="inlineStr">
        <is>
          <t>Martinez Wines</t>
        </is>
      </c>
      <c r="C25" s="10" t="inlineStr">
        <is>
          <t>Ilkley</t>
        </is>
      </c>
      <c r="D25" s="10" t="inlineStr">
        <is>
          <t>Off-Licence</t>
        </is>
      </c>
      <c r="E25" s="10" t="inlineStr">
        <is>
          <t>High</t>
        </is>
      </c>
      <c r="F25" s="10" t="inlineStr">
        <is>
          <t>01943 600000</t>
        </is>
      </c>
      <c r="G25" s="10" t="inlineStr">
        <is>
          <t>shop@martinez.co.uk</t>
        </is>
      </c>
      <c r="H25" s="10" t="inlineStr"/>
      <c r="I25" s="10" t="inlineStr"/>
      <c r="J25" s="10" t="inlineStr"/>
      <c r="K25" s="10" t="inlineStr">
        <is>
          <t>New</t>
        </is>
      </c>
      <c r="L25" s="10" t="inlineStr">
        <is>
          <t>2026-09-16</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WY-0005</t>
        </is>
      </c>
      <c r="B26" s="5" t="inlineStr">
        <is>
          <t>Parfetts Cash &amp; Carry (Halifax)</t>
        </is>
      </c>
      <c r="C26" s="5" t="inlineStr">
        <is>
          <t>Halifax</t>
        </is>
      </c>
      <c r="D26" s="5" t="inlineStr">
        <is>
          <t>Cash &amp; Carry</t>
        </is>
      </c>
      <c r="E26" s="5" t="inlineStr">
        <is>
          <t>High</t>
        </is>
      </c>
      <c r="F26" s="5" t="inlineStr">
        <is>
          <t>01422 363167</t>
        </is>
      </c>
      <c r="G26" s="5" t="inlineStr"/>
      <c r="H26" s="5" t="inlineStr"/>
      <c r="I26" s="5" t="inlineStr"/>
      <c r="J26" s="5" t="inlineStr"/>
      <c r="K26" s="5" t="inlineStr">
        <is>
          <t>New</t>
        </is>
      </c>
      <c r="L26" s="5" t="inlineStr">
        <is>
          <t>2026-09-16</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UK-000207</t>
        </is>
      </c>
      <c r="B27" s="10" t="inlineStr">
        <is>
          <t>Premier Mexborough Convenience Store</t>
        </is>
      </c>
      <c r="C27" s="10" t="inlineStr">
        <is>
          <t>Mexborough</t>
        </is>
      </c>
      <c r="D27" s="10" t="inlineStr">
        <is>
          <t>Convenience Store</t>
        </is>
      </c>
      <c r="E27" s="10" t="inlineStr">
        <is>
          <t>High</t>
        </is>
      </c>
      <c r="F27" s="10" t="inlineStr">
        <is>
          <t>01709 581369</t>
        </is>
      </c>
      <c r="G27" s="10" t="inlineStr"/>
      <c r="H27" s="10" t="inlineStr"/>
      <c r="I27" s="10" t="inlineStr"/>
      <c r="J27" s="10" t="inlineStr"/>
      <c r="K27" s="10" t="inlineStr">
        <is>
          <t>New</t>
        </is>
      </c>
      <c r="L27" s="10" t="inlineStr">
        <is>
          <t>2026-09-16</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UK-000271</t>
        </is>
      </c>
      <c r="B28" s="5" t="inlineStr">
        <is>
          <t>RicherVapes</t>
        </is>
      </c>
      <c r="C28" s="5" t="inlineStr">
        <is>
          <t>York</t>
        </is>
      </c>
      <c r="D28" s="5" t="inlineStr">
        <is>
          <t>Vape Shop</t>
        </is>
      </c>
      <c r="E28" s="5" t="inlineStr">
        <is>
          <t>High</t>
        </is>
      </c>
      <c r="F28" s="5" t="inlineStr">
        <is>
          <t>07879 654682</t>
        </is>
      </c>
      <c r="G28" s="5" t="inlineStr">
        <is>
          <t>richervapes@gmail.com</t>
        </is>
      </c>
      <c r="H28" s="5" t="inlineStr"/>
      <c r="I28" s="5" t="inlineStr"/>
      <c r="J28" s="5" t="inlineStr"/>
      <c r="K28" s="5" t="inlineStr">
        <is>
          <t>New</t>
        </is>
      </c>
      <c r="L28" s="5" t="inlineStr">
        <is>
          <t>2026-09-16</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WY-0139</t>
        </is>
      </c>
      <c r="B29" s="10" t="inlineStr">
        <is>
          <t>Ryans The Tobacconist</t>
        </is>
      </c>
      <c r="C29" s="10" t="inlineStr">
        <is>
          <t>Leeds</t>
        </is>
      </c>
      <c r="D29" s="10" t="inlineStr">
        <is>
          <t>Tobacco Specialist</t>
        </is>
      </c>
      <c r="E29" s="10" t="inlineStr">
        <is>
          <t>High</t>
        </is>
      </c>
      <c r="F29" s="10" t="inlineStr">
        <is>
          <t>0113 242 2585</t>
        </is>
      </c>
      <c r="G29" s="10" t="inlineStr">
        <is>
          <t>Ryans.2000@outlook.com</t>
        </is>
      </c>
      <c r="H29" s="10" t="inlineStr"/>
      <c r="I29" s="10" t="inlineStr"/>
      <c r="J29" s="10" t="inlineStr"/>
      <c r="K29" s="10" t="inlineStr">
        <is>
          <t>New</t>
        </is>
      </c>
      <c r="L29" s="10" t="inlineStr">
        <is>
          <t>2026-09-16</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WY-0022</t>
        </is>
      </c>
      <c r="B30" s="5" t="inlineStr">
        <is>
          <t>SMKD</t>
        </is>
      </c>
      <c r="C30" s="5" t="inlineStr">
        <is>
          <t>Halifax</t>
        </is>
      </c>
      <c r="D30" s="5" t="inlineStr">
        <is>
          <t>Vape Shop</t>
        </is>
      </c>
      <c r="E30" s="5" t="inlineStr">
        <is>
          <t>High</t>
        </is>
      </c>
      <c r="F30" s="5" t="inlineStr"/>
      <c r="G30" s="5" t="inlineStr">
        <is>
          <t>info@smkd.com</t>
        </is>
      </c>
      <c r="H30" s="5" t="inlineStr"/>
      <c r="I30" s="5" t="inlineStr"/>
      <c r="J30" s="5" t="inlineStr"/>
      <c r="K30" s="5" t="inlineStr">
        <is>
          <t>New</t>
        </is>
      </c>
      <c r="L30" s="5" t="inlineStr">
        <is>
          <t>2026-09-16</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WY-0023</t>
        </is>
      </c>
      <c r="B31" s="10" t="inlineStr">
        <is>
          <t>SMKD</t>
        </is>
      </c>
      <c r="C31" s="10" t="inlineStr">
        <is>
          <t>Hebden Bridge</t>
        </is>
      </c>
      <c r="D31" s="10" t="inlineStr">
        <is>
          <t>Vape Shop</t>
        </is>
      </c>
      <c r="E31" s="10" t="inlineStr">
        <is>
          <t>High</t>
        </is>
      </c>
      <c r="F31" s="10" t="inlineStr">
        <is>
          <t>01274 270303</t>
        </is>
      </c>
      <c r="G31" s="10" t="inlineStr">
        <is>
          <t>info@smkd.com</t>
        </is>
      </c>
      <c r="H31" s="10" t="inlineStr"/>
      <c r="I31" s="10" t="inlineStr"/>
      <c r="J31" s="10" t="inlineStr"/>
      <c r="K31" s="10" t="inlineStr">
        <is>
          <t>New</t>
        </is>
      </c>
      <c r="L31" s="10" t="inlineStr">
        <is>
          <t>2026-09-16</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WY-0140</t>
        </is>
      </c>
      <c r="B32" s="5" t="inlineStr">
        <is>
          <t>SMKD</t>
        </is>
      </c>
      <c r="C32" s="5" t="inlineStr">
        <is>
          <t>Bradford</t>
        </is>
      </c>
      <c r="D32" s="5" t="inlineStr">
        <is>
          <t>Vape Shop</t>
        </is>
      </c>
      <c r="E32" s="5" t="inlineStr">
        <is>
          <t>High</t>
        </is>
      </c>
      <c r="F32" s="5" t="inlineStr">
        <is>
          <t>01274 270303</t>
        </is>
      </c>
      <c r="G32" s="5" t="inlineStr">
        <is>
          <t>info@smkd.com</t>
        </is>
      </c>
      <c r="H32" s="5" t="inlineStr"/>
      <c r="I32" s="5" t="inlineStr"/>
      <c r="J32" s="5" t="inlineStr"/>
      <c r="K32" s="5" t="inlineStr">
        <is>
          <t>New</t>
        </is>
      </c>
      <c r="L32" s="5" t="inlineStr">
        <is>
          <t>2026-09-16</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WY-0024</t>
        </is>
      </c>
      <c r="B33" s="10" t="inlineStr">
        <is>
          <t>SMKD - E Cigarettes and Vape Shop (Wakefield)</t>
        </is>
      </c>
      <c r="C33" s="10" t="inlineStr">
        <is>
          <t>Wakefield</t>
        </is>
      </c>
      <c r="D33" s="10" t="inlineStr">
        <is>
          <t>Vape Shop</t>
        </is>
      </c>
      <c r="E33" s="10" t="inlineStr">
        <is>
          <t>High</t>
        </is>
      </c>
      <c r="F33" s="10" t="inlineStr">
        <is>
          <t>01924 728100</t>
        </is>
      </c>
      <c r="G33" s="10" t="inlineStr">
        <is>
          <t>info@smkd.com</t>
        </is>
      </c>
      <c r="H33" s="10" t="inlineStr"/>
      <c r="I33" s="10" t="inlineStr"/>
      <c r="J33" s="10" t="inlineStr"/>
      <c r="K33" s="10" t="inlineStr">
        <is>
          <t>New</t>
        </is>
      </c>
      <c r="L33" s="10" t="inlineStr">
        <is>
          <t>2026-09-16</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WY-0026</t>
        </is>
      </c>
      <c r="B34" s="5" t="inlineStr">
        <is>
          <t>Sing Kee Foods (Sheepscar)</t>
        </is>
      </c>
      <c r="C34" s="5" t="inlineStr">
        <is>
          <t>Leeds</t>
        </is>
      </c>
      <c r="D34" s="5" t="inlineStr">
        <is>
          <t>Independent Supermarket</t>
        </is>
      </c>
      <c r="E34" s="5" t="inlineStr">
        <is>
          <t>High</t>
        </is>
      </c>
      <c r="F34" s="5" t="inlineStr">
        <is>
          <t>0113 898 0168</t>
        </is>
      </c>
      <c r="G34" s="5" t="inlineStr"/>
      <c r="H34" s="5" t="inlineStr">
        <is>
          <t>wholesale@singkeefoods.co.uk</t>
        </is>
      </c>
      <c r="I34" s="5" t="inlineStr"/>
      <c r="J34" s="5" t="inlineStr"/>
      <c r="K34" s="5" t="inlineStr">
        <is>
          <t>New</t>
        </is>
      </c>
      <c r="L34" s="5" t="inlineStr">
        <is>
          <t>2026-09-16</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WY-0027</t>
        </is>
      </c>
      <c r="B35" s="10" t="inlineStr">
        <is>
          <t>Sing Kee Oriental Supermarket (Merrion Centre)</t>
        </is>
      </c>
      <c r="C35" s="10" t="inlineStr">
        <is>
          <t>Leeds</t>
        </is>
      </c>
      <c r="D35" s="10" t="inlineStr">
        <is>
          <t>Independent Supermarket</t>
        </is>
      </c>
      <c r="E35" s="10" t="inlineStr">
        <is>
          <t>High</t>
        </is>
      </c>
      <c r="F35" s="10" t="inlineStr"/>
      <c r="G35" s="10" t="inlineStr"/>
      <c r="H35" s="10" t="inlineStr"/>
      <c r="I35" s="10" t="inlineStr"/>
      <c r="J35" s="10" t="inlineStr"/>
      <c r="K35" s="10" t="inlineStr">
        <is>
          <t>New</t>
        </is>
      </c>
      <c r="L35" s="10" t="inlineStr">
        <is>
          <t>2026-09-16</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WY-0148</t>
        </is>
      </c>
      <c r="B36" s="5" t="inlineStr">
        <is>
          <t>Smoke-King Tobacconist</t>
        </is>
      </c>
      <c r="C36" s="5" t="inlineStr">
        <is>
          <t>Otley</t>
        </is>
      </c>
      <c r="D36" s="5" t="inlineStr">
        <is>
          <t>Tobacco Specialist</t>
        </is>
      </c>
      <c r="E36" s="5" t="inlineStr">
        <is>
          <t>High</t>
        </is>
      </c>
      <c r="F36" s="5" t="inlineStr">
        <is>
          <t>0113 217 7723</t>
        </is>
      </c>
      <c r="G36" s="5" t="inlineStr">
        <is>
          <t>enquiries@smoke-king.co.uk</t>
        </is>
      </c>
      <c r="H36" s="5" t="inlineStr"/>
      <c r="I36" s="5" t="inlineStr"/>
      <c r="J36" s="5" t="inlineStr"/>
      <c r="K36" s="5" t="inlineStr">
        <is>
          <t>New</t>
        </is>
      </c>
      <c r="L36" s="5" t="inlineStr">
        <is>
          <t>2026-09-16</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WY-0029</t>
        </is>
      </c>
      <c r="B37" s="10" t="inlineStr">
        <is>
          <t>TB Cash &amp; Carry (Bradford)</t>
        </is>
      </c>
      <c r="C37" s="10" t="inlineStr">
        <is>
          <t>Bradford</t>
        </is>
      </c>
      <c r="D37" s="10" t="inlineStr">
        <is>
          <t>Cash &amp; Carry</t>
        </is>
      </c>
      <c r="E37" s="10" t="inlineStr">
        <is>
          <t>High</t>
        </is>
      </c>
      <c r="F37" s="10" t="inlineStr">
        <is>
          <t>01274 740555</t>
        </is>
      </c>
      <c r="G37" s="10" t="inlineStr">
        <is>
          <t>info@tbcashandcarry.co.uk</t>
        </is>
      </c>
      <c r="H37" s="10" t="inlineStr"/>
      <c r="I37" s="10" t="inlineStr"/>
      <c r="J37" s="10" t="inlineStr"/>
      <c r="K37" s="10" t="inlineStr">
        <is>
          <t>New</t>
        </is>
      </c>
      <c r="L37" s="10" t="inlineStr">
        <is>
          <t>2026-09-16</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WY-0030</t>
        </is>
      </c>
      <c r="B38" s="5" t="inlineStr">
        <is>
          <t>TB Cash &amp; Carry (Leeds)</t>
        </is>
      </c>
      <c r="C38" s="5" t="inlineStr">
        <is>
          <t>Leeds</t>
        </is>
      </c>
      <c r="D38" s="5" t="inlineStr">
        <is>
          <t>Cash &amp; Carry</t>
        </is>
      </c>
      <c r="E38" s="5" t="inlineStr">
        <is>
          <t>High</t>
        </is>
      </c>
      <c r="F38" s="5" t="inlineStr">
        <is>
          <t>0113 245 1454</t>
        </is>
      </c>
      <c r="G38" s="5" t="inlineStr">
        <is>
          <t>info@tbcashandcarry.co.uk</t>
        </is>
      </c>
      <c r="H38" s="5" t="inlineStr"/>
      <c r="I38" s="5" t="inlineStr"/>
      <c r="J38" s="5" t="inlineStr"/>
      <c r="K38" s="5" t="inlineStr">
        <is>
          <t>New</t>
        </is>
      </c>
      <c r="L38" s="5" t="inlineStr">
        <is>
          <t>2026-09-16</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WY-0158</t>
        </is>
      </c>
      <c r="B39" s="10" t="inlineStr">
        <is>
          <t>Thali Outlet</t>
        </is>
      </c>
      <c r="C39" s="10" t="inlineStr">
        <is>
          <t>Leeds</t>
        </is>
      </c>
      <c r="D39" s="10" t="inlineStr">
        <is>
          <t>Cash &amp; Carry</t>
        </is>
      </c>
      <c r="E39" s="10" t="inlineStr">
        <is>
          <t>High</t>
        </is>
      </c>
      <c r="F39" s="10" t="inlineStr">
        <is>
          <t>0113 394 8000</t>
        </is>
      </c>
      <c r="G39" s="10" t="inlineStr">
        <is>
          <t>sales@thalioutlet.com</t>
        </is>
      </c>
      <c r="H39" s="10" t="inlineStr">
        <is>
          <t>sales@thalioutlet.com</t>
        </is>
      </c>
      <c r="I39" s="10" t="inlineStr"/>
      <c r="J39" s="10" t="inlineStr"/>
      <c r="K39" s="10" t="inlineStr">
        <is>
          <t>New</t>
        </is>
      </c>
      <c r="L39" s="10" t="inlineStr">
        <is>
          <t>2026-09-16</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WY-0031</t>
        </is>
      </c>
      <c r="B40" s="5" t="inlineStr">
        <is>
          <t>The Vape Centre (Wetherby)</t>
        </is>
      </c>
      <c r="C40" s="5" t="inlineStr">
        <is>
          <t>Wetherby</t>
        </is>
      </c>
      <c r="D40" s="5" t="inlineStr">
        <is>
          <t>Vape Shop</t>
        </is>
      </c>
      <c r="E40" s="5" t="inlineStr">
        <is>
          <t>High</t>
        </is>
      </c>
      <c r="F40" s="5" t="inlineStr">
        <is>
          <t>07388 892397</t>
        </is>
      </c>
      <c r="G40" s="5" t="inlineStr"/>
      <c r="H40" s="5" t="inlineStr"/>
      <c r="I40" s="5" t="inlineStr"/>
      <c r="J40" s="5" t="inlineStr"/>
      <c r="K40" s="5" t="inlineStr">
        <is>
          <t>New</t>
        </is>
      </c>
      <c r="L40" s="5" t="inlineStr">
        <is>
          <t>2026-09-16</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UK-000220</t>
        </is>
      </c>
      <c r="B41" s="10" t="inlineStr">
        <is>
          <t>The Vape Shack Beverley</t>
        </is>
      </c>
      <c r="C41" s="10" t="inlineStr">
        <is>
          <t>Beverley</t>
        </is>
      </c>
      <c r="D41" s="10" t="inlineStr">
        <is>
          <t>Vape Shop</t>
        </is>
      </c>
      <c r="E41" s="10" t="inlineStr">
        <is>
          <t>High</t>
        </is>
      </c>
      <c r="F41" s="10" t="inlineStr">
        <is>
          <t>07359 267997</t>
        </is>
      </c>
      <c r="G41" s="10" t="inlineStr"/>
      <c r="H41" s="10" t="inlineStr"/>
      <c r="I41" s="10" t="inlineStr"/>
      <c r="J41" s="10" t="inlineStr"/>
      <c r="K41" s="10" t="inlineStr">
        <is>
          <t>New</t>
        </is>
      </c>
      <c r="L41" s="10" t="inlineStr">
        <is>
          <t>2026-09-16</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UK-000216</t>
        </is>
      </c>
      <c r="B42" s="5" t="inlineStr">
        <is>
          <t>VAPEx Doncaster</t>
        </is>
      </c>
      <c r="C42" s="5" t="inlineStr">
        <is>
          <t>Doncaster</t>
        </is>
      </c>
      <c r="D42" s="5" t="inlineStr">
        <is>
          <t>Vape Shop</t>
        </is>
      </c>
      <c r="E42" s="5" t="inlineStr">
        <is>
          <t>High</t>
        </is>
      </c>
      <c r="F42" s="5" t="inlineStr">
        <is>
          <t>01302 315051</t>
        </is>
      </c>
      <c r="G42" s="5" t="inlineStr"/>
      <c r="H42" s="5" t="inlineStr"/>
      <c r="I42" s="5" t="inlineStr"/>
      <c r="J42" s="5" t="inlineStr"/>
      <c r="K42" s="5" t="inlineStr">
        <is>
          <t>New</t>
        </is>
      </c>
      <c r="L42" s="5" t="inlineStr">
        <is>
          <t>2026-09-16</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WY-0036</t>
        </is>
      </c>
      <c r="B43" s="10" t="inlineStr">
        <is>
          <t>Vaparama (Featherstone)</t>
        </is>
      </c>
      <c r="C43" s="10" t="inlineStr">
        <is>
          <t>Featherstone</t>
        </is>
      </c>
      <c r="D43" s="10" t="inlineStr">
        <is>
          <t>Vape Shop</t>
        </is>
      </c>
      <c r="E43" s="10" t="inlineStr">
        <is>
          <t>High</t>
        </is>
      </c>
      <c r="F43" s="10" t="inlineStr"/>
      <c r="G43" s="10" t="inlineStr"/>
      <c r="H43" s="10" t="inlineStr">
        <is>
          <t>shop@vaparama.co.uk</t>
        </is>
      </c>
      <c r="I43" s="10" t="inlineStr"/>
      <c r="J43" s="10" t="inlineStr"/>
      <c r="K43" s="10" t="inlineStr">
        <is>
          <t>New</t>
        </is>
      </c>
      <c r="L43" s="10" t="inlineStr">
        <is>
          <t>2026-09-16</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WY-0037</t>
        </is>
      </c>
      <c r="B44" s="5" t="inlineStr">
        <is>
          <t>Vaparama (Pontefract)</t>
        </is>
      </c>
      <c r="C44" s="5" t="inlineStr">
        <is>
          <t>Pontefract</t>
        </is>
      </c>
      <c r="D44" s="5" t="inlineStr">
        <is>
          <t>Vape Shop</t>
        </is>
      </c>
      <c r="E44" s="5" t="inlineStr">
        <is>
          <t>High</t>
        </is>
      </c>
      <c r="F44" s="5" t="inlineStr">
        <is>
          <t>01977 277170</t>
        </is>
      </c>
      <c r="G44" s="5" t="inlineStr">
        <is>
          <t>shop@vaparama.co.uk</t>
        </is>
      </c>
      <c r="H44" s="5" t="inlineStr"/>
      <c r="I44" s="5" t="inlineStr"/>
      <c r="J44" s="5" t="inlineStr"/>
      <c r="K44" s="5" t="inlineStr">
        <is>
          <t>New</t>
        </is>
      </c>
      <c r="L44" s="5" t="inlineStr">
        <is>
          <t>2026-09-16</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WY-0038</t>
        </is>
      </c>
      <c r="B45" s="10" t="inlineStr">
        <is>
          <t>Vaparama (Wakefield)</t>
        </is>
      </c>
      <c r="C45" s="10" t="inlineStr">
        <is>
          <t>Wakefield</t>
        </is>
      </c>
      <c r="D45" s="10" t="inlineStr">
        <is>
          <t>Vape Shop</t>
        </is>
      </c>
      <c r="E45" s="10" t="inlineStr">
        <is>
          <t>High</t>
        </is>
      </c>
      <c r="F45" s="10" t="inlineStr"/>
      <c r="G45" s="10" t="inlineStr"/>
      <c r="H45" s="10" t="inlineStr">
        <is>
          <t>shop@vaparama.co.uk</t>
        </is>
      </c>
      <c r="I45" s="10" t="inlineStr"/>
      <c r="J45" s="10" t="inlineStr"/>
      <c r="K45" s="10" t="inlineStr">
        <is>
          <t>New</t>
        </is>
      </c>
      <c r="L45" s="10" t="inlineStr">
        <is>
          <t>2026-09-16</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UK-000218</t>
        </is>
      </c>
      <c r="B46" s="5" t="inlineStr">
        <is>
          <t>Vape Safe Whitby</t>
        </is>
      </c>
      <c r="C46" s="5" t="inlineStr">
        <is>
          <t>Whitby</t>
        </is>
      </c>
      <c r="D46" s="5" t="inlineStr">
        <is>
          <t>Vape Shop</t>
        </is>
      </c>
      <c r="E46" s="5" t="inlineStr">
        <is>
          <t>High</t>
        </is>
      </c>
      <c r="F46" s="5" t="inlineStr">
        <is>
          <t>01947 604873</t>
        </is>
      </c>
      <c r="G46" s="5" t="inlineStr"/>
      <c r="H46" s="5" t="inlineStr"/>
      <c r="I46" s="5" t="inlineStr"/>
      <c r="J46" s="5" t="inlineStr"/>
      <c r="K46" s="5" t="inlineStr">
        <is>
          <t>New</t>
        </is>
      </c>
      <c r="L46" s="5" t="inlineStr">
        <is>
          <t>2026-09-16</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UK-000219</t>
        </is>
      </c>
      <c r="B47" s="10" t="inlineStr">
        <is>
          <t>Vape Safe York</t>
        </is>
      </c>
      <c r="C47" s="10" t="inlineStr">
        <is>
          <t>York</t>
        </is>
      </c>
      <c r="D47" s="10" t="inlineStr">
        <is>
          <t>Vape Shop</t>
        </is>
      </c>
      <c r="E47" s="10" t="inlineStr">
        <is>
          <t>High</t>
        </is>
      </c>
      <c r="F47" s="10" t="inlineStr">
        <is>
          <t>01904 848488</t>
        </is>
      </c>
      <c r="G47" s="10" t="inlineStr"/>
      <c r="H47" s="10" t="inlineStr"/>
      <c r="I47" s="10" t="inlineStr"/>
      <c r="J47" s="10" t="inlineStr"/>
      <c r="K47" s="10" t="inlineStr">
        <is>
          <t>New</t>
        </is>
      </c>
      <c r="L47" s="10" t="inlineStr">
        <is>
          <t>2026-09-16</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UK-000221</t>
        </is>
      </c>
      <c r="B48" s="5" t="inlineStr">
        <is>
          <t>Vape Shack Immingham</t>
        </is>
      </c>
      <c r="C48" s="5" t="inlineStr">
        <is>
          <t>Immingham</t>
        </is>
      </c>
      <c r="D48" s="5" t="inlineStr">
        <is>
          <t>Vape Shop</t>
        </is>
      </c>
      <c r="E48" s="5" t="inlineStr">
        <is>
          <t>High</t>
        </is>
      </c>
      <c r="F48" s="5" t="inlineStr">
        <is>
          <t>01469 577493</t>
        </is>
      </c>
      <c r="G48" s="5" t="inlineStr"/>
      <c r="H48" s="5" t="inlineStr"/>
      <c r="I48" s="5" t="inlineStr"/>
      <c r="J48" s="5" t="inlineStr"/>
      <c r="K48" s="5" t="inlineStr">
        <is>
          <t>New</t>
        </is>
      </c>
      <c r="L48" s="5" t="inlineStr">
        <is>
          <t>2026-09-16</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UK-000222</t>
        </is>
      </c>
      <c r="B49" s="10" t="inlineStr">
        <is>
          <t>Vape Shop Guy Boroughbridge</t>
        </is>
      </c>
      <c r="C49" s="10" t="inlineStr">
        <is>
          <t>Boroughbridge</t>
        </is>
      </c>
      <c r="D49" s="10" t="inlineStr">
        <is>
          <t>Vape Shop</t>
        </is>
      </c>
      <c r="E49" s="10" t="inlineStr">
        <is>
          <t>High</t>
        </is>
      </c>
      <c r="F49" s="10" t="inlineStr">
        <is>
          <t>01423 325924</t>
        </is>
      </c>
      <c r="G49" s="10" t="inlineStr"/>
      <c r="H49" s="10" t="inlineStr"/>
      <c r="I49" s="10" t="inlineStr"/>
      <c r="J49" s="10" t="inlineStr"/>
      <c r="K49" s="10" t="inlineStr">
        <is>
          <t>New</t>
        </is>
      </c>
      <c r="L49" s="10" t="inlineStr">
        <is>
          <t>2026-09-16</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UK-000223</t>
        </is>
      </c>
      <c r="B50" s="5" t="inlineStr">
        <is>
          <t>Vape Shop Guy Ripon</t>
        </is>
      </c>
      <c r="C50" s="5" t="inlineStr">
        <is>
          <t>Ripon</t>
        </is>
      </c>
      <c r="D50" s="5" t="inlineStr">
        <is>
          <t>Vape Shop</t>
        </is>
      </c>
      <c r="E50" s="5" t="inlineStr">
        <is>
          <t>High</t>
        </is>
      </c>
      <c r="F50" s="5" t="inlineStr"/>
      <c r="G50" s="5" t="inlineStr"/>
      <c r="H50" s="5" t="inlineStr"/>
      <c r="I50" s="5" t="inlineStr"/>
      <c r="J50" s="5" t="inlineStr"/>
      <c r="K50" s="5" t="inlineStr">
        <is>
          <t>New</t>
        </is>
      </c>
      <c r="L50" s="5" t="inlineStr">
        <is>
          <t>2026-09-16</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UK-000224</t>
        </is>
      </c>
      <c r="B51" s="10" t="inlineStr">
        <is>
          <t>Vape Shop Guy Thirsk</t>
        </is>
      </c>
      <c r="C51" s="10" t="inlineStr">
        <is>
          <t>Thirsk</t>
        </is>
      </c>
      <c r="D51" s="10" t="inlineStr">
        <is>
          <t>Vape Shop</t>
        </is>
      </c>
      <c r="E51" s="10" t="inlineStr">
        <is>
          <t>High</t>
        </is>
      </c>
      <c r="F51" s="10" t="inlineStr"/>
      <c r="G51" s="10" t="inlineStr"/>
      <c r="H51" s="10" t="inlineStr"/>
      <c r="I51" s="10" t="inlineStr"/>
      <c r="J51" s="10" t="inlineStr"/>
      <c r="K51" s="10" t="inlineStr">
        <is>
          <t>New</t>
        </is>
      </c>
      <c r="L51" s="10" t="inlineStr">
        <is>
          <t>2026-09-16</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WY-0180</t>
        </is>
      </c>
      <c r="B52" s="5" t="inlineStr">
        <is>
          <t>Vaperites</t>
        </is>
      </c>
      <c r="C52" s="5" t="inlineStr">
        <is>
          <t>Pontefract</t>
        </is>
      </c>
      <c r="D52" s="5" t="inlineStr">
        <is>
          <t>Vape Shop</t>
        </is>
      </c>
      <c r="E52" s="5" t="inlineStr">
        <is>
          <t>High</t>
        </is>
      </c>
      <c r="F52" s="5" t="inlineStr">
        <is>
          <t>01977 278484</t>
        </is>
      </c>
      <c r="G52" s="5" t="inlineStr">
        <is>
          <t>vaperite@gmail.com</t>
        </is>
      </c>
      <c r="H52" s="5" t="inlineStr"/>
      <c r="I52" s="5" t="inlineStr"/>
      <c r="J52" s="5" t="inlineStr"/>
      <c r="K52" s="5" t="inlineStr">
        <is>
          <t>New</t>
        </is>
      </c>
      <c r="L52" s="5" t="inlineStr">
        <is>
          <t>2026-09-16</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UK-000225</t>
        </is>
      </c>
      <c r="B53" s="10" t="inlineStr">
        <is>
          <t>Vapour Worx Knaresborough</t>
        </is>
      </c>
      <c r="C53" s="10" t="inlineStr">
        <is>
          <t>Knaresborough</t>
        </is>
      </c>
      <c r="D53" s="10" t="inlineStr">
        <is>
          <t>Vape Shop</t>
        </is>
      </c>
      <c r="E53" s="10" t="inlineStr">
        <is>
          <t>High</t>
        </is>
      </c>
      <c r="F53" s="10" t="inlineStr">
        <is>
          <t>01423 610083</t>
        </is>
      </c>
      <c r="G53" s="10" t="inlineStr"/>
      <c r="H53" s="10" t="inlineStr"/>
      <c r="I53" s="10" t="inlineStr"/>
      <c r="J53" s="10" t="inlineStr"/>
      <c r="K53" s="10" t="inlineStr">
        <is>
          <t>New</t>
        </is>
      </c>
      <c r="L53" s="10" t="inlineStr">
        <is>
          <t>2026-09-16</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WY-0039</t>
        </is>
      </c>
      <c r="B54" s="5" t="inlineStr">
        <is>
          <t>WOW Vape (Castleford)</t>
        </is>
      </c>
      <c r="C54" s="5" t="inlineStr">
        <is>
          <t>Castleford</t>
        </is>
      </c>
      <c r="D54" s="5" t="inlineStr">
        <is>
          <t>Vape Shop</t>
        </is>
      </c>
      <c r="E54" s="5" t="inlineStr">
        <is>
          <t>High</t>
        </is>
      </c>
      <c r="F54" s="5" t="inlineStr">
        <is>
          <t>01977 516062</t>
        </is>
      </c>
      <c r="G54" s="5" t="inlineStr"/>
      <c r="H54" s="5" t="inlineStr"/>
      <c r="I54" s="5" t="inlineStr"/>
      <c r="J54" s="5" t="inlineStr"/>
      <c r="K54" s="5" t="inlineStr">
        <is>
          <t>New</t>
        </is>
      </c>
      <c r="L54" s="5" t="inlineStr">
        <is>
          <t>2026-09-16</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WY-0040</t>
        </is>
      </c>
      <c r="B55" s="10" t="inlineStr">
        <is>
          <t>WOW Vape (Wakefield)</t>
        </is>
      </c>
      <c r="C55" s="10" t="inlineStr">
        <is>
          <t>Wakefield</t>
        </is>
      </c>
      <c r="D55" s="10" t="inlineStr">
        <is>
          <t>Vape Shop</t>
        </is>
      </c>
      <c r="E55" s="10" t="inlineStr">
        <is>
          <t>High</t>
        </is>
      </c>
      <c r="F55" s="10" t="inlineStr"/>
      <c r="G55" s="10" t="inlineStr"/>
      <c r="H55" s="10" t="inlineStr"/>
      <c r="I55" s="10" t="inlineStr"/>
      <c r="J55" s="10" t="inlineStr"/>
      <c r="K55" s="10" t="inlineStr">
        <is>
          <t>New</t>
        </is>
      </c>
      <c r="L55" s="10" t="inlineStr">
        <is>
          <t>2026-09-16</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WY-0041</t>
        </is>
      </c>
      <c r="B56" s="5" t="inlineStr">
        <is>
          <t>We Are Vapes</t>
        </is>
      </c>
      <c r="C56" s="5" t="inlineStr">
        <is>
          <t>Bradford</t>
        </is>
      </c>
      <c r="D56" s="5" t="inlineStr">
        <is>
          <t>Vape Shop</t>
        </is>
      </c>
      <c r="E56" s="5" t="inlineStr">
        <is>
          <t>High</t>
        </is>
      </c>
      <c r="F56" s="5" t="inlineStr">
        <is>
          <t>01274 270773</t>
        </is>
      </c>
      <c r="G56" s="5" t="inlineStr"/>
      <c r="H56" s="5" t="inlineStr"/>
      <c r="I56" s="5" t="inlineStr"/>
      <c r="J56" s="5" t="inlineStr"/>
      <c r="K56" s="5" t="inlineStr">
        <is>
          <t>New</t>
        </is>
      </c>
      <c r="L56" s="5" t="inlineStr">
        <is>
          <t>2026-09-16</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WY-0042</t>
        </is>
      </c>
      <c r="B57" s="10" t="inlineStr">
        <is>
          <t>We Are Vapes</t>
        </is>
      </c>
      <c r="C57" s="10" t="inlineStr">
        <is>
          <t>Bradford</t>
        </is>
      </c>
      <c r="D57" s="10" t="inlineStr">
        <is>
          <t>Vape Shop</t>
        </is>
      </c>
      <c r="E57" s="10" t="inlineStr">
        <is>
          <t>High</t>
        </is>
      </c>
      <c r="F57" s="10" t="inlineStr">
        <is>
          <t>01274 634327</t>
        </is>
      </c>
      <c r="G57" s="10" t="inlineStr"/>
      <c r="H57" s="10" t="inlineStr"/>
      <c r="I57" s="10" t="inlineStr"/>
      <c r="J57" s="10" t="inlineStr"/>
      <c r="K57" s="10" t="inlineStr">
        <is>
          <t>New</t>
        </is>
      </c>
      <c r="L57" s="10" t="inlineStr">
        <is>
          <t>2026-09-16</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WY-0043</t>
        </is>
      </c>
      <c r="B58" s="5" t="inlineStr">
        <is>
          <t>We Are Vapes</t>
        </is>
      </c>
      <c r="C58" s="5" t="inlineStr">
        <is>
          <t>Bradford</t>
        </is>
      </c>
      <c r="D58" s="5" t="inlineStr">
        <is>
          <t>Vape Shop</t>
        </is>
      </c>
      <c r="E58" s="5" t="inlineStr">
        <is>
          <t>High</t>
        </is>
      </c>
      <c r="F58" s="5" t="inlineStr"/>
      <c r="G58" s="5" t="inlineStr"/>
      <c r="H58" s="5" t="inlineStr"/>
      <c r="I58" s="5" t="inlineStr"/>
      <c r="J58" s="5" t="inlineStr"/>
      <c r="K58" s="5" t="inlineStr">
        <is>
          <t>New</t>
        </is>
      </c>
      <c r="L58" s="5" t="inlineStr">
        <is>
          <t>2026-09-16</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WY-0044</t>
        </is>
      </c>
      <c r="B59" s="10" t="inlineStr">
        <is>
          <t>Worldwide Foods Bradford (Great Horton Road)</t>
        </is>
      </c>
      <c r="C59" s="10" t="inlineStr">
        <is>
          <t>Bradford</t>
        </is>
      </c>
      <c r="D59" s="10" t="inlineStr">
        <is>
          <t>Independent Supermarket</t>
        </is>
      </c>
      <c r="E59" s="10" t="inlineStr">
        <is>
          <t>High</t>
        </is>
      </c>
      <c r="F59" s="10" t="inlineStr">
        <is>
          <t>01274 572661</t>
        </is>
      </c>
      <c r="G59" s="10" t="inlineStr">
        <is>
          <t>info@worldwidefoods.co.uk</t>
        </is>
      </c>
      <c r="H59" s="10" t="inlineStr"/>
      <c r="I59" s="10" t="inlineStr"/>
      <c r="J59" s="10" t="inlineStr"/>
      <c r="K59" s="10" t="inlineStr">
        <is>
          <t>New</t>
        </is>
      </c>
      <c r="L59" s="10" t="inlineStr">
        <is>
          <t>2026-09-16</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UK-000227</t>
        </is>
      </c>
      <c r="B60" s="5" t="inlineStr">
        <is>
          <t>eCigarette Outlet</t>
        </is>
      </c>
      <c r="C60" s="5" t="inlineStr">
        <is>
          <t>Kingston upon Hull</t>
        </is>
      </c>
      <c r="D60" s="5" t="inlineStr">
        <is>
          <t>Vape Shop</t>
        </is>
      </c>
      <c r="E60" s="5" t="inlineStr">
        <is>
          <t>High</t>
        </is>
      </c>
      <c r="F60" s="5" t="inlineStr"/>
      <c r="G60" s="5" t="inlineStr">
        <is>
          <t>customer.service@ecigaretteoutlet.co.uk</t>
        </is>
      </c>
      <c r="H60" s="5" t="inlineStr"/>
      <c r="I60" s="5" t="inlineStr"/>
      <c r="J60" s="5" t="inlineStr"/>
      <c r="K60" s="5" t="inlineStr">
        <is>
          <t>New</t>
        </is>
      </c>
      <c r="L60" s="5" t="inlineStr">
        <is>
          <t>2026-09-16</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UK-000228</t>
        </is>
      </c>
      <c r="B61" s="10" t="inlineStr">
        <is>
          <t>eCigarette Outlet Cleethorpes</t>
        </is>
      </c>
      <c r="C61" s="10" t="inlineStr">
        <is>
          <t>Cleethorpes</t>
        </is>
      </c>
      <c r="D61" s="10" t="inlineStr">
        <is>
          <t>Vape Shop</t>
        </is>
      </c>
      <c r="E61" s="10" t="inlineStr">
        <is>
          <t>High</t>
        </is>
      </c>
      <c r="F61" s="10" t="inlineStr">
        <is>
          <t>01472 694619</t>
        </is>
      </c>
      <c r="G61" s="10" t="inlineStr">
        <is>
          <t>customer.service@ecigaretteoutlet.co.uk</t>
        </is>
      </c>
      <c r="H61" s="10" t="inlineStr"/>
      <c r="I61" s="10" t="inlineStr"/>
      <c r="J61" s="10" t="inlineStr"/>
      <c r="K61" s="10" t="inlineStr">
        <is>
          <t>New</t>
        </is>
      </c>
      <c r="L61" s="10" t="inlineStr">
        <is>
          <t>2026-09-16</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UK-000229</t>
        </is>
      </c>
      <c r="B62" s="5" t="inlineStr">
        <is>
          <t>eCigarette Outlet Scunthorpe</t>
        </is>
      </c>
      <c r="C62" s="5" t="inlineStr">
        <is>
          <t>Scunthorpe</t>
        </is>
      </c>
      <c r="D62" s="5" t="inlineStr">
        <is>
          <t>Vape Shop</t>
        </is>
      </c>
      <c r="E62" s="5" t="inlineStr">
        <is>
          <t>High</t>
        </is>
      </c>
      <c r="F62" s="5" t="inlineStr"/>
      <c r="G62" s="5" t="inlineStr">
        <is>
          <t>customer.service@ecigaretteoutlet.co.uk</t>
        </is>
      </c>
      <c r="H62" s="5" t="inlineStr"/>
      <c r="I62" s="5" t="inlineStr"/>
      <c r="J62" s="5" t="inlineStr"/>
      <c r="K62" s="5" t="inlineStr">
        <is>
          <t>New</t>
        </is>
      </c>
      <c r="L62" s="5" t="inlineStr">
        <is>
          <t>2026-09-16</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UK-000230</t>
        </is>
      </c>
      <c r="B63" s="10" t="inlineStr">
        <is>
          <t>iVape Harrogate</t>
        </is>
      </c>
      <c r="C63" s="10" t="inlineStr">
        <is>
          <t>Harrogate</t>
        </is>
      </c>
      <c r="D63" s="10" t="inlineStr">
        <is>
          <t>Vape Shop</t>
        </is>
      </c>
      <c r="E63" s="10" t="inlineStr">
        <is>
          <t>High</t>
        </is>
      </c>
      <c r="F63" s="10" t="inlineStr">
        <is>
          <t>01423 509009</t>
        </is>
      </c>
      <c r="G63" s="10" t="inlineStr"/>
      <c r="H63" s="10" t="inlineStr"/>
      <c r="I63" s="10" t="inlineStr"/>
      <c r="J63" s="10" t="inlineStr"/>
      <c r="K63" s="10" t="inlineStr">
        <is>
          <t>New</t>
        </is>
      </c>
      <c r="L63" s="10" t="inlineStr">
        <is>
          <t>2026-09-16</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UK-000231</t>
        </is>
      </c>
      <c r="B64" s="5" t="inlineStr">
        <is>
          <t>A Touch of Glass</t>
        </is>
      </c>
      <c r="C64" s="5" t="inlineStr">
        <is>
          <t>Bridlington</t>
        </is>
      </c>
      <c r="D64" s="5" t="inlineStr">
        <is>
          <t>Vape Shop</t>
        </is>
      </c>
      <c r="E64" s="5" t="inlineStr">
        <is>
          <t>Medium</t>
        </is>
      </c>
      <c r="F64" s="5" t="inlineStr">
        <is>
          <t>01262 677677</t>
        </is>
      </c>
      <c r="G64" s="5" t="inlineStr"/>
      <c r="H64" s="5" t="inlineStr"/>
      <c r="I64" s="5" t="inlineStr"/>
      <c r="J64" s="5" t="inlineStr"/>
      <c r="K64" s="5" t="inlineStr">
        <is>
          <t>New</t>
        </is>
      </c>
      <c r="L64" s="5" t="inlineStr">
        <is>
          <t>2026-09-16</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WY-0048</t>
        </is>
      </c>
      <c r="B65" s="10" t="inlineStr">
        <is>
          <t>AV &amp; JI Stores</t>
        </is>
      </c>
      <c r="C65" s="10" t="inlineStr">
        <is>
          <t>Sowerby Bridge</t>
        </is>
      </c>
      <c r="D65" s="10" t="inlineStr">
        <is>
          <t>Convenience Store</t>
        </is>
      </c>
      <c r="E65" s="10" t="inlineStr">
        <is>
          <t>Medium</t>
        </is>
      </c>
      <c r="F65" s="10" t="inlineStr"/>
      <c r="G65" s="10" t="inlineStr"/>
      <c r="H65" s="10" t="inlineStr"/>
      <c r="I65" s="10" t="inlineStr"/>
      <c r="J65" s="10" t="inlineStr"/>
      <c r="K65" s="10" t="inlineStr">
        <is>
          <t>New</t>
        </is>
      </c>
      <c r="L65" s="10" t="inlineStr">
        <is>
          <t>2026-09-16</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UK-000233</t>
        </is>
      </c>
      <c r="B66" s="5" t="inlineStr">
        <is>
          <t>Agha Lounge</t>
        </is>
      </c>
      <c r="C66" s="5" t="inlineStr">
        <is>
          <t>Sheffield</t>
        </is>
      </c>
      <c r="D66" s="5" t="inlineStr">
        <is>
          <t>Smoke / Shisha Shop</t>
        </is>
      </c>
      <c r="E66" s="5" t="inlineStr">
        <is>
          <t>Medium</t>
        </is>
      </c>
      <c r="F66" s="5" t="inlineStr"/>
      <c r="G66" s="5" t="inlineStr"/>
      <c r="H66" s="5" t="inlineStr"/>
      <c r="I66" s="5" t="inlineStr"/>
      <c r="J66" s="5" t="inlineStr"/>
      <c r="K66" s="5" t="inlineStr">
        <is>
          <t>New</t>
        </is>
      </c>
      <c r="L66" s="5" t="inlineStr">
        <is>
          <t>2026-09-16</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UK-000234</t>
        </is>
      </c>
      <c r="B67" s="10" t="inlineStr">
        <is>
          <t>Ainsty Farm Shop</t>
        </is>
      </c>
      <c r="C67" s="10" t="inlineStr">
        <is>
          <t>York</t>
        </is>
      </c>
      <c r="D67" s="10" t="inlineStr">
        <is>
          <t>Independent Supermarket</t>
        </is>
      </c>
      <c r="E67" s="10" t="inlineStr">
        <is>
          <t>Medium</t>
        </is>
      </c>
      <c r="F67" s="10" t="inlineStr">
        <is>
          <t>01423 331897</t>
        </is>
      </c>
      <c r="G67" s="10" t="inlineStr"/>
      <c r="H67" s="10" t="inlineStr"/>
      <c r="I67" s="10" t="inlineStr">
        <is>
          <t>Stuart and Lily Beaton</t>
        </is>
      </c>
      <c r="J67" s="10" t="inlineStr">
        <is>
          <t>Owners</t>
        </is>
      </c>
      <c r="K67" s="10" t="inlineStr">
        <is>
          <t>New</t>
        </is>
      </c>
      <c r="L67" s="10" t="inlineStr">
        <is>
          <t>2026-09-16</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WY-0049</t>
        </is>
      </c>
      <c r="B68" s="5" t="inlineStr">
        <is>
          <t>Al-Falah Supermarket</t>
        </is>
      </c>
      <c r="C68" s="5" t="inlineStr">
        <is>
          <t>Bradford</t>
        </is>
      </c>
      <c r="D68" s="5" t="inlineStr">
        <is>
          <t>Independent Supermarket</t>
        </is>
      </c>
      <c r="E68" s="5" t="inlineStr">
        <is>
          <t>Medium</t>
        </is>
      </c>
      <c r="F68" s="5" t="inlineStr"/>
      <c r="G68" s="5" t="inlineStr"/>
      <c r="H68" s="5" t="inlineStr"/>
      <c r="I68" s="5" t="inlineStr"/>
      <c r="J68" s="5" t="inlineStr"/>
      <c r="K68" s="5" t="inlineStr">
        <is>
          <t>New</t>
        </is>
      </c>
      <c r="L68" s="5" t="inlineStr">
        <is>
          <t>2026-09-16</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UK-000235</t>
        </is>
      </c>
      <c r="B69" s="10" t="inlineStr">
        <is>
          <t>Alchemist Vape Shop Parkgate</t>
        </is>
      </c>
      <c r="C69" s="10" t="inlineStr">
        <is>
          <t>Rotherham</t>
        </is>
      </c>
      <c r="D69" s="10" t="inlineStr">
        <is>
          <t>Vape Shop</t>
        </is>
      </c>
      <c r="E69" s="10" t="inlineStr">
        <is>
          <t>Medium</t>
        </is>
      </c>
      <c r="F69" s="10" t="inlineStr"/>
      <c r="G69" s="10" t="inlineStr"/>
      <c r="H69" s="10" t="inlineStr"/>
      <c r="I69" s="10" t="inlineStr"/>
      <c r="J69" s="10" t="inlineStr"/>
      <c r="K69" s="10" t="inlineStr">
        <is>
          <t>New</t>
        </is>
      </c>
      <c r="L69" s="10" t="inlineStr">
        <is>
          <t>2026-09-16</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UK-000236</t>
        </is>
      </c>
      <c r="B70" s="5" t="inlineStr">
        <is>
          <t>Angel Smoke e-Cigarettes</t>
        </is>
      </c>
      <c r="C70" s="5" t="inlineStr">
        <is>
          <t>Rotherham</t>
        </is>
      </c>
      <c r="D70" s="5" t="inlineStr">
        <is>
          <t>Vape Shop</t>
        </is>
      </c>
      <c r="E70" s="5" t="inlineStr">
        <is>
          <t>Medium</t>
        </is>
      </c>
      <c r="F70" s="5" t="inlineStr">
        <is>
          <t>01709 322634</t>
        </is>
      </c>
      <c r="G70" s="5" t="inlineStr"/>
      <c r="H70" s="5" t="inlineStr"/>
      <c r="I70" s="5" t="inlineStr"/>
      <c r="J70" s="5" t="inlineStr"/>
      <c r="K70" s="5" t="inlineStr">
        <is>
          <t>New</t>
        </is>
      </c>
      <c r="L70" s="5" t="inlineStr">
        <is>
          <t>2026-09-16</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WY-0051</t>
        </is>
      </c>
      <c r="B71" s="10" t="inlineStr">
        <is>
          <t>Armley Ridge Road Convenience Store &amp; Off-Licence</t>
        </is>
      </c>
      <c r="C71" s="10" t="inlineStr">
        <is>
          <t>Leeds</t>
        </is>
      </c>
      <c r="D71" s="10" t="inlineStr">
        <is>
          <t>Convenience Store</t>
        </is>
      </c>
      <c r="E71" s="10" t="inlineStr">
        <is>
          <t>Medium</t>
        </is>
      </c>
      <c r="F71" s="10" t="inlineStr"/>
      <c r="G71" s="10" t="inlineStr"/>
      <c r="H71" s="10" t="inlineStr"/>
      <c r="I71" s="10" t="inlineStr"/>
      <c r="J71" s="10" t="inlineStr"/>
      <c r="K71" s="10" t="inlineStr">
        <is>
          <t>New</t>
        </is>
      </c>
      <c r="L71" s="10" t="inlineStr">
        <is>
          <t>2026-09-16</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WY-0054</t>
        </is>
      </c>
      <c r="B72" s="5" t="inlineStr">
        <is>
          <t>Azeem's Vape Shop</t>
        </is>
      </c>
      <c r="C72" s="5" t="inlineStr">
        <is>
          <t>Todmorden</t>
        </is>
      </c>
      <c r="D72" s="5" t="inlineStr">
        <is>
          <t>Vape Shop</t>
        </is>
      </c>
      <c r="E72" s="5" t="inlineStr">
        <is>
          <t>Medium</t>
        </is>
      </c>
      <c r="F72" s="5" t="inlineStr"/>
      <c r="G72" s="5" t="inlineStr"/>
      <c r="H72" s="5" t="inlineStr"/>
      <c r="I72" s="5" t="inlineStr"/>
      <c r="J72" s="5" t="inlineStr"/>
      <c r="K72" s="5" t="inlineStr">
        <is>
          <t>New</t>
        </is>
      </c>
      <c r="L72" s="5" t="inlineStr">
        <is>
          <t>2026-09-16</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WY-0055</t>
        </is>
      </c>
      <c r="B73" s="10" t="inlineStr">
        <is>
          <t>BGC Wholesale</t>
        </is>
      </c>
      <c r="C73" s="10" t="inlineStr">
        <is>
          <t>Bradford</t>
        </is>
      </c>
      <c r="D73" s="10" t="inlineStr">
        <is>
          <t>Cash &amp; Carry</t>
        </is>
      </c>
      <c r="E73" s="10" t="inlineStr">
        <is>
          <t>Medium</t>
        </is>
      </c>
      <c r="F73" s="10" t="inlineStr">
        <is>
          <t>01274 651059</t>
        </is>
      </c>
      <c r="G73" s="10" t="inlineStr"/>
      <c r="H73" s="10" t="inlineStr"/>
      <c r="I73" s="10" t="inlineStr"/>
      <c r="J73" s="10" t="inlineStr"/>
      <c r="K73" s="10" t="inlineStr">
        <is>
          <t>New</t>
        </is>
      </c>
      <c r="L73" s="10" t="inlineStr">
        <is>
          <t>2026-09-16</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WY-0034</t>
        </is>
      </c>
      <c r="B74" s="5" t="inlineStr">
        <is>
          <t>BP Gledhow Service Station (Valli Forecourts)</t>
        </is>
      </c>
      <c r="C74" s="5" t="inlineStr">
        <is>
          <t>Leeds</t>
        </is>
      </c>
      <c r="D74" s="5" t="inlineStr">
        <is>
          <t>Petrol Station / Forecourt</t>
        </is>
      </c>
      <c r="E74" s="5" t="inlineStr">
        <is>
          <t>Medium</t>
        </is>
      </c>
      <c r="F74" s="5" t="inlineStr"/>
      <c r="G74" s="5" t="inlineStr"/>
      <c r="H74" s="5" t="inlineStr"/>
      <c r="I74" s="5" t="inlineStr"/>
      <c r="J74" s="5" t="inlineStr"/>
      <c r="K74" s="5" t="inlineStr">
        <is>
          <t>New</t>
        </is>
      </c>
      <c r="L74" s="5" t="inlineStr">
        <is>
          <t>2026-09-16</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UK-000237</t>
        </is>
      </c>
      <c r="B75" s="10" t="inlineStr">
        <is>
          <t>Bargains Cash &amp; Carry Ltd</t>
        </is>
      </c>
      <c r="C75" s="10" t="inlineStr">
        <is>
          <t>Sheffield</t>
        </is>
      </c>
      <c r="D75" s="10" t="inlineStr">
        <is>
          <t>Cash &amp; Carry</t>
        </is>
      </c>
      <c r="E75" s="10" t="inlineStr">
        <is>
          <t>Medium</t>
        </is>
      </c>
      <c r="F75" s="10" t="inlineStr"/>
      <c r="G75" s="10" t="inlineStr"/>
      <c r="H75" s="10" t="inlineStr"/>
      <c r="I75" s="10" t="inlineStr"/>
      <c r="J75" s="10" t="inlineStr"/>
      <c r="K75" s="10" t="inlineStr">
        <is>
          <t>New</t>
        </is>
      </c>
      <c r="L75" s="10" t="inlineStr">
        <is>
          <t>2026-09-16</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WY-0060</t>
        </is>
      </c>
      <c r="B76" s="5" t="inlineStr">
        <is>
          <t>Batley Bargain Centre</t>
        </is>
      </c>
      <c r="C76" s="5" t="inlineStr">
        <is>
          <t>Batley</t>
        </is>
      </c>
      <c r="D76" s="5" t="inlineStr">
        <is>
          <t>Other Relevant Retail</t>
        </is>
      </c>
      <c r="E76" s="5" t="inlineStr">
        <is>
          <t>Medium</t>
        </is>
      </c>
      <c r="F76" s="5" t="inlineStr">
        <is>
          <t>01924 475600</t>
        </is>
      </c>
      <c r="G76" s="5" t="inlineStr">
        <is>
          <t>javorange@yahoo.co.uk</t>
        </is>
      </c>
      <c r="H76" s="5" t="inlineStr"/>
      <c r="I76" s="5" t="inlineStr"/>
      <c r="J76" s="5" t="inlineStr"/>
      <c r="K76" s="5" t="inlineStr">
        <is>
          <t>New</t>
        </is>
      </c>
      <c r="L76" s="5" t="inlineStr">
        <is>
          <t>2026-09-16</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WY-0062</t>
        </is>
      </c>
      <c r="B77" s="10" t="inlineStr">
        <is>
          <t>Bespoke Shisha</t>
        </is>
      </c>
      <c r="C77" s="10" t="inlineStr">
        <is>
          <t>Dewsbury</t>
        </is>
      </c>
      <c r="D77" s="10" t="inlineStr">
        <is>
          <t>Smoke / Shisha Shop</t>
        </is>
      </c>
      <c r="E77" s="10" t="inlineStr">
        <is>
          <t>Medium</t>
        </is>
      </c>
      <c r="F77" s="10" t="inlineStr"/>
      <c r="G77" s="10" t="inlineStr"/>
      <c r="H77" s="10" t="inlineStr"/>
      <c r="I77" s="10" t="inlineStr"/>
      <c r="J77" s="10" t="inlineStr"/>
      <c r="K77" s="10" t="inlineStr">
        <is>
          <t>New</t>
        </is>
      </c>
      <c r="L77" s="10" t="inlineStr">
        <is>
          <t>2026-09-16</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WY-0064</t>
        </is>
      </c>
      <c r="B78" s="5" t="inlineStr">
        <is>
          <t>Big D Vapes</t>
        </is>
      </c>
      <c r="C78" s="5" t="inlineStr">
        <is>
          <t>Slaithwaite</t>
        </is>
      </c>
      <c r="D78" s="5" t="inlineStr">
        <is>
          <t>Vape Shop</t>
        </is>
      </c>
      <c r="E78" s="5" t="inlineStr">
        <is>
          <t>Medium</t>
        </is>
      </c>
      <c r="F78" s="5" t="inlineStr">
        <is>
          <t>01484 843253</t>
        </is>
      </c>
      <c r="G78" s="5" t="inlineStr"/>
      <c r="H78" s="5" t="inlineStr"/>
      <c r="I78" s="5" t="inlineStr"/>
      <c r="J78" s="5" t="inlineStr"/>
      <c r="K78" s="5" t="inlineStr">
        <is>
          <t>New</t>
        </is>
      </c>
      <c r="L78" s="5" t="inlineStr">
        <is>
          <t>2026-09-16</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WY-0065</t>
        </is>
      </c>
      <c r="B79" s="10" t="inlineStr">
        <is>
          <t>Bingley Vape Shop</t>
        </is>
      </c>
      <c r="C79" s="10" t="inlineStr">
        <is>
          <t>Bingley</t>
        </is>
      </c>
      <c r="D79" s="10" t="inlineStr">
        <is>
          <t>Vape Shop</t>
        </is>
      </c>
      <c r="E79" s="10" t="inlineStr">
        <is>
          <t>Medium</t>
        </is>
      </c>
      <c r="F79" s="10" t="inlineStr">
        <is>
          <t>01535 213290</t>
        </is>
      </c>
      <c r="G79" s="10" t="inlineStr"/>
      <c r="H79" s="10" t="inlineStr"/>
      <c r="I79" s="10" t="inlineStr"/>
      <c r="J79" s="10" t="inlineStr"/>
      <c r="K79" s="10" t="inlineStr">
        <is>
          <t>New</t>
        </is>
      </c>
      <c r="L79" s="10" t="inlineStr">
        <is>
          <t>2026-09-16</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WY-0067</t>
        </is>
      </c>
      <c r="B80" s="5" t="inlineStr">
        <is>
          <t>Booze Express</t>
        </is>
      </c>
      <c r="C80" s="5" t="inlineStr">
        <is>
          <t>Halifax</t>
        </is>
      </c>
      <c r="D80" s="5" t="inlineStr">
        <is>
          <t>Off-Licence</t>
        </is>
      </c>
      <c r="E80" s="5" t="inlineStr">
        <is>
          <t>Medium</t>
        </is>
      </c>
      <c r="F80" s="5" t="inlineStr"/>
      <c r="G80" s="5" t="inlineStr"/>
      <c r="H80" s="5" t="inlineStr"/>
      <c r="I80" s="5" t="inlineStr"/>
      <c r="J80" s="5" t="inlineStr"/>
      <c r="K80" s="5" t="inlineStr">
        <is>
          <t>New</t>
        </is>
      </c>
      <c r="L80" s="5" t="inlineStr">
        <is>
          <t>2026-09-16</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WY-0071</t>
        </is>
      </c>
      <c r="B81" s="10" t="inlineStr">
        <is>
          <t>C Booth and Son</t>
        </is>
      </c>
      <c r="C81" s="10" t="inlineStr">
        <is>
          <t>Huddersfield</t>
        </is>
      </c>
      <c r="D81" s="10" t="inlineStr">
        <is>
          <t>Tobacco Specialist</t>
        </is>
      </c>
      <c r="E81" s="10" t="inlineStr">
        <is>
          <t>Medium</t>
        </is>
      </c>
      <c r="F81" s="10" t="inlineStr"/>
      <c r="G81" s="10" t="inlineStr"/>
      <c r="H81" s="10" t="inlineStr"/>
      <c r="I81" s="10" t="inlineStr"/>
      <c r="J81" s="10" t="inlineStr"/>
      <c r="K81" s="10" t="inlineStr">
        <is>
          <t>New</t>
        </is>
      </c>
      <c r="L81" s="10" t="inlineStr">
        <is>
          <t>2026-09-16</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UK-000239</t>
        </is>
      </c>
      <c r="B82" s="5" t="inlineStr">
        <is>
          <t>CK Fast Food Suppliers</t>
        </is>
      </c>
      <c r="C82" s="5" t="inlineStr">
        <is>
          <t>Kingston upon Hull</t>
        </is>
      </c>
      <c r="D82" s="5" t="inlineStr">
        <is>
          <t>Cash &amp; Carry</t>
        </is>
      </c>
      <c r="E82" s="5" t="inlineStr">
        <is>
          <t>Medium</t>
        </is>
      </c>
      <c r="F82" s="5" t="inlineStr"/>
      <c r="G82" s="5" t="inlineStr"/>
      <c r="H82" s="5" t="inlineStr"/>
      <c r="I82" s="5" t="inlineStr"/>
      <c r="J82" s="5" t="inlineStr"/>
      <c r="K82" s="5" t="inlineStr">
        <is>
          <t>New</t>
        </is>
      </c>
      <c r="L82" s="5" t="inlineStr">
        <is>
          <t>2026-09-16</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WY-0073</t>
        </is>
      </c>
      <c r="B83" s="10" t="inlineStr">
        <is>
          <t>Caspar's Bottle Shop</t>
        </is>
      </c>
      <c r="C83" s="10" t="inlineStr">
        <is>
          <t>Leeds</t>
        </is>
      </c>
      <c r="D83" s="10" t="inlineStr">
        <is>
          <t>Off-Licence</t>
        </is>
      </c>
      <c r="E83" s="10" t="inlineStr">
        <is>
          <t>Medium</t>
        </is>
      </c>
      <c r="F83" s="10" t="inlineStr">
        <is>
          <t>0113 237 4554</t>
        </is>
      </c>
      <c r="G83" s="10" t="inlineStr"/>
      <c r="H83" s="10" t="inlineStr"/>
      <c r="I83" s="10" t="inlineStr"/>
      <c r="J83" s="10" t="inlineStr"/>
      <c r="K83" s="10" t="inlineStr">
        <is>
          <t>New</t>
        </is>
      </c>
      <c r="L83" s="10" t="inlineStr">
        <is>
          <t>2026-09-16</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WY-0016</t>
        </is>
      </c>
      <c r="B84" s="5" t="inlineStr">
        <is>
          <t>Chidswell Service Station (Karan Retail)</t>
        </is>
      </c>
      <c r="C84" s="5" t="inlineStr">
        <is>
          <t>Dewsbury</t>
        </is>
      </c>
      <c r="D84" s="5" t="inlineStr">
        <is>
          <t>Petrol Station / Forecourt</t>
        </is>
      </c>
      <c r="E84" s="5" t="inlineStr">
        <is>
          <t>Medium</t>
        </is>
      </c>
      <c r="F84" s="5" t="inlineStr"/>
      <c r="G84" s="5" t="inlineStr"/>
      <c r="H84" s="5" t="inlineStr"/>
      <c r="I84" s="5" t="inlineStr"/>
      <c r="J84" s="5" t="inlineStr"/>
      <c r="K84" s="5" t="inlineStr">
        <is>
          <t>New</t>
        </is>
      </c>
      <c r="L84" s="5" t="inlineStr">
        <is>
          <t>2026-09-16</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UK-000241</t>
        </is>
      </c>
      <c r="B85" s="10" t="inlineStr">
        <is>
          <t>Cirrus Vape Hull</t>
        </is>
      </c>
      <c r="C85" s="10" t="inlineStr">
        <is>
          <t>Kingston upon Hull</t>
        </is>
      </c>
      <c r="D85" s="10" t="inlineStr">
        <is>
          <t>Vape Shop</t>
        </is>
      </c>
      <c r="E85" s="10" t="inlineStr">
        <is>
          <t>Medium</t>
        </is>
      </c>
      <c r="F85" s="10" t="inlineStr"/>
      <c r="G85" s="10" t="inlineStr"/>
      <c r="H85" s="10" t="inlineStr"/>
      <c r="I85" s="10" t="inlineStr"/>
      <c r="J85" s="10" t="inlineStr"/>
      <c r="K85" s="10" t="inlineStr">
        <is>
          <t>New</t>
        </is>
      </c>
      <c r="L85" s="10" t="inlineStr">
        <is>
          <t>2026-09-16</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UK-000195</t>
        </is>
      </c>
      <c r="B86" s="5" t="inlineStr">
        <is>
          <t>Costcutter Tadcaster</t>
        </is>
      </c>
      <c r="C86" s="5" t="inlineStr">
        <is>
          <t>Tadcaster</t>
        </is>
      </c>
      <c r="D86" s="5" t="inlineStr">
        <is>
          <t>Convenience Store</t>
        </is>
      </c>
      <c r="E86" s="5" t="inlineStr">
        <is>
          <t>Medium</t>
        </is>
      </c>
      <c r="F86" s="5" t="inlineStr"/>
      <c r="G86" s="5" t="inlineStr"/>
      <c r="H86" s="5" t="inlineStr"/>
      <c r="I86" s="5" t="inlineStr"/>
      <c r="J86" s="5" t="inlineStr"/>
      <c r="K86" s="5" t="inlineStr">
        <is>
          <t>New</t>
        </is>
      </c>
      <c r="L86" s="5" t="inlineStr">
        <is>
          <t>2026-09-16</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WY-0076</t>
        </is>
      </c>
      <c r="B87" s="10" t="inlineStr">
        <is>
          <t>Costcutter Wibsey</t>
        </is>
      </c>
      <c r="C87" s="10" t="inlineStr">
        <is>
          <t>Bradford</t>
        </is>
      </c>
      <c r="D87" s="10" t="inlineStr">
        <is>
          <t>Convenience Store</t>
        </is>
      </c>
      <c r="E87" s="10" t="inlineStr">
        <is>
          <t>Medium</t>
        </is>
      </c>
      <c r="F87" s="10" t="inlineStr">
        <is>
          <t>01274 723454</t>
        </is>
      </c>
      <c r="G87" s="10" t="inlineStr"/>
      <c r="H87" s="10" t="inlineStr"/>
      <c r="I87" s="10" t="inlineStr"/>
      <c r="J87" s="10" t="inlineStr"/>
      <c r="K87" s="10" t="inlineStr">
        <is>
          <t>New</t>
        </is>
      </c>
      <c r="L87" s="10" t="inlineStr">
        <is>
          <t>2026-09-16</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WY-0077</t>
        </is>
      </c>
      <c r="B88" s="5" t="inlineStr">
        <is>
          <t>Cote Hill Filling Station</t>
        </is>
      </c>
      <c r="C88" s="5" t="inlineStr">
        <is>
          <t>Halifax</t>
        </is>
      </c>
      <c r="D88" s="5" t="inlineStr">
        <is>
          <t>Petrol Station / Forecourt</t>
        </is>
      </c>
      <c r="E88" s="5" t="inlineStr">
        <is>
          <t>Medium</t>
        </is>
      </c>
      <c r="F88" s="5" t="inlineStr">
        <is>
          <t>01422 835350</t>
        </is>
      </c>
      <c r="G88" s="5" t="inlineStr">
        <is>
          <t>cotehillhalifax@gmail.com</t>
        </is>
      </c>
      <c r="H88" s="5" t="inlineStr"/>
      <c r="I88" s="5" t="inlineStr"/>
      <c r="J88" s="5" t="inlineStr"/>
      <c r="K88" s="5" t="inlineStr">
        <is>
          <t>New</t>
        </is>
      </c>
      <c r="L88" s="5" t="inlineStr">
        <is>
          <t>2026-09-16</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UK-000242</t>
        </is>
      </c>
      <c r="B89" s="10" t="inlineStr">
        <is>
          <t>Cram Vape Doncaster</t>
        </is>
      </c>
      <c r="C89" s="10" t="inlineStr">
        <is>
          <t>Doncaster</t>
        </is>
      </c>
      <c r="D89" s="10" t="inlineStr">
        <is>
          <t>Vape Shop</t>
        </is>
      </c>
      <c r="E89" s="10" t="inlineStr">
        <is>
          <t>Medium</t>
        </is>
      </c>
      <c r="F89" s="10" t="inlineStr"/>
      <c r="G89" s="10" t="inlineStr"/>
      <c r="H89" s="10" t="inlineStr"/>
      <c r="I89" s="10" t="inlineStr"/>
      <c r="J89" s="10" t="inlineStr"/>
      <c r="K89" s="10" t="inlineStr">
        <is>
          <t>New</t>
        </is>
      </c>
      <c r="L89" s="10" t="inlineStr">
        <is>
          <t>2026-09-16</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WY-0078</t>
        </is>
      </c>
      <c r="B90" s="5" t="inlineStr">
        <is>
          <t>Crazycloudzzz</t>
        </is>
      </c>
      <c r="C90" s="5" t="inlineStr">
        <is>
          <t>Halifax</t>
        </is>
      </c>
      <c r="D90" s="5" t="inlineStr">
        <is>
          <t>Vape Shop</t>
        </is>
      </c>
      <c r="E90" s="5" t="inlineStr">
        <is>
          <t>Medium</t>
        </is>
      </c>
      <c r="F90" s="5" t="inlineStr"/>
      <c r="G90" s="5" t="inlineStr"/>
      <c r="H90" s="5" t="inlineStr"/>
      <c r="I90" s="5" t="inlineStr"/>
      <c r="J90" s="5" t="inlineStr"/>
      <c r="K90" s="5" t="inlineStr">
        <is>
          <t>New</t>
        </is>
      </c>
      <c r="L90" s="5" t="inlineStr">
        <is>
          <t>2026-09-16</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WY-0025</t>
        </is>
      </c>
      <c r="B91" s="10" t="inlineStr">
        <is>
          <t>Dewsbury Service Station (Savile Petroleum)</t>
        </is>
      </c>
      <c r="C91" s="10" t="inlineStr">
        <is>
          <t>Dewsbury</t>
        </is>
      </c>
      <c r="D91" s="10" t="inlineStr">
        <is>
          <t>Petrol Station / Forecourt</t>
        </is>
      </c>
      <c r="E91" s="10" t="inlineStr">
        <is>
          <t>Medium</t>
        </is>
      </c>
      <c r="F91" s="10" t="inlineStr"/>
      <c r="G91" s="10" t="inlineStr"/>
      <c r="H91" s="10" t="inlineStr"/>
      <c r="I91" s="10" t="inlineStr"/>
      <c r="J91" s="10" t="inlineStr"/>
      <c r="K91" s="10" t="inlineStr">
        <is>
          <t>New</t>
        </is>
      </c>
      <c r="L91" s="10" t="inlineStr">
        <is>
          <t>2026-09-16</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WY-0081</t>
        </is>
      </c>
      <c r="B92" s="5" t="inlineStr">
        <is>
          <t>ECigarette Outlet</t>
        </is>
      </c>
      <c r="C92" s="5" t="inlineStr">
        <is>
          <t>Shipley</t>
        </is>
      </c>
      <c r="D92" s="5" t="inlineStr">
        <is>
          <t>Vape Shop</t>
        </is>
      </c>
      <c r="E92" s="5" t="inlineStr">
        <is>
          <t>Medium</t>
        </is>
      </c>
      <c r="F92" s="5" t="inlineStr"/>
      <c r="G92" s="5" t="inlineStr"/>
      <c r="H92" s="5" t="inlineStr"/>
      <c r="I92" s="5" t="inlineStr"/>
      <c r="J92" s="5" t="inlineStr"/>
      <c r="K92" s="5" t="inlineStr">
        <is>
          <t>New</t>
        </is>
      </c>
      <c r="L92" s="5" t="inlineStr">
        <is>
          <t>2026-09-16</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WY-0082</t>
        </is>
      </c>
      <c r="B93" s="10" t="inlineStr">
        <is>
          <t>Ecig N Vape</t>
        </is>
      </c>
      <c r="C93" s="10" t="inlineStr">
        <is>
          <t>Heckmondwike</t>
        </is>
      </c>
      <c r="D93" s="10" t="inlineStr">
        <is>
          <t>Vape Shop</t>
        </is>
      </c>
      <c r="E93" s="10" t="inlineStr">
        <is>
          <t>Medium</t>
        </is>
      </c>
      <c r="F93" s="10" t="inlineStr">
        <is>
          <t>01924 402342</t>
        </is>
      </c>
      <c r="G93" s="10" t="inlineStr"/>
      <c r="H93" s="10" t="inlineStr"/>
      <c r="I93" s="10" t="inlineStr"/>
      <c r="J93" s="10" t="inlineStr"/>
      <c r="K93" s="10" t="inlineStr">
        <is>
          <t>New</t>
        </is>
      </c>
      <c r="L93" s="10" t="inlineStr">
        <is>
          <t>2026-09-16</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UK-000243</t>
        </is>
      </c>
      <c r="B94" s="5" t="inlineStr">
        <is>
          <t>Ecigbox Northallerton</t>
        </is>
      </c>
      <c r="C94" s="5" t="inlineStr">
        <is>
          <t>Northallerton</t>
        </is>
      </c>
      <c r="D94" s="5" t="inlineStr">
        <is>
          <t>Vape Shop</t>
        </is>
      </c>
      <c r="E94" s="5" t="inlineStr">
        <is>
          <t>Medium</t>
        </is>
      </c>
      <c r="F94" s="5" t="inlineStr"/>
      <c r="G94" s="5" t="inlineStr"/>
      <c r="H94" s="5" t="inlineStr"/>
      <c r="I94" s="5" t="inlineStr"/>
      <c r="J94" s="5" t="inlineStr"/>
      <c r="K94" s="5" t="inlineStr">
        <is>
          <t>New</t>
        </is>
      </c>
      <c r="L94" s="5" t="inlineStr">
        <is>
          <t>2026-09-16</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UK-000197</t>
        </is>
      </c>
      <c r="B95" s="10" t="inlineStr">
        <is>
          <t>Electric Vaper Barnsley</t>
        </is>
      </c>
      <c r="C95" s="10" t="inlineStr">
        <is>
          <t>Barnsley</t>
        </is>
      </c>
      <c r="D95" s="10" t="inlineStr">
        <is>
          <t>Vape Shop</t>
        </is>
      </c>
      <c r="E95" s="10" t="inlineStr">
        <is>
          <t>Medium</t>
        </is>
      </c>
      <c r="F95" s="10" t="inlineStr"/>
      <c r="G95" s="10" t="inlineStr"/>
      <c r="H95" s="10" t="inlineStr"/>
      <c r="I95" s="10" t="inlineStr"/>
      <c r="J95" s="10" t="inlineStr"/>
      <c r="K95" s="10" t="inlineStr">
        <is>
          <t>New</t>
        </is>
      </c>
      <c r="L95" s="10" t="inlineStr">
        <is>
          <t>2026-09-16</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WY-0083</t>
        </is>
      </c>
      <c r="B96" s="5" t="inlineStr">
        <is>
          <t>Emporium Vapez</t>
        </is>
      </c>
      <c r="C96" s="5" t="inlineStr">
        <is>
          <t>Dewsbury</t>
        </is>
      </c>
      <c r="D96" s="5" t="inlineStr">
        <is>
          <t>Vape Shop</t>
        </is>
      </c>
      <c r="E96" s="5" t="inlineStr">
        <is>
          <t>Medium</t>
        </is>
      </c>
      <c r="F96" s="5" t="inlineStr">
        <is>
          <t>07375 706970</t>
        </is>
      </c>
      <c r="G96" s="5" t="inlineStr"/>
      <c r="H96" s="5" t="inlineStr"/>
      <c r="I96" s="5" t="inlineStr"/>
      <c r="J96" s="5" t="inlineStr"/>
      <c r="K96" s="5" t="inlineStr">
        <is>
          <t>New</t>
        </is>
      </c>
      <c r="L96" s="5" t="inlineStr">
        <is>
          <t>2026-09-16</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UK-000244</t>
        </is>
      </c>
      <c r="B97" s="10" t="inlineStr">
        <is>
          <t>Fantasy Vapez</t>
        </is>
      </c>
      <c r="C97" s="10" t="inlineStr">
        <is>
          <t>Cleethorpes</t>
        </is>
      </c>
      <c r="D97" s="10" t="inlineStr">
        <is>
          <t>Vape Shop</t>
        </is>
      </c>
      <c r="E97" s="10" t="inlineStr">
        <is>
          <t>Medium</t>
        </is>
      </c>
      <c r="F97" s="10" t="inlineStr"/>
      <c r="G97" s="10" t="inlineStr"/>
      <c r="H97" s="10" t="inlineStr"/>
      <c r="I97" s="10" t="inlineStr"/>
      <c r="J97" s="10" t="inlineStr"/>
      <c r="K97" s="10" t="inlineStr">
        <is>
          <t>New</t>
        </is>
      </c>
      <c r="L97" s="10" t="inlineStr">
        <is>
          <t>2026-09-16</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WY-0084</t>
        </is>
      </c>
      <c r="B98" s="5" t="inlineStr">
        <is>
          <t>FilFoods Filipino Store</t>
        </is>
      </c>
      <c r="C98" s="5" t="inlineStr">
        <is>
          <t>Leeds</t>
        </is>
      </c>
      <c r="D98" s="5" t="inlineStr">
        <is>
          <t>Independent Supermarket</t>
        </is>
      </c>
      <c r="E98" s="5" t="inlineStr">
        <is>
          <t>Medium</t>
        </is>
      </c>
      <c r="F98" s="5" t="inlineStr">
        <is>
          <t>0113 440 1031</t>
        </is>
      </c>
      <c r="G98" s="5" t="inlineStr"/>
      <c r="H98" s="5" t="inlineStr"/>
      <c r="I98" s="5" t="inlineStr"/>
      <c r="J98" s="5" t="inlineStr"/>
      <c r="K98" s="5" t="inlineStr">
        <is>
          <t>New</t>
        </is>
      </c>
      <c r="L98" s="5" t="inlineStr">
        <is>
          <t>2026-09-16</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UK-000245</t>
        </is>
      </c>
      <c r="B99" s="10" t="inlineStr">
        <is>
          <t>First Choice Off Licence</t>
        </is>
      </c>
      <c r="C99" s="10" t="inlineStr">
        <is>
          <t>Sheffield</t>
        </is>
      </c>
      <c r="D99" s="10" t="inlineStr">
        <is>
          <t>Off-Licence</t>
        </is>
      </c>
      <c r="E99" s="10" t="inlineStr">
        <is>
          <t>Medium</t>
        </is>
      </c>
      <c r="F99" s="10" t="inlineStr"/>
      <c r="G99" s="10" t="inlineStr"/>
      <c r="H99" s="10" t="inlineStr"/>
      <c r="I99" s="10" t="inlineStr"/>
      <c r="J99" s="10" t="inlineStr"/>
      <c r="K99" s="10" t="inlineStr">
        <is>
          <t>New</t>
        </is>
      </c>
      <c r="L99" s="10" t="inlineStr">
        <is>
          <t>2026-09-16</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UK-000205</t>
        </is>
      </c>
      <c r="B100" s="5" t="inlineStr">
        <is>
          <t>Firth Park Convenience Store</t>
        </is>
      </c>
      <c r="C100" s="5" t="inlineStr">
        <is>
          <t>Sheffield</t>
        </is>
      </c>
      <c r="D100" s="5" t="inlineStr">
        <is>
          <t>Convenience Store</t>
        </is>
      </c>
      <c r="E100" s="5" t="inlineStr">
        <is>
          <t>Medium</t>
        </is>
      </c>
      <c r="F100" s="5" t="inlineStr"/>
      <c r="G100" s="5" t="inlineStr"/>
      <c r="H100" s="5" t="inlineStr"/>
      <c r="I100" s="5" t="inlineStr"/>
      <c r="J100" s="5" t="inlineStr"/>
      <c r="K100" s="5" t="inlineStr">
        <is>
          <t>New</t>
        </is>
      </c>
      <c r="L100" s="5" t="inlineStr">
        <is>
          <t>2026-09-16</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UK-000247</t>
        </is>
      </c>
      <c r="B101" s="10" t="inlineStr">
        <is>
          <t>FonFix &amp; Vape Shop</t>
        </is>
      </c>
      <c r="C101" s="10" t="inlineStr">
        <is>
          <t>Grimsby</t>
        </is>
      </c>
      <c r="D101" s="10" t="inlineStr">
        <is>
          <t>Vape Shop</t>
        </is>
      </c>
      <c r="E101" s="10" t="inlineStr">
        <is>
          <t>Medium</t>
        </is>
      </c>
      <c r="F101" s="10" t="inlineStr">
        <is>
          <t>07404 435088</t>
        </is>
      </c>
      <c r="G101" s="10" t="inlineStr"/>
      <c r="H101" s="10" t="inlineStr"/>
      <c r="I101" s="10" t="inlineStr"/>
      <c r="J101" s="10" t="inlineStr"/>
      <c r="K101" s="10" t="inlineStr">
        <is>
          <t>New</t>
        </is>
      </c>
      <c r="L101" s="10" t="inlineStr">
        <is>
          <t>2026-09-16</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UK-000199</t>
        </is>
      </c>
      <c r="B102" s="5" t="inlineStr">
        <is>
          <t>Food Plus Hexthorpe (Polski Sklep)</t>
        </is>
      </c>
      <c r="C102" s="5" t="inlineStr">
        <is>
          <t>Doncaster</t>
        </is>
      </c>
      <c r="D102" s="5" t="inlineStr">
        <is>
          <t>Independent Supermarket</t>
        </is>
      </c>
      <c r="E102" s="5" t="inlineStr">
        <is>
          <t>Medium</t>
        </is>
      </c>
      <c r="F102" s="5" t="inlineStr"/>
      <c r="G102" s="5" t="inlineStr"/>
      <c r="H102" s="5" t="inlineStr"/>
      <c r="I102" s="5" t="inlineStr"/>
      <c r="J102" s="5" t="inlineStr"/>
      <c r="K102" s="5" t="inlineStr">
        <is>
          <t>New</t>
        </is>
      </c>
      <c r="L102" s="5" t="inlineStr">
        <is>
          <t>2026-09-16</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UK-000200</t>
        </is>
      </c>
      <c r="B103" s="10" t="inlineStr">
        <is>
          <t>Food Plus Rotherham (Polski Sklep)</t>
        </is>
      </c>
      <c r="C103" s="10" t="inlineStr">
        <is>
          <t>Rotherham</t>
        </is>
      </c>
      <c r="D103" s="10" t="inlineStr">
        <is>
          <t>Independent Supermarket</t>
        </is>
      </c>
      <c r="E103" s="10" t="inlineStr">
        <is>
          <t>Medium</t>
        </is>
      </c>
      <c r="F103" s="10" t="inlineStr"/>
      <c r="G103" s="10" t="inlineStr"/>
      <c r="H103" s="10" t="inlineStr"/>
      <c r="I103" s="10" t="inlineStr"/>
      <c r="J103" s="10" t="inlineStr"/>
      <c r="K103" s="10" t="inlineStr">
        <is>
          <t>New</t>
        </is>
      </c>
      <c r="L103" s="10" t="inlineStr">
        <is>
          <t>2026-09-16</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WY-0085</t>
        </is>
      </c>
      <c r="B104" s="5" t="inlineStr">
        <is>
          <t>Forever Vapes</t>
        </is>
      </c>
      <c r="C104" s="5" t="inlineStr">
        <is>
          <t>Heckmondwike</t>
        </is>
      </c>
      <c r="D104" s="5" t="inlineStr">
        <is>
          <t>Vape Shop</t>
        </is>
      </c>
      <c r="E104" s="5" t="inlineStr">
        <is>
          <t>Medium</t>
        </is>
      </c>
      <c r="F104" s="5" t="inlineStr"/>
      <c r="G104" s="5" t="inlineStr"/>
      <c r="H104" s="5" t="inlineStr"/>
      <c r="I104" s="5" t="inlineStr"/>
      <c r="J104" s="5" t="inlineStr"/>
      <c r="K104" s="5" t="inlineStr">
        <is>
          <t>New</t>
        </is>
      </c>
      <c r="L104" s="5" t="inlineStr">
        <is>
          <t>2026-09-16</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WY-0086</t>
        </is>
      </c>
      <c r="B105" s="10" t="inlineStr">
        <is>
          <t>FreshCo Wakefield</t>
        </is>
      </c>
      <c r="C105" s="10" t="inlineStr">
        <is>
          <t>Wakefield</t>
        </is>
      </c>
      <c r="D105" s="10" t="inlineStr">
        <is>
          <t>Independent Supermarket</t>
        </is>
      </c>
      <c r="E105" s="10" t="inlineStr">
        <is>
          <t>Medium</t>
        </is>
      </c>
      <c r="F105" s="10" t="inlineStr">
        <is>
          <t>01924 781869</t>
        </is>
      </c>
      <c r="G105" s="10" t="inlineStr">
        <is>
          <t>Hoa1@hotmail.co.uk</t>
        </is>
      </c>
      <c r="H105" s="10" t="inlineStr"/>
      <c r="I105" s="10" t="inlineStr">
        <is>
          <t>Aras Ali</t>
        </is>
      </c>
      <c r="J105" s="10" t="inlineStr">
        <is>
          <t>Owner</t>
        </is>
      </c>
      <c r="K105" s="10" t="inlineStr">
        <is>
          <t>New</t>
        </is>
      </c>
      <c r="L105" s="10" t="inlineStr">
        <is>
          <t>2026-09-16</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UK-000249</t>
        </is>
      </c>
      <c r="B106" s="5" t="inlineStr">
        <is>
          <t>Freshco Cash &amp; Carry</t>
        </is>
      </c>
      <c r="C106" s="5" t="inlineStr">
        <is>
          <t>Kingston upon Hull</t>
        </is>
      </c>
      <c r="D106" s="5" t="inlineStr">
        <is>
          <t>Cash &amp; Carry</t>
        </is>
      </c>
      <c r="E106" s="5" t="inlineStr">
        <is>
          <t>Medium</t>
        </is>
      </c>
      <c r="F106" s="5" t="inlineStr"/>
      <c r="G106" s="5" t="inlineStr"/>
      <c r="H106" s="5" t="inlineStr"/>
      <c r="I106" s="5" t="inlineStr"/>
      <c r="J106" s="5" t="inlineStr"/>
      <c r="K106" s="5" t="inlineStr">
        <is>
          <t>New</t>
        </is>
      </c>
      <c r="L106" s="5" t="inlineStr">
        <is>
          <t>2026-09-16</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UK-000250</t>
        </is>
      </c>
      <c r="B107" s="10" t="inlineStr">
        <is>
          <t>GDF Vape Shop</t>
        </is>
      </c>
      <c r="C107" s="10" t="inlineStr">
        <is>
          <t>Doncaster</t>
        </is>
      </c>
      <c r="D107" s="10" t="inlineStr">
        <is>
          <t>Vape Shop</t>
        </is>
      </c>
      <c r="E107" s="10" t="inlineStr">
        <is>
          <t>Medium</t>
        </is>
      </c>
      <c r="F107" s="10" t="inlineStr"/>
      <c r="G107" s="10" t="inlineStr"/>
      <c r="H107" s="10" t="inlineStr"/>
      <c r="I107" s="10" t="inlineStr"/>
      <c r="J107" s="10" t="inlineStr"/>
      <c r="K107" s="10" t="inlineStr">
        <is>
          <t>New</t>
        </is>
      </c>
      <c r="L107" s="10" t="inlineStr">
        <is>
          <t>2026-09-16</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WY-0014</t>
        </is>
      </c>
      <c r="B108" s="5" t="inlineStr">
        <is>
          <t>GT News (White Rose Shopping Centre)</t>
        </is>
      </c>
      <c r="C108" s="5" t="inlineStr">
        <is>
          <t>Leeds</t>
        </is>
      </c>
      <c r="D108" s="5" t="inlineStr">
        <is>
          <t>Newsagent</t>
        </is>
      </c>
      <c r="E108" s="5" t="inlineStr">
        <is>
          <t>Medium</t>
        </is>
      </c>
      <c r="F108" s="5" t="inlineStr">
        <is>
          <t>0113 228 6446</t>
        </is>
      </c>
      <c r="G108" s="5" t="inlineStr"/>
      <c r="H108" s="5" t="inlineStr"/>
      <c r="I108" s="5" t="inlineStr"/>
      <c r="J108" s="5" t="inlineStr"/>
      <c r="K108" s="5" t="inlineStr">
        <is>
          <t>New</t>
        </is>
      </c>
      <c r="L108" s="5" t="inlineStr">
        <is>
          <t>2026-09-16</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WY-0088</t>
        </is>
      </c>
      <c r="B109" s="10" t="inlineStr">
        <is>
          <t>Get Plugged</t>
        </is>
      </c>
      <c r="C109" s="10" t="inlineStr">
        <is>
          <t>Huddersfield</t>
        </is>
      </c>
      <c r="D109" s="10" t="inlineStr">
        <is>
          <t>Vape Shop</t>
        </is>
      </c>
      <c r="E109" s="10" t="inlineStr">
        <is>
          <t>Medium</t>
        </is>
      </c>
      <c r="F109" s="10" t="inlineStr"/>
      <c r="G109" s="10" t="inlineStr"/>
      <c r="H109" s="10" t="inlineStr"/>
      <c r="I109" s="10" t="inlineStr"/>
      <c r="J109" s="10" t="inlineStr"/>
      <c r="K109" s="10" t="inlineStr">
        <is>
          <t>New</t>
        </is>
      </c>
      <c r="L109" s="10" t="inlineStr">
        <is>
          <t>2026-09-16</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WY-0028</t>
        </is>
      </c>
      <c r="B110" s="5" t="inlineStr">
        <is>
          <t>Glasshoughton Service Station</t>
        </is>
      </c>
      <c r="C110" s="5" t="inlineStr">
        <is>
          <t>Castleford</t>
        </is>
      </c>
      <c r="D110" s="5" t="inlineStr">
        <is>
          <t>Petrol Station / Forecourt</t>
        </is>
      </c>
      <c r="E110" s="5" t="inlineStr">
        <is>
          <t>Medium</t>
        </is>
      </c>
      <c r="F110" s="5" t="inlineStr">
        <is>
          <t>01977 278353</t>
        </is>
      </c>
      <c r="G110" s="5" t="inlineStr"/>
      <c r="H110" s="5" t="inlineStr"/>
      <c r="I110" s="5" t="inlineStr"/>
      <c r="J110" s="5" t="inlineStr"/>
      <c r="K110" s="5" t="inlineStr">
        <is>
          <t>New</t>
        </is>
      </c>
      <c r="L110" s="5" t="inlineStr">
        <is>
          <t>2026-09-16</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UK-000252</t>
        </is>
      </c>
      <c r="B111" s="10" t="inlineStr">
        <is>
          <t>Grimsby Toys and Vapes</t>
        </is>
      </c>
      <c r="C111" s="10" t="inlineStr">
        <is>
          <t>Grimsby</t>
        </is>
      </c>
      <c r="D111" s="10" t="inlineStr">
        <is>
          <t>Vape Shop</t>
        </is>
      </c>
      <c r="E111" s="10" t="inlineStr">
        <is>
          <t>Medium</t>
        </is>
      </c>
      <c r="F111" s="10" t="inlineStr">
        <is>
          <t>07429 286555</t>
        </is>
      </c>
      <c r="G111" s="10" t="inlineStr"/>
      <c r="H111" s="10" t="inlineStr"/>
      <c r="I111" s="10" t="inlineStr"/>
      <c r="J111" s="10" t="inlineStr"/>
      <c r="K111" s="10" t="inlineStr">
        <is>
          <t>New</t>
        </is>
      </c>
      <c r="L111" s="10" t="inlineStr">
        <is>
          <t>2026-09-16</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UK-000253</t>
        </is>
      </c>
      <c r="B112" s="5" t="inlineStr">
        <is>
          <t>Haris&amp;Co Supermarket</t>
        </is>
      </c>
      <c r="C112" s="5" t="inlineStr">
        <is>
          <t>Kingston upon Hull</t>
        </is>
      </c>
      <c r="D112" s="5" t="inlineStr">
        <is>
          <t>Independent Supermarket</t>
        </is>
      </c>
      <c r="E112" s="5" t="inlineStr">
        <is>
          <t>Medium</t>
        </is>
      </c>
      <c r="F112" s="5" t="inlineStr"/>
      <c r="G112" s="5" t="inlineStr"/>
      <c r="H112" s="5" t="inlineStr"/>
      <c r="I112" s="5" t="inlineStr"/>
      <c r="J112" s="5" t="inlineStr"/>
      <c r="K112" s="5" t="inlineStr">
        <is>
          <t>New</t>
        </is>
      </c>
      <c r="L112" s="5" t="inlineStr">
        <is>
          <t>2026-09-16</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UK-000255</t>
        </is>
      </c>
      <c r="B113" s="10" t="inlineStr">
        <is>
          <t>Hillsborough Vape Lounge</t>
        </is>
      </c>
      <c r="C113" s="10" t="inlineStr">
        <is>
          <t>Sheffield</t>
        </is>
      </c>
      <c r="D113" s="10" t="inlineStr">
        <is>
          <t>Vape Shop</t>
        </is>
      </c>
      <c r="E113" s="10" t="inlineStr">
        <is>
          <t>Medium</t>
        </is>
      </c>
      <c r="F113" s="10" t="inlineStr"/>
      <c r="G113" s="10" t="inlineStr"/>
      <c r="H113" s="10" t="inlineStr"/>
      <c r="I113" s="10" t="inlineStr"/>
      <c r="J113" s="10" t="inlineStr"/>
      <c r="K113" s="10" t="inlineStr">
        <is>
          <t>New</t>
        </is>
      </c>
      <c r="L113" s="10" t="inlineStr">
        <is>
          <t>2026-09-16</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WY-0097</t>
        </is>
      </c>
      <c r="B114" s="5" t="inlineStr">
        <is>
          <t>House of Vapour</t>
        </is>
      </c>
      <c r="C114" s="5" t="inlineStr">
        <is>
          <t>South Elmsall</t>
        </is>
      </c>
      <c r="D114" s="5" t="inlineStr">
        <is>
          <t>Vape Shop</t>
        </is>
      </c>
      <c r="E114" s="5" t="inlineStr">
        <is>
          <t>Medium</t>
        </is>
      </c>
      <c r="F114" s="5" t="inlineStr">
        <is>
          <t>01977 647969</t>
        </is>
      </c>
      <c r="G114" s="5" t="inlineStr"/>
      <c r="H114" s="5" t="inlineStr"/>
      <c r="I114" s="5" t="inlineStr"/>
      <c r="J114" s="5" t="inlineStr"/>
      <c r="K114" s="5" t="inlineStr">
        <is>
          <t>New</t>
        </is>
      </c>
      <c r="L114" s="5" t="inlineStr">
        <is>
          <t>2026-09-16</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UK-000258</t>
        </is>
      </c>
      <c r="B115" s="10" t="inlineStr">
        <is>
          <t>Jaan Lounge</t>
        </is>
      </c>
      <c r="C115" s="10" t="inlineStr">
        <is>
          <t>Sheffield</t>
        </is>
      </c>
      <c r="D115" s="10" t="inlineStr">
        <is>
          <t>Smoke / Shisha Shop</t>
        </is>
      </c>
      <c r="E115" s="10" t="inlineStr">
        <is>
          <t>Medium</t>
        </is>
      </c>
      <c r="F115" s="10" t="inlineStr"/>
      <c r="G115" s="10" t="inlineStr"/>
      <c r="H115" s="10" t="inlineStr"/>
      <c r="I115" s="10" t="inlineStr"/>
      <c r="J115" s="10" t="inlineStr"/>
      <c r="K115" s="10" t="inlineStr">
        <is>
          <t>New</t>
        </is>
      </c>
      <c r="L115" s="10" t="inlineStr">
        <is>
          <t>2026-09-16</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WY-0100</t>
        </is>
      </c>
      <c r="B116" s="5" t="inlineStr">
        <is>
          <t>Javid Supermarket</t>
        </is>
      </c>
      <c r="C116" s="5" t="inlineStr">
        <is>
          <t>Huddersfield</t>
        </is>
      </c>
      <c r="D116" s="5" t="inlineStr">
        <is>
          <t>Independent Supermarket</t>
        </is>
      </c>
      <c r="E116" s="5" t="inlineStr">
        <is>
          <t>Medium</t>
        </is>
      </c>
      <c r="F116" s="5" t="inlineStr">
        <is>
          <t>01484 517411</t>
        </is>
      </c>
      <c r="G116" s="5" t="inlineStr">
        <is>
          <t>contact@javidsupermarket.co.uk</t>
        </is>
      </c>
      <c r="H116" s="5" t="inlineStr"/>
      <c r="I116" s="5" t="inlineStr"/>
      <c r="J116" s="5" t="inlineStr"/>
      <c r="K116" s="5" t="inlineStr">
        <is>
          <t>New</t>
        </is>
      </c>
      <c r="L116" s="5" t="inlineStr">
        <is>
          <t>2026-09-16</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UK-000260</t>
        </is>
      </c>
      <c r="B117" s="10" t="inlineStr">
        <is>
          <t>Juice &amp; Coil Co</t>
        </is>
      </c>
      <c r="C117" s="10" t="inlineStr">
        <is>
          <t>Sheffield</t>
        </is>
      </c>
      <c r="D117" s="10" t="inlineStr">
        <is>
          <t>Vape Shop</t>
        </is>
      </c>
      <c r="E117" s="10" t="inlineStr">
        <is>
          <t>Medium</t>
        </is>
      </c>
      <c r="F117" s="10" t="inlineStr"/>
      <c r="G117" s="10" t="inlineStr"/>
      <c r="H117" s="10" t="inlineStr"/>
      <c r="I117" s="10" t="inlineStr"/>
      <c r="J117" s="10" t="inlineStr"/>
      <c r="K117" s="10" t="inlineStr">
        <is>
          <t>New</t>
        </is>
      </c>
      <c r="L117" s="10" t="inlineStr">
        <is>
          <t>2026-09-16</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UK-000261</t>
        </is>
      </c>
      <c r="B118" s="5" t="inlineStr">
        <is>
          <t>Kaplan Fast Food Cash &amp; Carry</t>
        </is>
      </c>
      <c r="C118" s="5" t="inlineStr">
        <is>
          <t>Kingston upon Hull</t>
        </is>
      </c>
      <c r="D118" s="5" t="inlineStr">
        <is>
          <t>Cash &amp; Carry</t>
        </is>
      </c>
      <c r="E118" s="5" t="inlineStr">
        <is>
          <t>Medium</t>
        </is>
      </c>
      <c r="F118" s="5" t="inlineStr"/>
      <c r="G118" s="5" t="inlineStr"/>
      <c r="H118" s="5" t="inlineStr"/>
      <c r="I118" s="5" t="inlineStr"/>
      <c r="J118" s="5" t="inlineStr"/>
      <c r="K118" s="5" t="inlineStr">
        <is>
          <t>New</t>
        </is>
      </c>
      <c r="L118" s="5" t="inlineStr">
        <is>
          <t>2026-09-16</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WY-0102</t>
        </is>
      </c>
      <c r="B119" s="10" t="inlineStr">
        <is>
          <t>Kasa Beeston Convenience Store</t>
        </is>
      </c>
      <c r="C119" s="10" t="inlineStr">
        <is>
          <t>Leeds</t>
        </is>
      </c>
      <c r="D119" s="10" t="inlineStr">
        <is>
          <t>Convenience Store</t>
        </is>
      </c>
      <c r="E119" s="10" t="inlineStr">
        <is>
          <t>Medium</t>
        </is>
      </c>
      <c r="F119" s="10" t="inlineStr">
        <is>
          <t>0113 277 5757</t>
        </is>
      </c>
      <c r="G119" s="10" t="inlineStr">
        <is>
          <t>info@kasabeeston.com</t>
        </is>
      </c>
      <c r="H119" s="10" t="inlineStr"/>
      <c r="I119" s="10" t="inlineStr"/>
      <c r="J119" s="10" t="inlineStr"/>
      <c r="K119" s="10" t="inlineStr">
        <is>
          <t>New</t>
        </is>
      </c>
      <c r="L119" s="10" t="inlineStr">
        <is>
          <t>2026-09-16</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UK-000262</t>
        </is>
      </c>
      <c r="B120" s="5" t="inlineStr">
        <is>
          <t>Kick Ash Vapes Cleethorpes</t>
        </is>
      </c>
      <c r="C120" s="5" t="inlineStr">
        <is>
          <t>Cleethorpes</t>
        </is>
      </c>
      <c r="D120" s="5" t="inlineStr">
        <is>
          <t>Vape Shop</t>
        </is>
      </c>
      <c r="E120" s="5" t="inlineStr">
        <is>
          <t>Medium</t>
        </is>
      </c>
      <c r="F120" s="5" t="inlineStr"/>
      <c r="G120" s="5" t="inlineStr"/>
      <c r="H120" s="5" t="inlineStr"/>
      <c r="I120" s="5" t="inlineStr"/>
      <c r="J120" s="5" t="inlineStr"/>
      <c r="K120" s="5" t="inlineStr">
        <is>
          <t>New</t>
        </is>
      </c>
      <c r="L120" s="5" t="inlineStr">
        <is>
          <t>2026-09-16</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UK-000263</t>
        </is>
      </c>
      <c r="B121" s="10" t="inlineStr">
        <is>
          <t>Kings Lites Acomb</t>
        </is>
      </c>
      <c r="C121" s="10" t="inlineStr">
        <is>
          <t>York</t>
        </is>
      </c>
      <c r="D121" s="10" t="inlineStr">
        <is>
          <t>Vape Shop</t>
        </is>
      </c>
      <c r="E121" s="10" t="inlineStr">
        <is>
          <t>Medium</t>
        </is>
      </c>
      <c r="F121" s="10" t="inlineStr"/>
      <c r="G121" s="10" t="inlineStr"/>
      <c r="H121" s="10" t="inlineStr"/>
      <c r="I121" s="10" t="inlineStr"/>
      <c r="J121" s="10" t="inlineStr"/>
      <c r="K121" s="10" t="inlineStr">
        <is>
          <t>New</t>
        </is>
      </c>
      <c r="L121" s="10" t="inlineStr">
        <is>
          <t>2026-09-16</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UK-000264</t>
        </is>
      </c>
      <c r="B122" s="5" t="inlineStr">
        <is>
          <t>La Vana Restaurant &amp; Shisha</t>
        </is>
      </c>
      <c r="C122" s="5" t="inlineStr">
        <is>
          <t>Kingston upon Hull</t>
        </is>
      </c>
      <c r="D122" s="5" t="inlineStr">
        <is>
          <t>Smoke / Shisha Shop</t>
        </is>
      </c>
      <c r="E122" s="5" t="inlineStr">
        <is>
          <t>Medium</t>
        </is>
      </c>
      <c r="F122" s="5" t="inlineStr"/>
      <c r="G122" s="5" t="inlineStr"/>
      <c r="H122" s="5" t="inlineStr"/>
      <c r="I122" s="5" t="inlineStr"/>
      <c r="J122" s="5" t="inlineStr"/>
      <c r="K122" s="5" t="inlineStr">
        <is>
          <t>New</t>
        </is>
      </c>
      <c r="L122" s="5" t="inlineStr">
        <is>
          <t>2026-09-16</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WY-0108</t>
        </is>
      </c>
      <c r="B123" s="10" t="inlineStr">
        <is>
          <t>Latitude Wine &amp; Liquor Merchant</t>
        </is>
      </c>
      <c r="C123" s="10" t="inlineStr">
        <is>
          <t>Leeds</t>
        </is>
      </c>
      <c r="D123" s="10" t="inlineStr">
        <is>
          <t>Off-Licence</t>
        </is>
      </c>
      <c r="E123" s="10" t="inlineStr">
        <is>
          <t>Medium</t>
        </is>
      </c>
      <c r="F123" s="10" t="inlineStr">
        <is>
          <t>0113 245 3393</t>
        </is>
      </c>
      <c r="G123" s="10" t="inlineStr"/>
      <c r="H123" s="10" t="inlineStr">
        <is>
          <t>sales@latitudewine.co.uk</t>
        </is>
      </c>
      <c r="I123" s="10" t="inlineStr"/>
      <c r="J123" s="10" t="inlineStr"/>
      <c r="K123" s="10" t="inlineStr">
        <is>
          <t>New</t>
        </is>
      </c>
      <c r="L123" s="10" t="inlineStr">
        <is>
          <t>2026-09-16</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WY-0109</t>
        </is>
      </c>
      <c r="B124" s="5" t="inlineStr">
        <is>
          <t>Leeds Shisha Wholesale</t>
        </is>
      </c>
      <c r="C124" s="5" t="inlineStr">
        <is>
          <t>Leeds</t>
        </is>
      </c>
      <c r="D124" s="5" t="inlineStr">
        <is>
          <t>Smoke / Shisha Shop</t>
        </is>
      </c>
      <c r="E124" s="5" t="inlineStr">
        <is>
          <t>Medium</t>
        </is>
      </c>
      <c r="F124" s="5" t="inlineStr"/>
      <c r="G124" s="5" t="inlineStr"/>
      <c r="H124" s="5" t="inlineStr"/>
      <c r="I124" s="5" t="inlineStr"/>
      <c r="J124" s="5" t="inlineStr"/>
      <c r="K124" s="5" t="inlineStr">
        <is>
          <t>New</t>
        </is>
      </c>
      <c r="L124" s="5" t="inlineStr">
        <is>
          <t>2026-09-16</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WY-0110</t>
        </is>
      </c>
      <c r="B125" s="10" t="inlineStr">
        <is>
          <t>Liquid Mafia The King of Vapes</t>
        </is>
      </c>
      <c r="C125" s="10" t="inlineStr">
        <is>
          <t>Dewsbury</t>
        </is>
      </c>
      <c r="D125" s="10" t="inlineStr">
        <is>
          <t>Vape Shop</t>
        </is>
      </c>
      <c r="E125" s="10" t="inlineStr">
        <is>
          <t>Medium</t>
        </is>
      </c>
      <c r="F125" s="10" t="inlineStr">
        <is>
          <t>07512 340800</t>
        </is>
      </c>
      <c r="G125" s="10" t="inlineStr"/>
      <c r="H125" s="10" t="inlineStr"/>
      <c r="I125" s="10" t="inlineStr"/>
      <c r="J125" s="10" t="inlineStr"/>
      <c r="K125" s="10" t="inlineStr">
        <is>
          <t>New</t>
        </is>
      </c>
      <c r="L125" s="10" t="inlineStr">
        <is>
          <t>2026-09-16</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WY-0113</t>
        </is>
      </c>
      <c r="B126" s="5" t="inlineStr">
        <is>
          <t>Londis Normanton (313 Castleford Road)</t>
        </is>
      </c>
      <c r="C126" s="5" t="inlineStr">
        <is>
          <t>Normanton</t>
        </is>
      </c>
      <c r="D126" s="5" t="inlineStr">
        <is>
          <t>Convenience Store</t>
        </is>
      </c>
      <c r="E126" s="5" t="inlineStr">
        <is>
          <t>Medium</t>
        </is>
      </c>
      <c r="F126" s="5" t="inlineStr">
        <is>
          <t>01924 892113</t>
        </is>
      </c>
      <c r="G126" s="5" t="inlineStr"/>
      <c r="H126" s="5" t="inlineStr"/>
      <c r="I126" s="5" t="inlineStr"/>
      <c r="J126" s="5" t="inlineStr"/>
      <c r="K126" s="5" t="inlineStr">
        <is>
          <t>New</t>
        </is>
      </c>
      <c r="L126" s="5" t="inlineStr">
        <is>
          <t>2026-09-16</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WY-0114</t>
        </is>
      </c>
      <c r="B127" s="10" t="inlineStr">
        <is>
          <t>Londis Normanton (Castleford Road, WF6 2DW)</t>
        </is>
      </c>
      <c r="C127" s="10" t="inlineStr">
        <is>
          <t>Normanton</t>
        </is>
      </c>
      <c r="D127" s="10" t="inlineStr">
        <is>
          <t>Convenience Store</t>
        </is>
      </c>
      <c r="E127" s="10" t="inlineStr">
        <is>
          <t>Medium</t>
        </is>
      </c>
      <c r="F127" s="10" t="inlineStr">
        <is>
          <t>01924 890438</t>
        </is>
      </c>
      <c r="G127" s="10" t="inlineStr"/>
      <c r="H127" s="10" t="inlineStr"/>
      <c r="I127" s="10" t="inlineStr"/>
      <c r="J127" s="10" t="inlineStr"/>
      <c r="K127" s="10" t="inlineStr">
        <is>
          <t>New</t>
        </is>
      </c>
      <c r="L127" s="10" t="inlineStr">
        <is>
          <t>2026-09-16</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WY-0115</t>
        </is>
      </c>
      <c r="B128" s="5" t="inlineStr">
        <is>
          <t>Londis Ravensthorpe</t>
        </is>
      </c>
      <c r="C128" s="5" t="inlineStr">
        <is>
          <t>Dewsbury</t>
        </is>
      </c>
      <c r="D128" s="5" t="inlineStr">
        <is>
          <t>Convenience Store</t>
        </is>
      </c>
      <c r="E128" s="5" t="inlineStr">
        <is>
          <t>Medium</t>
        </is>
      </c>
      <c r="F128" s="5" t="inlineStr">
        <is>
          <t>01924 461300</t>
        </is>
      </c>
      <c r="G128" s="5" t="inlineStr"/>
      <c r="H128" s="5" t="inlineStr"/>
      <c r="I128" s="5" t="inlineStr"/>
      <c r="J128" s="5" t="inlineStr"/>
      <c r="K128" s="5" t="inlineStr">
        <is>
          <t>New</t>
        </is>
      </c>
      <c r="L128" s="5" t="inlineStr">
        <is>
          <t>2026-09-16</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UK-000265</t>
        </is>
      </c>
      <c r="B129" s="10" t="inlineStr">
        <is>
          <t>Lounge 418</t>
        </is>
      </c>
      <c r="C129" s="10" t="inlineStr">
        <is>
          <t>Sheffield</t>
        </is>
      </c>
      <c r="D129" s="10" t="inlineStr">
        <is>
          <t>Smoke / Shisha Shop</t>
        </is>
      </c>
      <c r="E129" s="10" t="inlineStr">
        <is>
          <t>Medium</t>
        </is>
      </c>
      <c r="F129" s="10" t="inlineStr"/>
      <c r="G129" s="10" t="inlineStr"/>
      <c r="H129" s="10" t="inlineStr"/>
      <c r="I129" s="10" t="inlineStr"/>
      <c r="J129" s="10" t="inlineStr"/>
      <c r="K129" s="10" t="inlineStr">
        <is>
          <t>New</t>
        </is>
      </c>
      <c r="L129" s="10" t="inlineStr">
        <is>
          <t>2026-09-16</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WY-0116</t>
        </is>
      </c>
      <c r="B130" s="5" t="inlineStr">
        <is>
          <t>Low Lane Convenience Store (Premier)</t>
        </is>
      </c>
      <c r="C130" s="5" t="inlineStr">
        <is>
          <t>Batley</t>
        </is>
      </c>
      <c r="D130" s="5" t="inlineStr">
        <is>
          <t>Convenience Store</t>
        </is>
      </c>
      <c r="E130" s="5" t="inlineStr">
        <is>
          <t>Medium</t>
        </is>
      </c>
      <c r="F130" s="5" t="inlineStr"/>
      <c r="G130" s="5" t="inlineStr"/>
      <c r="H130" s="5" t="inlineStr"/>
      <c r="I130" s="5" t="inlineStr"/>
      <c r="J130" s="5" t="inlineStr"/>
      <c r="K130" s="5" t="inlineStr">
        <is>
          <t>New</t>
        </is>
      </c>
      <c r="L130" s="5" t="inlineStr">
        <is>
          <t>2026-09-16</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WY-0017</t>
        </is>
      </c>
      <c r="B131" s="10" t="inlineStr">
        <is>
          <t>Manchester Superstore (Wakefield)</t>
        </is>
      </c>
      <c r="C131" s="10" t="inlineStr">
        <is>
          <t>Wakefield</t>
        </is>
      </c>
      <c r="D131" s="10" t="inlineStr">
        <is>
          <t>Independent Supermarket</t>
        </is>
      </c>
      <c r="E131" s="10" t="inlineStr">
        <is>
          <t>Medium</t>
        </is>
      </c>
      <c r="F131" s="10" t="inlineStr">
        <is>
          <t>01924 369105</t>
        </is>
      </c>
      <c r="G131" s="10" t="inlineStr"/>
      <c r="H131" s="10" t="inlineStr"/>
      <c r="I131" s="10" t="inlineStr"/>
      <c r="J131" s="10" t="inlineStr"/>
      <c r="K131" s="10" t="inlineStr">
        <is>
          <t>New</t>
        </is>
      </c>
      <c r="L131" s="10" t="inlineStr">
        <is>
          <t>2026-09-16</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WY-0121</t>
        </is>
      </c>
      <c r="B132" s="5" t="inlineStr">
        <is>
          <t>Mister Motivaper</t>
        </is>
      </c>
      <c r="C132" s="5" t="inlineStr">
        <is>
          <t>Pontefract</t>
        </is>
      </c>
      <c r="D132" s="5" t="inlineStr">
        <is>
          <t>Vape Shop</t>
        </is>
      </c>
      <c r="E132" s="5" t="inlineStr">
        <is>
          <t>Medium</t>
        </is>
      </c>
      <c r="F132" s="5" t="inlineStr">
        <is>
          <t>01274 987430</t>
        </is>
      </c>
      <c r="G132" s="5" t="inlineStr"/>
      <c r="H132" s="5" t="inlineStr"/>
      <c r="I132" s="5" t="inlineStr"/>
      <c r="J132" s="5" t="inlineStr"/>
      <c r="K132" s="5" t="inlineStr">
        <is>
          <t>New</t>
        </is>
      </c>
      <c r="L132" s="5" t="inlineStr">
        <is>
          <t>2026-09-16</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WY-0123</t>
        </is>
      </c>
      <c r="B133" s="10" t="inlineStr">
        <is>
          <t>Mount Vapes</t>
        </is>
      </c>
      <c r="C133" s="10" t="inlineStr">
        <is>
          <t>Halifax</t>
        </is>
      </c>
      <c r="D133" s="10" t="inlineStr">
        <is>
          <t>Vape Shop</t>
        </is>
      </c>
      <c r="E133" s="10" t="inlineStr">
        <is>
          <t>Medium</t>
        </is>
      </c>
      <c r="F133" s="10" t="inlineStr">
        <is>
          <t>07843 846154</t>
        </is>
      </c>
      <c r="G133" s="10" t="inlineStr"/>
      <c r="H133" s="10" t="inlineStr"/>
      <c r="I133" s="10" t="inlineStr"/>
      <c r="J133" s="10" t="inlineStr"/>
      <c r="K133" s="10" t="inlineStr">
        <is>
          <t>New</t>
        </is>
      </c>
      <c r="L133" s="10" t="inlineStr">
        <is>
          <t>2026-09-16</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WY-0019</t>
        </is>
      </c>
      <c r="B134" s="5" t="inlineStr">
        <is>
          <t>Mullaco (Batley)</t>
        </is>
      </c>
      <c r="C134" s="5" t="inlineStr">
        <is>
          <t>Batley</t>
        </is>
      </c>
      <c r="D134" s="5" t="inlineStr">
        <is>
          <t>Independent Supermarket</t>
        </is>
      </c>
      <c r="E134" s="5" t="inlineStr">
        <is>
          <t>Medium</t>
        </is>
      </c>
      <c r="F134" s="5" t="inlineStr">
        <is>
          <t>01924 939128</t>
        </is>
      </c>
      <c r="G134" s="5" t="inlineStr"/>
      <c r="H134" s="5" t="inlineStr"/>
      <c r="I134" s="5" t="inlineStr"/>
      <c r="J134" s="5" t="inlineStr"/>
      <c r="K134" s="5" t="inlineStr">
        <is>
          <t>New</t>
        </is>
      </c>
      <c r="L134" s="5" t="inlineStr">
        <is>
          <t>2026-09-16</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WY-0020</t>
        </is>
      </c>
      <c r="B135" s="10" t="inlineStr">
        <is>
          <t>Mullaco Minimarket (Dewsbury)</t>
        </is>
      </c>
      <c r="C135" s="10" t="inlineStr">
        <is>
          <t>Dewsbury</t>
        </is>
      </c>
      <c r="D135" s="10" t="inlineStr">
        <is>
          <t>Convenience Store</t>
        </is>
      </c>
      <c r="E135" s="10" t="inlineStr">
        <is>
          <t>Medium</t>
        </is>
      </c>
      <c r="F135" s="10" t="inlineStr"/>
      <c r="G135" s="10" t="inlineStr"/>
      <c r="H135" s="10" t="inlineStr"/>
      <c r="I135" s="10" t="inlineStr"/>
      <c r="J135" s="10" t="inlineStr"/>
      <c r="K135" s="10" t="inlineStr">
        <is>
          <t>New</t>
        </is>
      </c>
      <c r="L135" s="10" t="inlineStr">
        <is>
          <t>2026-09-16</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WY-0021</t>
        </is>
      </c>
      <c r="B136" s="5" t="inlineStr">
        <is>
          <t>Mullaco Supermarket (Dewsbury)</t>
        </is>
      </c>
      <c r="C136" s="5" t="inlineStr">
        <is>
          <t>Dewsbury</t>
        </is>
      </c>
      <c r="D136" s="5" t="inlineStr">
        <is>
          <t>Independent Supermarket</t>
        </is>
      </c>
      <c r="E136" s="5" t="inlineStr">
        <is>
          <t>Medium</t>
        </is>
      </c>
      <c r="F136" s="5" t="inlineStr">
        <is>
          <t>01924 465909</t>
        </is>
      </c>
      <c r="G136" s="5" t="inlineStr"/>
      <c r="H136" s="5" t="inlineStr"/>
      <c r="I136" s="5" t="inlineStr"/>
      <c r="J136" s="5" t="inlineStr"/>
      <c r="K136" s="5" t="inlineStr">
        <is>
          <t>New</t>
        </is>
      </c>
      <c r="L136" s="5" t="inlineStr">
        <is>
          <t>2026-09-16</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UK-000266</t>
        </is>
      </c>
      <c r="B137" s="10" t="inlineStr">
        <is>
          <t>Ninnsi</t>
        </is>
      </c>
      <c r="C137" s="10" t="inlineStr">
        <is>
          <t>Kingston upon Hull</t>
        </is>
      </c>
      <c r="D137" s="10" t="inlineStr">
        <is>
          <t>Independent Supermarket</t>
        </is>
      </c>
      <c r="E137" s="10" t="inlineStr">
        <is>
          <t>Medium</t>
        </is>
      </c>
      <c r="F137" s="10" t="inlineStr"/>
      <c r="G137" s="10" t="inlineStr"/>
      <c r="H137" s="10" t="inlineStr"/>
      <c r="I137" s="10" t="inlineStr"/>
      <c r="J137" s="10" t="inlineStr"/>
      <c r="K137" s="10" t="inlineStr">
        <is>
          <t>New</t>
        </is>
      </c>
      <c r="L137" s="10" t="inlineStr">
        <is>
          <t>2026-09-16</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UK-000201</t>
        </is>
      </c>
      <c r="B138" s="5" t="inlineStr">
        <is>
          <t>Nisa Express Grimsby (Victor Street)</t>
        </is>
      </c>
      <c r="C138" s="5" t="inlineStr">
        <is>
          <t>Grimsby</t>
        </is>
      </c>
      <c r="D138" s="5" t="inlineStr">
        <is>
          <t>Convenience Store</t>
        </is>
      </c>
      <c r="E138" s="5" t="inlineStr">
        <is>
          <t>Medium</t>
        </is>
      </c>
      <c r="F138" s="5" t="inlineStr"/>
      <c r="G138" s="5" t="inlineStr"/>
      <c r="H138" s="5" t="inlineStr"/>
      <c r="I138" s="5" t="inlineStr"/>
      <c r="J138" s="5" t="inlineStr"/>
      <c r="K138" s="5" t="inlineStr">
        <is>
          <t>New</t>
        </is>
      </c>
      <c r="L138" s="5" t="inlineStr">
        <is>
          <t>2026-09-16</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UK-000202</t>
        </is>
      </c>
      <c r="B139" s="10" t="inlineStr">
        <is>
          <t>Nisa Local Cleethorpes (Grimsby Road)</t>
        </is>
      </c>
      <c r="C139" s="10" t="inlineStr">
        <is>
          <t>Cleethorpes</t>
        </is>
      </c>
      <c r="D139" s="10" t="inlineStr">
        <is>
          <t>Convenience Store</t>
        </is>
      </c>
      <c r="E139" s="10" t="inlineStr">
        <is>
          <t>Medium</t>
        </is>
      </c>
      <c r="F139" s="10" t="inlineStr"/>
      <c r="G139" s="10" t="inlineStr"/>
      <c r="H139" s="10" t="inlineStr"/>
      <c r="I139" s="10" t="inlineStr"/>
      <c r="J139" s="10" t="inlineStr"/>
      <c r="K139" s="10" t="inlineStr">
        <is>
          <t>New</t>
        </is>
      </c>
      <c r="L139" s="10" t="inlineStr">
        <is>
          <t>2026-09-16</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WY-0125</t>
        </is>
      </c>
      <c r="B140" s="5" t="inlineStr">
        <is>
          <t>Nisa Local Knottingley</t>
        </is>
      </c>
      <c r="C140" s="5" t="inlineStr">
        <is>
          <t>Knottingley</t>
        </is>
      </c>
      <c r="D140" s="5" t="inlineStr">
        <is>
          <t>Convenience Store</t>
        </is>
      </c>
      <c r="E140" s="5" t="inlineStr">
        <is>
          <t>Medium</t>
        </is>
      </c>
      <c r="F140" s="5" t="inlineStr">
        <is>
          <t>01977 607202</t>
        </is>
      </c>
      <c r="G140" s="5" t="inlineStr"/>
      <c r="H140" s="5" t="inlineStr"/>
      <c r="I140" s="5" t="inlineStr"/>
      <c r="J140" s="5" t="inlineStr"/>
      <c r="K140" s="5" t="inlineStr">
        <is>
          <t>New</t>
        </is>
      </c>
      <c r="L140" s="5" t="inlineStr">
        <is>
          <t>2026-09-16</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WY-0127</t>
        </is>
      </c>
      <c r="B141" s="10" t="inlineStr">
        <is>
          <t>Notay Convenience Store (Premier)</t>
        </is>
      </c>
      <c r="C141" s="10" t="inlineStr">
        <is>
          <t>Batley</t>
        </is>
      </c>
      <c r="D141" s="10" t="inlineStr">
        <is>
          <t>Convenience Store</t>
        </is>
      </c>
      <c r="E141" s="10" t="inlineStr">
        <is>
          <t>Medium</t>
        </is>
      </c>
      <c r="F141" s="10" t="inlineStr">
        <is>
          <t>01924 471483</t>
        </is>
      </c>
      <c r="G141" s="10" t="inlineStr"/>
      <c r="H141" s="10" t="inlineStr"/>
      <c r="I141" s="10" t="inlineStr"/>
      <c r="J141" s="10" t="inlineStr"/>
      <c r="K141" s="10" t="inlineStr">
        <is>
          <t>New</t>
        </is>
      </c>
      <c r="L141" s="10" t="inlineStr">
        <is>
          <t>2026-09-16</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WY-0130</t>
        </is>
      </c>
      <c r="B142" s="5" t="inlineStr">
        <is>
          <t>Pakeezah Superstore</t>
        </is>
      </c>
      <c r="C142" s="5" t="inlineStr">
        <is>
          <t>Bradford</t>
        </is>
      </c>
      <c r="D142" s="5" t="inlineStr">
        <is>
          <t>Independent Supermarket</t>
        </is>
      </c>
      <c r="E142" s="5" t="inlineStr">
        <is>
          <t>Medium</t>
        </is>
      </c>
      <c r="F142" s="5" t="inlineStr">
        <is>
          <t>01274 739500</t>
        </is>
      </c>
      <c r="G142" s="5" t="inlineStr">
        <is>
          <t>info@pakeezah.com</t>
        </is>
      </c>
      <c r="H142" s="5" t="inlineStr"/>
      <c r="I142" s="5" t="inlineStr"/>
      <c r="J142" s="5" t="inlineStr"/>
      <c r="K142" s="5" t="inlineStr">
        <is>
          <t>New</t>
        </is>
      </c>
      <c r="L142" s="5" t="inlineStr">
        <is>
          <t>2026-09-16</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WY-0131</t>
        </is>
      </c>
      <c r="B143" s="10" t="inlineStr">
        <is>
          <t>Phantom Vape Store</t>
        </is>
      </c>
      <c r="C143" s="10" t="inlineStr">
        <is>
          <t>Dewsbury</t>
        </is>
      </c>
      <c r="D143" s="10" t="inlineStr">
        <is>
          <t>Vape Shop</t>
        </is>
      </c>
      <c r="E143" s="10" t="inlineStr">
        <is>
          <t>Medium</t>
        </is>
      </c>
      <c r="F143" s="10" t="inlineStr"/>
      <c r="G143" s="10" t="inlineStr"/>
      <c r="H143" s="10" t="inlineStr"/>
      <c r="I143" s="10" t="inlineStr"/>
      <c r="J143" s="10" t="inlineStr"/>
      <c r="K143" s="10" t="inlineStr">
        <is>
          <t>New</t>
        </is>
      </c>
      <c r="L143" s="10" t="inlineStr">
        <is>
          <t>2026-09-16</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WY-0132</t>
        </is>
      </c>
      <c r="B144" s="5" t="inlineStr">
        <is>
          <t>Phoenix Filling Station</t>
        </is>
      </c>
      <c r="C144" s="5" t="inlineStr">
        <is>
          <t>Bradford</t>
        </is>
      </c>
      <c r="D144" s="5" t="inlineStr">
        <is>
          <t>Petrol Station / Forecourt</t>
        </is>
      </c>
      <c r="E144" s="5" t="inlineStr">
        <is>
          <t>Medium</t>
        </is>
      </c>
      <c r="F144" s="5" t="inlineStr">
        <is>
          <t>01274 721896</t>
        </is>
      </c>
      <c r="G144" s="5" t="inlineStr"/>
      <c r="H144" s="5" t="inlineStr"/>
      <c r="I144" s="5" t="inlineStr"/>
      <c r="J144" s="5" t="inlineStr"/>
      <c r="K144" s="5" t="inlineStr">
        <is>
          <t>New</t>
        </is>
      </c>
      <c r="L144" s="5" t="inlineStr">
        <is>
          <t>2026-09-16</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UK-000267</t>
        </is>
      </c>
      <c r="B145" s="10" t="inlineStr">
        <is>
          <t>Platinum Vape Hull</t>
        </is>
      </c>
      <c r="C145" s="10" t="inlineStr">
        <is>
          <t>Kingston upon Hull</t>
        </is>
      </c>
      <c r="D145" s="10" t="inlineStr">
        <is>
          <t>Vape Shop</t>
        </is>
      </c>
      <c r="E145" s="10" t="inlineStr">
        <is>
          <t>Medium</t>
        </is>
      </c>
      <c r="F145" s="10" t="inlineStr"/>
      <c r="G145" s="10" t="inlineStr"/>
      <c r="H145" s="10" t="inlineStr"/>
      <c r="I145" s="10" t="inlineStr"/>
      <c r="J145" s="10" t="inlineStr"/>
      <c r="K145" s="10" t="inlineStr">
        <is>
          <t>New</t>
        </is>
      </c>
      <c r="L145" s="10" t="inlineStr">
        <is>
          <t>2026-09-16</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UK-000206</t>
        </is>
      </c>
      <c r="B146" s="5" t="inlineStr">
        <is>
          <t>Premier (Grimsby Road, Cleethorpes)</t>
        </is>
      </c>
      <c r="C146" s="5" t="inlineStr">
        <is>
          <t>Cleethorpes</t>
        </is>
      </c>
      <c r="D146" s="5" t="inlineStr">
        <is>
          <t>Convenience Store</t>
        </is>
      </c>
      <c r="E146" s="5" t="inlineStr">
        <is>
          <t>Medium</t>
        </is>
      </c>
      <c r="F146" s="5" t="inlineStr"/>
      <c r="G146" s="5" t="inlineStr"/>
      <c r="H146" s="5" t="inlineStr"/>
      <c r="I146" s="5" t="inlineStr"/>
      <c r="J146" s="5" t="inlineStr"/>
      <c r="K146" s="5" t="inlineStr">
        <is>
          <t>New</t>
        </is>
      </c>
      <c r="L146" s="5" t="inlineStr">
        <is>
          <t>2026-09-16</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UK-000204</t>
        </is>
      </c>
      <c r="B147" s="10" t="inlineStr">
        <is>
          <t>Premier Stores Ripon</t>
        </is>
      </c>
      <c r="C147" s="10" t="inlineStr">
        <is>
          <t>Ripon</t>
        </is>
      </c>
      <c r="D147" s="10" t="inlineStr">
        <is>
          <t>Convenience Store</t>
        </is>
      </c>
      <c r="E147" s="10" t="inlineStr">
        <is>
          <t>Medium</t>
        </is>
      </c>
      <c r="F147" s="10" t="inlineStr"/>
      <c r="G147" s="10" t="inlineStr"/>
      <c r="H147" s="10" t="inlineStr"/>
      <c r="I147" s="10" t="inlineStr"/>
      <c r="J147" s="10" t="inlineStr"/>
      <c r="K147" s="10" t="inlineStr">
        <is>
          <t>New</t>
        </is>
      </c>
      <c r="L147" s="10" t="inlineStr">
        <is>
          <t>2026-09-16</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UK-000208</t>
        </is>
      </c>
      <c r="B148" s="5" t="inlineStr">
        <is>
          <t>Premier Super Convenience Store Barnsley</t>
        </is>
      </c>
      <c r="C148" s="5" t="inlineStr">
        <is>
          <t>Barnsley</t>
        </is>
      </c>
      <c r="D148" s="5" t="inlineStr">
        <is>
          <t>Convenience Store</t>
        </is>
      </c>
      <c r="E148" s="5" t="inlineStr">
        <is>
          <t>Medium</t>
        </is>
      </c>
      <c r="F148" s="5" t="inlineStr"/>
      <c r="G148" s="5" t="inlineStr"/>
      <c r="H148" s="5" t="inlineStr"/>
      <c r="I148" s="5" t="inlineStr"/>
      <c r="J148" s="5" t="inlineStr"/>
      <c r="K148" s="5" t="inlineStr">
        <is>
          <t>New</t>
        </is>
      </c>
      <c r="L148" s="5" t="inlineStr">
        <is>
          <t>2026-09-16</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WY-0135</t>
        </is>
      </c>
      <c r="B149" s="10" t="inlineStr">
        <is>
          <t>Premier Wholesale Cash &amp; Carry</t>
        </is>
      </c>
      <c r="C149" s="10" t="inlineStr">
        <is>
          <t>Huddersfield</t>
        </is>
      </c>
      <c r="D149" s="10" t="inlineStr">
        <is>
          <t>Cash &amp; Carry</t>
        </is>
      </c>
      <c r="E149" s="10" t="inlineStr">
        <is>
          <t>Medium</t>
        </is>
      </c>
      <c r="F149" s="10" t="inlineStr"/>
      <c r="G149" s="10" t="inlineStr"/>
      <c r="H149" s="10" t="inlineStr"/>
      <c r="I149" s="10" t="inlineStr"/>
      <c r="J149" s="10" t="inlineStr"/>
      <c r="K149" s="10" t="inlineStr">
        <is>
          <t>New</t>
        </is>
      </c>
      <c r="L149" s="10" t="inlineStr">
        <is>
          <t>2026-09-16</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UK-000209</t>
        </is>
      </c>
      <c r="B150" s="5" t="inlineStr">
        <is>
          <t>Premier Wombwell Convenience Store</t>
        </is>
      </c>
      <c r="C150" s="5" t="inlineStr">
        <is>
          <t>Barnsley</t>
        </is>
      </c>
      <c r="D150" s="5" t="inlineStr">
        <is>
          <t>Convenience Store</t>
        </is>
      </c>
      <c r="E150" s="5" t="inlineStr">
        <is>
          <t>Medium</t>
        </is>
      </c>
      <c r="F150" s="5" t="inlineStr"/>
      <c r="G150" s="5" t="inlineStr"/>
      <c r="H150" s="5" t="inlineStr"/>
      <c r="I150" s="5" t="inlineStr"/>
      <c r="J150" s="5" t="inlineStr"/>
      <c r="K150" s="5" t="inlineStr">
        <is>
          <t>New</t>
        </is>
      </c>
      <c r="L150" s="5" t="inlineStr">
        <is>
          <t>2026-09-16</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UK-000268</t>
        </is>
      </c>
      <c r="B151" s="10" t="inlineStr">
        <is>
          <t>Rawal Lounge Sheffield</t>
        </is>
      </c>
      <c r="C151" s="10" t="inlineStr">
        <is>
          <t>Sheffield</t>
        </is>
      </c>
      <c r="D151" s="10" t="inlineStr">
        <is>
          <t>Smoke / Shisha Shop</t>
        </is>
      </c>
      <c r="E151" s="10" t="inlineStr">
        <is>
          <t>Medium</t>
        </is>
      </c>
      <c r="F151" s="10" t="inlineStr"/>
      <c r="G151" s="10" t="inlineStr">
        <is>
          <t>rawalloungesheffield@hotmail.com</t>
        </is>
      </c>
      <c r="H151" s="10" t="inlineStr"/>
      <c r="I151" s="10" t="inlineStr"/>
      <c r="J151" s="10" t="inlineStr"/>
      <c r="K151" s="10" t="inlineStr">
        <is>
          <t>New</t>
        </is>
      </c>
      <c r="L151" s="10" t="inlineStr">
        <is>
          <t>2026-09-16</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UK-000269</t>
        </is>
      </c>
      <c r="B152" s="5" t="inlineStr">
        <is>
          <t>Retreat Sheesha Lounge</t>
        </is>
      </c>
      <c r="C152" s="5" t="inlineStr">
        <is>
          <t>Kingston upon Hull</t>
        </is>
      </c>
      <c r="D152" s="5" t="inlineStr">
        <is>
          <t>Smoke / Shisha Shop</t>
        </is>
      </c>
      <c r="E152" s="5" t="inlineStr">
        <is>
          <t>Medium</t>
        </is>
      </c>
      <c r="F152" s="5" t="inlineStr"/>
      <c r="G152" s="5" t="inlineStr"/>
      <c r="H152" s="5" t="inlineStr"/>
      <c r="I152" s="5" t="inlineStr"/>
      <c r="J152" s="5" t="inlineStr"/>
      <c r="K152" s="5" t="inlineStr">
        <is>
          <t>New</t>
        </is>
      </c>
      <c r="L152" s="5" t="inlineStr">
        <is>
          <t>2026-09-16</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WY-0138</t>
        </is>
      </c>
      <c r="B153" s="10" t="inlineStr">
        <is>
          <t>Revo Vapes</t>
        </is>
      </c>
      <c r="C153" s="10" t="inlineStr">
        <is>
          <t>Morley</t>
        </is>
      </c>
      <c r="D153" s="10" t="inlineStr">
        <is>
          <t>Vape Shop</t>
        </is>
      </c>
      <c r="E153" s="10" t="inlineStr">
        <is>
          <t>Medium</t>
        </is>
      </c>
      <c r="F153" s="10" t="inlineStr"/>
      <c r="G153" s="10" t="inlineStr"/>
      <c r="H153" s="10" t="inlineStr"/>
      <c r="I153" s="10" t="inlineStr"/>
      <c r="J153" s="10" t="inlineStr"/>
      <c r="K153" s="10" t="inlineStr">
        <is>
          <t>New</t>
        </is>
      </c>
      <c r="L153" s="10" t="inlineStr">
        <is>
          <t>2026-09-16</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UK-000270</t>
        </is>
      </c>
      <c r="B154" s="5" t="inlineStr">
        <is>
          <t>Revolution Vape</t>
        </is>
      </c>
      <c r="C154" s="5" t="inlineStr">
        <is>
          <t>Rotherham</t>
        </is>
      </c>
      <c r="D154" s="5" t="inlineStr">
        <is>
          <t>Vape Shop</t>
        </is>
      </c>
      <c r="E154" s="5" t="inlineStr">
        <is>
          <t>Medium</t>
        </is>
      </c>
      <c r="F154" s="5" t="inlineStr"/>
      <c r="G154" s="5" t="inlineStr"/>
      <c r="H154" s="5" t="inlineStr"/>
      <c r="I154" s="5" t="inlineStr"/>
      <c r="J154" s="5" t="inlineStr"/>
      <c r="K154" s="5" t="inlineStr">
        <is>
          <t>New</t>
        </is>
      </c>
      <c r="L154" s="5" t="inlineStr">
        <is>
          <t>2026-09-16</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UK-000273</t>
        </is>
      </c>
      <c r="B155" s="10" t="inlineStr">
        <is>
          <t>Ryedale Vapour</t>
        </is>
      </c>
      <c r="C155" s="10" t="inlineStr">
        <is>
          <t>Malton</t>
        </is>
      </c>
      <c r="D155" s="10" t="inlineStr">
        <is>
          <t>Vape Shop</t>
        </is>
      </c>
      <c r="E155" s="10" t="inlineStr">
        <is>
          <t>Medium</t>
        </is>
      </c>
      <c r="F155" s="10" t="inlineStr">
        <is>
          <t>01653 228160</t>
        </is>
      </c>
      <c r="G155" s="10" t="inlineStr"/>
      <c r="H155" s="10" t="inlineStr"/>
      <c r="I155" s="10" t="inlineStr"/>
      <c r="J155" s="10" t="inlineStr"/>
      <c r="K155" s="10" t="inlineStr">
        <is>
          <t>New</t>
        </is>
      </c>
      <c r="L155" s="10" t="inlineStr">
        <is>
          <t>2026-09-16</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UK-000211</t>
        </is>
      </c>
      <c r="B156" s="5" t="inlineStr">
        <is>
          <t>SMKD Barnsley</t>
        </is>
      </c>
      <c r="C156" s="5" t="inlineStr">
        <is>
          <t>Barnsley</t>
        </is>
      </c>
      <c r="D156" s="5" t="inlineStr">
        <is>
          <t>Vape Shop</t>
        </is>
      </c>
      <c r="E156" s="5" t="inlineStr">
        <is>
          <t>Medium</t>
        </is>
      </c>
      <c r="F156" s="5" t="inlineStr"/>
      <c r="G156" s="5" t="inlineStr"/>
      <c r="H156" s="5" t="inlineStr"/>
      <c r="I156" s="5" t="inlineStr"/>
      <c r="J156" s="5" t="inlineStr"/>
      <c r="K156" s="5" t="inlineStr">
        <is>
          <t>New</t>
        </is>
      </c>
      <c r="L156" s="5" t="inlineStr">
        <is>
          <t>2026-09-16</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UK-000212</t>
        </is>
      </c>
      <c r="B157" s="10" t="inlineStr">
        <is>
          <t>SMKD Rotherham</t>
        </is>
      </c>
      <c r="C157" s="10" t="inlineStr">
        <is>
          <t>Rotherham</t>
        </is>
      </c>
      <c r="D157" s="10" t="inlineStr">
        <is>
          <t>Vape Shop</t>
        </is>
      </c>
      <c r="E157" s="10" t="inlineStr">
        <is>
          <t>Medium</t>
        </is>
      </c>
      <c r="F157" s="10" t="inlineStr">
        <is>
          <t>01274 270303</t>
        </is>
      </c>
      <c r="G157" s="10" t="inlineStr"/>
      <c r="H157" s="10" t="inlineStr"/>
      <c r="I157" s="10" t="inlineStr"/>
      <c r="J157" s="10" t="inlineStr"/>
      <c r="K157" s="10" t="inlineStr">
        <is>
          <t>New</t>
        </is>
      </c>
      <c r="L157" s="10" t="inlineStr">
        <is>
          <t>2026-09-16</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UK-000213</t>
        </is>
      </c>
      <c r="B158" s="5" t="inlineStr">
        <is>
          <t>SPAR Barnsley Road</t>
        </is>
      </c>
      <c r="C158" s="5" t="inlineStr">
        <is>
          <t>Barnsley</t>
        </is>
      </c>
      <c r="D158" s="5" t="inlineStr">
        <is>
          <t>Convenience Store</t>
        </is>
      </c>
      <c r="E158" s="5" t="inlineStr">
        <is>
          <t>Medium</t>
        </is>
      </c>
      <c r="F158" s="5" t="inlineStr"/>
      <c r="G158" s="5" t="inlineStr"/>
      <c r="H158" s="5" t="inlineStr"/>
      <c r="I158" s="5" t="inlineStr"/>
      <c r="J158" s="5" t="inlineStr"/>
      <c r="K158" s="5" t="inlineStr">
        <is>
          <t>New</t>
        </is>
      </c>
      <c r="L158" s="5" t="inlineStr">
        <is>
          <t>2026-09-16</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WY-0141</t>
        </is>
      </c>
      <c r="B159" s="10" t="inlineStr">
        <is>
          <t>SPAR Huddersfield Road</t>
        </is>
      </c>
      <c r="C159" s="10" t="inlineStr">
        <is>
          <t>Elland</t>
        </is>
      </c>
      <c r="D159" s="10" t="inlineStr">
        <is>
          <t>Convenience Store</t>
        </is>
      </c>
      <c r="E159" s="10" t="inlineStr">
        <is>
          <t>Medium</t>
        </is>
      </c>
      <c r="F159" s="10" t="inlineStr">
        <is>
          <t>01422 648232</t>
        </is>
      </c>
      <c r="G159" s="10" t="inlineStr"/>
      <c r="H159" s="10" t="inlineStr"/>
      <c r="I159" s="10" t="inlineStr"/>
      <c r="J159" s="10" t="inlineStr"/>
      <c r="K159" s="10" t="inlineStr">
        <is>
          <t>New</t>
        </is>
      </c>
      <c r="L159" s="10" t="inlineStr">
        <is>
          <t>2026-09-16</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WY-0142</t>
        </is>
      </c>
      <c r="B160" s="5" t="inlineStr">
        <is>
          <t>SPAR Outwood</t>
        </is>
      </c>
      <c r="C160" s="5" t="inlineStr">
        <is>
          <t>Wakefield</t>
        </is>
      </c>
      <c r="D160" s="5" t="inlineStr">
        <is>
          <t>Convenience Store</t>
        </is>
      </c>
      <c r="E160" s="5" t="inlineStr">
        <is>
          <t>Medium</t>
        </is>
      </c>
      <c r="F160" s="5" t="inlineStr">
        <is>
          <t>01924 822641</t>
        </is>
      </c>
      <c r="G160" s="5" t="inlineStr"/>
      <c r="H160" s="5" t="inlineStr"/>
      <c r="I160" s="5" t="inlineStr"/>
      <c r="J160" s="5" t="inlineStr"/>
      <c r="K160" s="5" t="inlineStr">
        <is>
          <t>New</t>
        </is>
      </c>
      <c r="L160" s="5" t="inlineStr">
        <is>
          <t>2026-09-16</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UK-000275</t>
        </is>
      </c>
      <c r="B161" s="10" t="inlineStr">
        <is>
          <t>Sako Polish Shop Doncaster</t>
        </is>
      </c>
      <c r="C161" s="10" t="inlineStr">
        <is>
          <t>Doncaster</t>
        </is>
      </c>
      <c r="D161" s="10" t="inlineStr">
        <is>
          <t>Independent Supermarket</t>
        </is>
      </c>
      <c r="E161" s="10" t="inlineStr">
        <is>
          <t>Medium</t>
        </is>
      </c>
      <c r="F161" s="10" t="inlineStr"/>
      <c r="G161" s="10" t="inlineStr"/>
      <c r="H161" s="10" t="inlineStr"/>
      <c r="I161" s="10" t="inlineStr"/>
      <c r="J161" s="10" t="inlineStr"/>
      <c r="K161" s="10" t="inlineStr">
        <is>
          <t>New</t>
        </is>
      </c>
      <c r="L161" s="10" t="inlineStr">
        <is>
          <t>2026-09-16</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WY-0143</t>
        </is>
      </c>
      <c r="B162" s="5" t="inlineStr">
        <is>
          <t>SaveCo Cash &amp; Carry Bradford</t>
        </is>
      </c>
      <c r="C162" s="5" t="inlineStr">
        <is>
          <t>Bradford</t>
        </is>
      </c>
      <c r="D162" s="5" t="inlineStr">
        <is>
          <t>Cash &amp; Carry</t>
        </is>
      </c>
      <c r="E162" s="5" t="inlineStr">
        <is>
          <t>Medium</t>
        </is>
      </c>
      <c r="F162" s="5" t="inlineStr">
        <is>
          <t>01274 665555</t>
        </is>
      </c>
      <c r="G162" s="5" t="inlineStr"/>
      <c r="H162" s="5" t="inlineStr"/>
      <c r="I162" s="5" t="inlineStr"/>
      <c r="J162" s="5" t="inlineStr"/>
      <c r="K162" s="5" t="inlineStr">
        <is>
          <t>New</t>
        </is>
      </c>
      <c r="L162" s="5" t="inlineStr">
        <is>
          <t>2026-09-16</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UK-000276</t>
        </is>
      </c>
      <c r="B163" s="10" t="inlineStr">
        <is>
          <t>Selby Vapes</t>
        </is>
      </c>
      <c r="C163" s="10" t="inlineStr">
        <is>
          <t>Selby</t>
        </is>
      </c>
      <c r="D163" s="10" t="inlineStr">
        <is>
          <t>Vape Shop</t>
        </is>
      </c>
      <c r="E163" s="10" t="inlineStr">
        <is>
          <t>Medium</t>
        </is>
      </c>
      <c r="F163" s="10" t="inlineStr">
        <is>
          <t>07772 913458</t>
        </is>
      </c>
      <c r="G163" s="10" t="inlineStr"/>
      <c r="H163" s="10" t="inlineStr"/>
      <c r="I163" s="10" t="inlineStr"/>
      <c r="J163" s="10" t="inlineStr"/>
      <c r="K163" s="10" t="inlineStr">
        <is>
          <t>New</t>
        </is>
      </c>
      <c r="L163" s="10" t="inlineStr">
        <is>
          <t>2026-09-16</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WY-0145</t>
        </is>
      </c>
      <c r="B164" s="5" t="inlineStr">
        <is>
          <t>Shans Supermarket</t>
        </is>
      </c>
      <c r="C164" s="5" t="inlineStr">
        <is>
          <t>Keighley</t>
        </is>
      </c>
      <c r="D164" s="5" t="inlineStr">
        <is>
          <t>Independent Supermarket</t>
        </is>
      </c>
      <c r="E164" s="5" t="inlineStr">
        <is>
          <t>Medium</t>
        </is>
      </c>
      <c r="F164" s="5" t="inlineStr">
        <is>
          <t>01535 667889</t>
        </is>
      </c>
      <c r="G164" s="5" t="inlineStr"/>
      <c r="H164" s="5" t="inlineStr"/>
      <c r="I164" s="5" t="inlineStr"/>
      <c r="J164" s="5" t="inlineStr"/>
      <c r="K164" s="5" t="inlineStr">
        <is>
          <t>New</t>
        </is>
      </c>
      <c r="L164" s="5" t="inlineStr">
        <is>
          <t>2026-09-16</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UK-000210</t>
        </is>
      </c>
      <c r="B165" s="10" t="inlineStr">
        <is>
          <t>Sheffield Road Premier Convenience Store</t>
        </is>
      </c>
      <c r="C165" s="10" t="inlineStr">
        <is>
          <t>Barnsley</t>
        </is>
      </c>
      <c r="D165" s="10" t="inlineStr">
        <is>
          <t>Convenience Store</t>
        </is>
      </c>
      <c r="E165" s="10" t="inlineStr">
        <is>
          <t>Medium</t>
        </is>
      </c>
      <c r="F165" s="10" t="inlineStr"/>
      <c r="G165" s="10" t="inlineStr"/>
      <c r="H165" s="10" t="inlineStr"/>
      <c r="I165" s="10" t="inlineStr"/>
      <c r="J165" s="10" t="inlineStr"/>
      <c r="K165" s="10" t="inlineStr">
        <is>
          <t>New</t>
        </is>
      </c>
      <c r="L165" s="10" t="inlineStr">
        <is>
          <t>2026-09-16</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WY-0147</t>
        </is>
      </c>
      <c r="B166" s="5" t="inlineStr">
        <is>
          <t>Shoesmiths Tobacconist</t>
        </is>
      </c>
      <c r="C166" s="5" t="inlineStr">
        <is>
          <t>Halifax</t>
        </is>
      </c>
      <c r="D166" s="5" t="inlineStr">
        <is>
          <t>Tobacco Specialist</t>
        </is>
      </c>
      <c r="E166" s="5" t="inlineStr">
        <is>
          <t>Medium</t>
        </is>
      </c>
      <c r="F166" s="5" t="inlineStr"/>
      <c r="G166" s="5" t="inlineStr"/>
      <c r="H166" s="5" t="inlineStr"/>
      <c r="I166" s="5" t="inlineStr"/>
      <c r="J166" s="5" t="inlineStr"/>
      <c r="K166" s="5" t="inlineStr">
        <is>
          <t>New</t>
        </is>
      </c>
      <c r="L166" s="5" t="inlineStr">
        <is>
          <t>2026-09-16</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UK-000277</t>
        </is>
      </c>
      <c r="B167" s="10" t="inlineStr">
        <is>
          <t>Smoke &amp; Vape Barnsley</t>
        </is>
      </c>
      <c r="C167" s="10" t="inlineStr">
        <is>
          <t>Barnsley</t>
        </is>
      </c>
      <c r="D167" s="10" t="inlineStr">
        <is>
          <t>Smoke / Shisha Shop</t>
        </is>
      </c>
      <c r="E167" s="10" t="inlineStr">
        <is>
          <t>Medium</t>
        </is>
      </c>
      <c r="F167" s="10" t="inlineStr">
        <is>
          <t>01226 953777</t>
        </is>
      </c>
      <c r="G167" s="10" t="inlineStr"/>
      <c r="H167" s="10" t="inlineStr"/>
      <c r="I167" s="10" t="inlineStr"/>
      <c r="J167" s="10" t="inlineStr"/>
      <c r="K167" s="10" t="inlineStr">
        <is>
          <t>New</t>
        </is>
      </c>
      <c r="L167" s="10" t="inlineStr">
        <is>
          <t>2026-09-16</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UK-000278</t>
        </is>
      </c>
      <c r="B168" s="5" t="inlineStr">
        <is>
          <t>Smoke Free Skipton</t>
        </is>
      </c>
      <c r="C168" s="5" t="inlineStr">
        <is>
          <t>Skipton</t>
        </is>
      </c>
      <c r="D168" s="5" t="inlineStr">
        <is>
          <t>Vape Shop</t>
        </is>
      </c>
      <c r="E168" s="5" t="inlineStr">
        <is>
          <t>Medium</t>
        </is>
      </c>
      <c r="F168" s="5" t="inlineStr"/>
      <c r="G168" s="5" t="inlineStr"/>
      <c r="H168" s="5" t="inlineStr"/>
      <c r="I168" s="5" t="inlineStr"/>
      <c r="J168" s="5" t="inlineStr"/>
      <c r="K168" s="5" t="inlineStr">
        <is>
          <t>New</t>
        </is>
      </c>
      <c r="L168" s="5" t="inlineStr">
        <is>
          <t>2026-09-16</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WY-0149</t>
        </is>
      </c>
      <c r="B169" s="10" t="inlineStr">
        <is>
          <t>Smokers D'Lite</t>
        </is>
      </c>
      <c r="C169" s="10" t="inlineStr">
        <is>
          <t>Leeds</t>
        </is>
      </c>
      <c r="D169" s="10" t="inlineStr">
        <is>
          <t>Vape Shop</t>
        </is>
      </c>
      <c r="E169" s="10" t="inlineStr">
        <is>
          <t>Medium</t>
        </is>
      </c>
      <c r="F169" s="10" t="inlineStr"/>
      <c r="G169" s="10" t="inlineStr"/>
      <c r="H169" s="10" t="inlineStr"/>
      <c r="I169" s="10" t="inlineStr"/>
      <c r="J169" s="10" t="inlineStr"/>
      <c r="K169" s="10" t="inlineStr">
        <is>
          <t>New</t>
        </is>
      </c>
      <c r="L169" s="10" t="inlineStr">
        <is>
          <t>2026-09-16</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WY-0150</t>
        </is>
      </c>
      <c r="B170" s="5" t="inlineStr">
        <is>
          <t>Somers of Keighley</t>
        </is>
      </c>
      <c r="C170" s="5" t="inlineStr">
        <is>
          <t>Keighley</t>
        </is>
      </c>
      <c r="D170" s="5" t="inlineStr">
        <is>
          <t>Tobacco Specialist</t>
        </is>
      </c>
      <c r="E170" s="5" t="inlineStr">
        <is>
          <t>Medium</t>
        </is>
      </c>
      <c r="F170" s="5" t="inlineStr">
        <is>
          <t>01535 604678</t>
        </is>
      </c>
      <c r="G170" s="5" t="inlineStr"/>
      <c r="H170" s="5" t="inlineStr"/>
      <c r="I170" s="5" t="inlineStr"/>
      <c r="J170" s="5" t="inlineStr"/>
      <c r="K170" s="5" t="inlineStr">
        <is>
          <t>New</t>
        </is>
      </c>
      <c r="L170" s="5" t="inlineStr">
        <is>
          <t>2026-09-16</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UK-000214</t>
        </is>
      </c>
      <c r="B171" s="10" t="inlineStr">
        <is>
          <t>Spar (Trinity Road, Cleethorpes)</t>
        </is>
      </c>
      <c r="C171" s="10" t="inlineStr">
        <is>
          <t>Cleethorpes</t>
        </is>
      </c>
      <c r="D171" s="10" t="inlineStr">
        <is>
          <t>Convenience Store</t>
        </is>
      </c>
      <c r="E171" s="10" t="inlineStr">
        <is>
          <t>Medium</t>
        </is>
      </c>
      <c r="F171" s="10" t="inlineStr"/>
      <c r="G171" s="10" t="inlineStr"/>
      <c r="H171" s="10" t="inlineStr"/>
      <c r="I171" s="10" t="inlineStr"/>
      <c r="J171" s="10" t="inlineStr"/>
      <c r="K171" s="10" t="inlineStr">
        <is>
          <t>New</t>
        </is>
      </c>
      <c r="L171" s="10" t="inlineStr">
        <is>
          <t>2026-09-16</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WY-0156</t>
        </is>
      </c>
      <c r="B172" s="5" t="inlineStr">
        <is>
          <t>Suki's Cash &amp; Carry</t>
        </is>
      </c>
      <c r="C172" s="5" t="inlineStr">
        <is>
          <t>Bradford</t>
        </is>
      </c>
      <c r="D172" s="5" t="inlineStr">
        <is>
          <t>Cash &amp; Carry</t>
        </is>
      </c>
      <c r="E172" s="5" t="inlineStr">
        <is>
          <t>Medium</t>
        </is>
      </c>
      <c r="F172" s="5" t="inlineStr">
        <is>
          <t>01274 736093</t>
        </is>
      </c>
      <c r="G172" s="5" t="inlineStr"/>
      <c r="H172" s="5" t="inlineStr"/>
      <c r="I172" s="5" t="inlineStr"/>
      <c r="J172" s="5" t="inlineStr"/>
      <c r="K172" s="5" t="inlineStr">
        <is>
          <t>New</t>
        </is>
      </c>
      <c r="L172" s="5" t="inlineStr">
        <is>
          <t>2026-09-16</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WY-0157</t>
        </is>
      </c>
      <c r="B173" s="10" t="inlineStr">
        <is>
          <t>Sup Mirfield</t>
        </is>
      </c>
      <c r="C173" s="10" t="inlineStr">
        <is>
          <t>Mirfield</t>
        </is>
      </c>
      <c r="D173" s="10" t="inlineStr">
        <is>
          <t>Convenience Store</t>
        </is>
      </c>
      <c r="E173" s="10" t="inlineStr">
        <is>
          <t>Medium</t>
        </is>
      </c>
      <c r="F173" s="10" t="inlineStr">
        <is>
          <t>07387 294049</t>
        </is>
      </c>
      <c r="G173" s="10" t="inlineStr"/>
      <c r="H173" s="10" t="inlineStr"/>
      <c r="I173" s="10" t="inlineStr"/>
      <c r="J173" s="10" t="inlineStr"/>
      <c r="K173" s="10" t="inlineStr">
        <is>
          <t>New</t>
        </is>
      </c>
      <c r="L173" s="10" t="inlineStr">
        <is>
          <t>2026-09-16</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UK-000280</t>
        </is>
      </c>
      <c r="B174" s="5" t="inlineStr">
        <is>
          <t>TLC (Top Lines Catering Supplies)</t>
        </is>
      </c>
      <c r="C174" s="5" t="inlineStr">
        <is>
          <t>Sheffield</t>
        </is>
      </c>
      <c r="D174" s="5" t="inlineStr">
        <is>
          <t>Cash &amp; Carry</t>
        </is>
      </c>
      <c r="E174" s="5" t="inlineStr">
        <is>
          <t>Medium</t>
        </is>
      </c>
      <c r="F174" s="5" t="inlineStr">
        <is>
          <t>0114 261 9999</t>
        </is>
      </c>
      <c r="G174" s="5" t="inlineStr"/>
      <c r="H174" s="5" t="inlineStr"/>
      <c r="I174" s="5" t="inlineStr"/>
      <c r="J174" s="5" t="inlineStr"/>
      <c r="K174" s="5" t="inlineStr">
        <is>
          <t>New</t>
        </is>
      </c>
      <c r="L174" s="5" t="inlineStr">
        <is>
          <t>2026-09-16</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UK-000215</t>
        </is>
      </c>
      <c r="B175" s="10" t="inlineStr">
        <is>
          <t>The Dram Shop</t>
        </is>
      </c>
      <c r="C175" s="10" t="inlineStr">
        <is>
          <t>Sheffield</t>
        </is>
      </c>
      <c r="D175" s="10" t="inlineStr">
        <is>
          <t>Off-Licence</t>
        </is>
      </c>
      <c r="E175" s="10" t="inlineStr">
        <is>
          <t>Medium</t>
        </is>
      </c>
      <c r="F175" s="10" t="inlineStr">
        <is>
          <t>0114 268 3117</t>
        </is>
      </c>
      <c r="G175" s="10" t="inlineStr"/>
      <c r="H175" s="10" t="inlineStr"/>
      <c r="I175" s="10" t="inlineStr"/>
      <c r="J175" s="10" t="inlineStr"/>
      <c r="K175" s="10" t="inlineStr">
        <is>
          <t>New</t>
        </is>
      </c>
      <c r="L175" s="10" t="inlineStr">
        <is>
          <t>2026-09-16</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UK-000282</t>
        </is>
      </c>
      <c r="B176" s="5" t="inlineStr">
        <is>
          <t>The Little Shop of Vapes</t>
        </is>
      </c>
      <c r="C176" s="5" t="inlineStr">
        <is>
          <t>Scarborough</t>
        </is>
      </c>
      <c r="D176" s="5" t="inlineStr">
        <is>
          <t>Vape Shop</t>
        </is>
      </c>
      <c r="E176" s="5" t="inlineStr">
        <is>
          <t>Medium</t>
        </is>
      </c>
      <c r="F176" s="5" t="inlineStr">
        <is>
          <t>01723 449978</t>
        </is>
      </c>
      <c r="G176" s="5" t="inlineStr"/>
      <c r="H176" s="5" t="inlineStr"/>
      <c r="I176" s="5" t="inlineStr"/>
      <c r="J176" s="5" t="inlineStr"/>
      <c r="K176" s="5" t="inlineStr">
        <is>
          <t>New</t>
        </is>
      </c>
      <c r="L176" s="5" t="inlineStr">
        <is>
          <t>2026-09-16</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UK-000203</t>
        </is>
      </c>
      <c r="B177" s="10" t="inlineStr">
        <is>
          <t>The Local (Marfleet Lane)</t>
        </is>
      </c>
      <c r="C177" s="10" t="inlineStr">
        <is>
          <t>Kingston upon Hull</t>
        </is>
      </c>
      <c r="D177" s="10" t="inlineStr">
        <is>
          <t>Convenience Store</t>
        </is>
      </c>
      <c r="E177" s="10" t="inlineStr">
        <is>
          <t>Medium</t>
        </is>
      </c>
      <c r="F177" s="10" t="inlineStr"/>
      <c r="G177" s="10" t="inlineStr"/>
      <c r="H177" s="10" t="inlineStr"/>
      <c r="I177" s="10" t="inlineStr">
        <is>
          <t>Prasath Balakrishnan</t>
        </is>
      </c>
      <c r="J177" s="10" t="inlineStr">
        <is>
          <t>Owner</t>
        </is>
      </c>
      <c r="K177" s="10" t="inlineStr">
        <is>
          <t>New</t>
        </is>
      </c>
      <c r="L177" s="10" t="inlineStr">
        <is>
          <t>2026-09-16</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WY-0160</t>
        </is>
      </c>
      <c r="B178" s="5" t="inlineStr">
        <is>
          <t>The Shisha Shop Bradford</t>
        </is>
      </c>
      <c r="C178" s="5" t="inlineStr">
        <is>
          <t>Bradford</t>
        </is>
      </c>
      <c r="D178" s="5" t="inlineStr">
        <is>
          <t>Smoke / Shisha Shop</t>
        </is>
      </c>
      <c r="E178" s="5" t="inlineStr">
        <is>
          <t>Medium</t>
        </is>
      </c>
      <c r="F178" s="5" t="inlineStr">
        <is>
          <t>07466 392838</t>
        </is>
      </c>
      <c r="G178" s="5" t="inlineStr"/>
      <c r="H178" s="5" t="inlineStr"/>
      <c r="I178" s="5" t="inlineStr"/>
      <c r="J178" s="5" t="inlineStr"/>
      <c r="K178" s="5" t="inlineStr">
        <is>
          <t>New</t>
        </is>
      </c>
      <c r="L178" s="5" t="inlineStr">
        <is>
          <t>2026-09-16</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UK-000283</t>
        </is>
      </c>
      <c r="B179" s="10" t="inlineStr">
        <is>
          <t>The Vape Centre York</t>
        </is>
      </c>
      <c r="C179" s="10" t="inlineStr">
        <is>
          <t>York</t>
        </is>
      </c>
      <c r="D179" s="10" t="inlineStr">
        <is>
          <t>Vape Shop</t>
        </is>
      </c>
      <c r="E179" s="10" t="inlineStr">
        <is>
          <t>Medium</t>
        </is>
      </c>
      <c r="F179" s="10" t="inlineStr">
        <is>
          <t>01904 927903</t>
        </is>
      </c>
      <c r="G179" s="10" t="inlineStr"/>
      <c r="H179" s="10" t="inlineStr"/>
      <c r="I179" s="10" t="inlineStr"/>
      <c r="J179" s="10" t="inlineStr"/>
      <c r="K179" s="10" t="inlineStr">
        <is>
          <t>New</t>
        </is>
      </c>
      <c r="L179" s="10" t="inlineStr">
        <is>
          <t>2026-09-16</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WY-0161</t>
        </is>
      </c>
      <c r="B180" s="5" t="inlineStr">
        <is>
          <t>The Vape Hub</t>
        </is>
      </c>
      <c r="C180" s="5" t="inlineStr">
        <is>
          <t>Bradford</t>
        </is>
      </c>
      <c r="D180" s="5" t="inlineStr">
        <is>
          <t>Vape Shop</t>
        </is>
      </c>
      <c r="E180" s="5" t="inlineStr">
        <is>
          <t>Medium</t>
        </is>
      </c>
      <c r="F180" s="5" t="inlineStr">
        <is>
          <t>01274 785496</t>
        </is>
      </c>
      <c r="G180" s="5" t="inlineStr"/>
      <c r="H180" s="5" t="inlineStr"/>
      <c r="I180" s="5" t="inlineStr"/>
      <c r="J180" s="5" t="inlineStr"/>
      <c r="K180" s="5" t="inlineStr">
        <is>
          <t>New</t>
        </is>
      </c>
      <c r="L180" s="5" t="inlineStr">
        <is>
          <t>2026-09-16</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UK-000284</t>
        </is>
      </c>
      <c r="B181" s="10" t="inlineStr">
        <is>
          <t>The Vape Lounge Scunthorpe</t>
        </is>
      </c>
      <c r="C181" s="10" t="inlineStr">
        <is>
          <t>Scunthorpe</t>
        </is>
      </c>
      <c r="D181" s="10" t="inlineStr">
        <is>
          <t>Vape Shop</t>
        </is>
      </c>
      <c r="E181" s="10" t="inlineStr">
        <is>
          <t>Medium</t>
        </is>
      </c>
      <c r="F181" s="10" t="inlineStr">
        <is>
          <t>01724 858999</t>
        </is>
      </c>
      <c r="G181" s="10" t="inlineStr"/>
      <c r="H181" s="10" t="inlineStr"/>
      <c r="I181" s="10" t="inlineStr"/>
      <c r="J181" s="10" t="inlineStr"/>
      <c r="K181" s="10" t="inlineStr">
        <is>
          <t>New</t>
        </is>
      </c>
      <c r="L181" s="10" t="inlineStr">
        <is>
          <t>2026-09-16</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UK-000285</t>
        </is>
      </c>
      <c r="B182" s="5" t="inlineStr">
        <is>
          <t>The Vape Lounge Thirsk</t>
        </is>
      </c>
      <c r="C182" s="5" t="inlineStr">
        <is>
          <t>Thirsk</t>
        </is>
      </c>
      <c r="D182" s="5" t="inlineStr">
        <is>
          <t>Vape Shop</t>
        </is>
      </c>
      <c r="E182" s="5" t="inlineStr">
        <is>
          <t>Medium</t>
        </is>
      </c>
      <c r="F182" s="5" t="inlineStr">
        <is>
          <t>01845 525571</t>
        </is>
      </c>
      <c r="G182" s="5" t="inlineStr"/>
      <c r="H182" s="5" t="inlineStr"/>
      <c r="I182" s="5" t="inlineStr"/>
      <c r="J182" s="5" t="inlineStr"/>
      <c r="K182" s="5" t="inlineStr">
        <is>
          <t>New</t>
        </is>
      </c>
      <c r="L182" s="5" t="inlineStr">
        <is>
          <t>2026-09-16</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WY-0162</t>
        </is>
      </c>
      <c r="B183" s="10" t="inlineStr">
        <is>
          <t>The Vape Shop Wakefield</t>
        </is>
      </c>
      <c r="C183" s="10" t="inlineStr">
        <is>
          <t>Wakefield</t>
        </is>
      </c>
      <c r="D183" s="10" t="inlineStr">
        <is>
          <t>Vape Shop</t>
        </is>
      </c>
      <c r="E183" s="10" t="inlineStr">
        <is>
          <t>Medium</t>
        </is>
      </c>
      <c r="F183" s="10" t="inlineStr"/>
      <c r="G183" s="10" t="inlineStr"/>
      <c r="H183" s="10" t="inlineStr"/>
      <c r="I183" s="10" t="inlineStr"/>
      <c r="J183" s="10" t="inlineStr"/>
      <c r="K183" s="10" t="inlineStr">
        <is>
          <t>New</t>
        </is>
      </c>
      <c r="L183" s="10" t="inlineStr">
        <is>
          <t>2026-09-16</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UK-000286</t>
        </is>
      </c>
      <c r="B184" s="5" t="inlineStr">
        <is>
          <t>The Vape Supermarket</t>
        </is>
      </c>
      <c r="C184" s="5" t="inlineStr">
        <is>
          <t>Barnsley</t>
        </is>
      </c>
      <c r="D184" s="5" t="inlineStr">
        <is>
          <t>Vape Shop</t>
        </is>
      </c>
      <c r="E184" s="5" t="inlineStr">
        <is>
          <t>Medium</t>
        </is>
      </c>
      <c r="F184" s="5" t="inlineStr"/>
      <c r="G184" s="5" t="inlineStr"/>
      <c r="H184" s="5" t="inlineStr"/>
      <c r="I184" s="5" t="inlineStr"/>
      <c r="J184" s="5" t="inlineStr"/>
      <c r="K184" s="5" t="inlineStr">
        <is>
          <t>New</t>
        </is>
      </c>
      <c r="L184" s="5" t="inlineStr">
        <is>
          <t>2026-09-16</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UK-000287</t>
        </is>
      </c>
      <c r="B185" s="10" t="inlineStr">
        <is>
          <t>The Vapers Guild</t>
        </is>
      </c>
      <c r="C185" s="10" t="inlineStr">
        <is>
          <t>Kingston upon Hull</t>
        </is>
      </c>
      <c r="D185" s="10" t="inlineStr">
        <is>
          <t>Vape Shop</t>
        </is>
      </c>
      <c r="E185" s="10" t="inlineStr">
        <is>
          <t>Medium</t>
        </is>
      </c>
      <c r="F185" s="10" t="inlineStr"/>
      <c r="G185" s="10" t="inlineStr"/>
      <c r="H185" s="10" t="inlineStr"/>
      <c r="I185" s="10" t="inlineStr"/>
      <c r="J185" s="10" t="inlineStr"/>
      <c r="K185" s="10" t="inlineStr">
        <is>
          <t>New</t>
        </is>
      </c>
      <c r="L185" s="10" t="inlineStr">
        <is>
          <t>2026-09-16</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WY-0163</t>
        </is>
      </c>
      <c r="B186" s="5" t="inlineStr">
        <is>
          <t>The Vintage Vapour Co</t>
        </is>
      </c>
      <c r="C186" s="5" t="inlineStr">
        <is>
          <t>Ossett</t>
        </is>
      </c>
      <c r="D186" s="5" t="inlineStr">
        <is>
          <t>Vape Shop</t>
        </is>
      </c>
      <c r="E186" s="5" t="inlineStr">
        <is>
          <t>Medium</t>
        </is>
      </c>
      <c r="F186" s="5" t="inlineStr"/>
      <c r="G186" s="5" t="inlineStr"/>
      <c r="H186" s="5" t="inlineStr"/>
      <c r="I186" s="5" t="inlineStr"/>
      <c r="J186" s="5" t="inlineStr"/>
      <c r="K186" s="5" t="inlineStr">
        <is>
          <t>New</t>
        </is>
      </c>
      <c r="L186" s="5" t="inlineStr">
        <is>
          <t>2026-09-16</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WY-0166</t>
        </is>
      </c>
      <c r="B187" s="10" t="inlineStr">
        <is>
          <t>Told Vape Co</t>
        </is>
      </c>
      <c r="C187" s="10" t="inlineStr">
        <is>
          <t>Horbury</t>
        </is>
      </c>
      <c r="D187" s="10" t="inlineStr">
        <is>
          <t>Vape Shop</t>
        </is>
      </c>
      <c r="E187" s="10" t="inlineStr">
        <is>
          <t>Medium</t>
        </is>
      </c>
      <c r="F187" s="10" t="inlineStr"/>
      <c r="G187" s="10" t="inlineStr"/>
      <c r="H187" s="10" t="inlineStr"/>
      <c r="I187" s="10" t="inlineStr"/>
      <c r="J187" s="10" t="inlineStr"/>
      <c r="K187" s="10" t="inlineStr">
        <is>
          <t>New</t>
        </is>
      </c>
      <c r="L187" s="10" t="inlineStr">
        <is>
          <t>2026-09-16</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WY-0032</t>
        </is>
      </c>
      <c r="B188" s="5" t="inlineStr">
        <is>
          <t>Totally Wicked</t>
        </is>
      </c>
      <c r="C188" s="5" t="inlineStr">
        <is>
          <t>Brighouse</t>
        </is>
      </c>
      <c r="D188" s="5" t="inlineStr">
        <is>
          <t>Vape Shop</t>
        </is>
      </c>
      <c r="E188" s="5" t="inlineStr">
        <is>
          <t>Medium</t>
        </is>
      </c>
      <c r="F188" s="5" t="inlineStr">
        <is>
          <t>01484 769431</t>
        </is>
      </c>
      <c r="G188" s="5" t="inlineStr"/>
      <c r="H188" s="5" t="inlineStr"/>
      <c r="I188" s="5" t="inlineStr"/>
      <c r="J188" s="5" t="inlineStr"/>
      <c r="K188" s="5" t="inlineStr">
        <is>
          <t>New</t>
        </is>
      </c>
      <c r="L188" s="5" t="inlineStr">
        <is>
          <t>2026-09-16</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WY-0033</t>
        </is>
      </c>
      <c r="B189" s="10" t="inlineStr">
        <is>
          <t>Totally Wicked</t>
        </is>
      </c>
      <c r="C189" s="10" t="inlineStr">
        <is>
          <t>Halifax</t>
        </is>
      </c>
      <c r="D189" s="10" t="inlineStr">
        <is>
          <t>Vape Shop</t>
        </is>
      </c>
      <c r="E189" s="10" t="inlineStr">
        <is>
          <t>Medium</t>
        </is>
      </c>
      <c r="F189" s="10" t="inlineStr">
        <is>
          <t>01422 320223</t>
        </is>
      </c>
      <c r="G189" s="10" t="inlineStr"/>
      <c r="H189" s="10" t="inlineStr"/>
      <c r="I189" s="10" t="inlineStr"/>
      <c r="J189" s="10" t="inlineStr"/>
      <c r="K189" s="10" t="inlineStr">
        <is>
          <t>New</t>
        </is>
      </c>
      <c r="L189" s="10" t="inlineStr">
        <is>
          <t>2026-09-16</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WY-0170</t>
        </is>
      </c>
      <c r="B190" s="5" t="inlineStr">
        <is>
          <t>Umrah Supermarket</t>
        </is>
      </c>
      <c r="C190" s="5" t="inlineStr">
        <is>
          <t>Huddersfield</t>
        </is>
      </c>
      <c r="D190" s="5" t="inlineStr">
        <is>
          <t>Independent Supermarket</t>
        </is>
      </c>
      <c r="E190" s="5" t="inlineStr">
        <is>
          <t>Medium</t>
        </is>
      </c>
      <c r="F190" s="5" t="inlineStr"/>
      <c r="G190" s="5" t="inlineStr"/>
      <c r="H190" s="5" t="inlineStr"/>
      <c r="I190" s="5" t="inlineStr"/>
      <c r="J190" s="5" t="inlineStr"/>
      <c r="K190" s="5" t="inlineStr">
        <is>
          <t>New</t>
        </is>
      </c>
      <c r="L190" s="5" t="inlineStr">
        <is>
          <t>2026-09-16</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WY-0171</t>
        </is>
      </c>
      <c r="B191" s="10" t="inlineStr">
        <is>
          <t>VAPE (Heckmondwike)</t>
        </is>
      </c>
      <c r="C191" s="10" t="inlineStr">
        <is>
          <t>Heckmondwike</t>
        </is>
      </c>
      <c r="D191" s="10" t="inlineStr">
        <is>
          <t>Vape Shop</t>
        </is>
      </c>
      <c r="E191" s="10" t="inlineStr">
        <is>
          <t>Medium</t>
        </is>
      </c>
      <c r="F191" s="10" t="inlineStr">
        <is>
          <t>01924 650140</t>
        </is>
      </c>
      <c r="G191" s="10" t="inlineStr"/>
      <c r="H191" s="10" t="inlineStr"/>
      <c r="I191" s="10" t="inlineStr"/>
      <c r="J191" s="10" t="inlineStr"/>
      <c r="K191" s="10" t="inlineStr">
        <is>
          <t>New</t>
        </is>
      </c>
      <c r="L191" s="10" t="inlineStr">
        <is>
          <t>2026-09-16</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UK-000217</t>
        </is>
      </c>
      <c r="B192" s="5" t="inlineStr">
        <is>
          <t>Valli Forecourts (Bawtry Road)</t>
        </is>
      </c>
      <c r="C192" s="5" t="inlineStr">
        <is>
          <t>Doncaster</t>
        </is>
      </c>
      <c r="D192" s="5" t="inlineStr">
        <is>
          <t>Petrol Station / Forecourt</t>
        </is>
      </c>
      <c r="E192" s="5" t="inlineStr">
        <is>
          <t>Medium</t>
        </is>
      </c>
      <c r="F192" s="5" t="inlineStr"/>
      <c r="G192" s="5" t="inlineStr"/>
      <c r="H192" s="5" t="inlineStr"/>
      <c r="I192" s="5" t="inlineStr"/>
      <c r="J192" s="5" t="inlineStr"/>
      <c r="K192" s="5" t="inlineStr">
        <is>
          <t>New</t>
        </is>
      </c>
      <c r="L192" s="5" t="inlineStr">
        <is>
          <t>2026-09-16</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WY-0035</t>
        </is>
      </c>
      <c r="B193" s="10" t="inlineStr">
        <is>
          <t>Valli Forecourts Ltd (Head Office)</t>
        </is>
      </c>
      <c r="C193" s="10" t="inlineStr">
        <is>
          <t>Leeds</t>
        </is>
      </c>
      <c r="D193" s="10" t="inlineStr">
        <is>
          <t>Petrol Station / Forecourt</t>
        </is>
      </c>
      <c r="E193" s="10" t="inlineStr">
        <is>
          <t>Medium</t>
        </is>
      </c>
      <c r="F193" s="10" t="inlineStr"/>
      <c r="G193" s="10" t="inlineStr"/>
      <c r="H193" s="10" t="inlineStr"/>
      <c r="I193" s="10" t="inlineStr"/>
      <c r="J193" s="10" t="inlineStr"/>
      <c r="K193" s="10" t="inlineStr">
        <is>
          <t>New</t>
        </is>
      </c>
      <c r="L193" s="10" t="inlineStr">
        <is>
          <t>2026-09-16</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WY-0172</t>
        </is>
      </c>
      <c r="B194" s="5" t="inlineStr">
        <is>
          <t>Vape Dream</t>
        </is>
      </c>
      <c r="C194" s="5" t="inlineStr">
        <is>
          <t>Dewsbury</t>
        </is>
      </c>
      <c r="D194" s="5" t="inlineStr">
        <is>
          <t>Vape Shop</t>
        </is>
      </c>
      <c r="E194" s="5" t="inlineStr">
        <is>
          <t>Medium</t>
        </is>
      </c>
      <c r="F194" s="5" t="inlineStr"/>
      <c r="G194" s="5" t="inlineStr"/>
      <c r="H194" s="5" t="inlineStr"/>
      <c r="I194" s="5" t="inlineStr"/>
      <c r="J194" s="5" t="inlineStr"/>
      <c r="K194" s="5" t="inlineStr">
        <is>
          <t>New</t>
        </is>
      </c>
      <c r="L194" s="5" t="inlineStr">
        <is>
          <t>2026-09-16</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UK-000288</t>
        </is>
      </c>
      <c r="B195" s="10" t="inlineStr">
        <is>
          <t>Vape HQ Stocksbridge</t>
        </is>
      </c>
      <c r="C195" s="10" t="inlineStr">
        <is>
          <t>Sheffield</t>
        </is>
      </c>
      <c r="D195" s="10" t="inlineStr">
        <is>
          <t>Vape Shop</t>
        </is>
      </c>
      <c r="E195" s="10" t="inlineStr">
        <is>
          <t>Medium</t>
        </is>
      </c>
      <c r="F195" s="10" t="inlineStr"/>
      <c r="G195" s="10" t="inlineStr"/>
      <c r="H195" s="10" t="inlineStr"/>
      <c r="I195" s="10" t="inlineStr"/>
      <c r="J195" s="10" t="inlineStr"/>
      <c r="K195" s="10" t="inlineStr">
        <is>
          <t>New</t>
        </is>
      </c>
      <c r="L195" s="10" t="inlineStr">
        <is>
          <t>2026-09-16</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WY-0173</t>
        </is>
      </c>
      <c r="B196" s="5" t="inlineStr">
        <is>
          <t>Vape N Go</t>
        </is>
      </c>
      <c r="C196" s="5" t="inlineStr">
        <is>
          <t>Halifax</t>
        </is>
      </c>
      <c r="D196" s="5" t="inlineStr">
        <is>
          <t>Vape Shop</t>
        </is>
      </c>
      <c r="E196" s="5" t="inlineStr">
        <is>
          <t>Medium</t>
        </is>
      </c>
      <c r="F196" s="5" t="inlineStr"/>
      <c r="G196" s="5" t="inlineStr"/>
      <c r="H196" s="5" t="inlineStr"/>
      <c r="I196" s="5" t="inlineStr"/>
      <c r="J196" s="5" t="inlineStr"/>
      <c r="K196" s="5" t="inlineStr">
        <is>
          <t>New</t>
        </is>
      </c>
      <c r="L196" s="5" t="inlineStr">
        <is>
          <t>2026-09-16</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WY-0174</t>
        </is>
      </c>
      <c r="B197" s="10" t="inlineStr">
        <is>
          <t>Vape Nation UK</t>
        </is>
      </c>
      <c r="C197" s="10" t="inlineStr">
        <is>
          <t>Huddersfield</t>
        </is>
      </c>
      <c r="D197" s="10" t="inlineStr">
        <is>
          <t>Vape Shop</t>
        </is>
      </c>
      <c r="E197" s="10" t="inlineStr">
        <is>
          <t>Medium</t>
        </is>
      </c>
      <c r="F197" s="10" t="inlineStr">
        <is>
          <t>07809 655738</t>
        </is>
      </c>
      <c r="G197" s="10" t="inlineStr">
        <is>
          <t>info@vapenationeshop.co.uk</t>
        </is>
      </c>
      <c r="H197" s="10" t="inlineStr"/>
      <c r="I197" s="10" t="inlineStr"/>
      <c r="J197" s="10" t="inlineStr"/>
      <c r="K197" s="10" t="inlineStr">
        <is>
          <t>New</t>
        </is>
      </c>
      <c r="L197" s="10" t="inlineStr">
        <is>
          <t>2026-09-16</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UK-000289</t>
        </is>
      </c>
      <c r="B198" s="5" t="inlineStr">
        <is>
          <t>Vape Newland</t>
        </is>
      </c>
      <c r="C198" s="5" t="inlineStr">
        <is>
          <t>Kingston upon Hull</t>
        </is>
      </c>
      <c r="D198" s="5" t="inlineStr">
        <is>
          <t>Vape Shop</t>
        </is>
      </c>
      <c r="E198" s="5" t="inlineStr">
        <is>
          <t>Medium</t>
        </is>
      </c>
      <c r="F198" s="5" t="inlineStr"/>
      <c r="G198" s="5" t="inlineStr"/>
      <c r="H198" s="5" t="inlineStr"/>
      <c r="I198" s="5" t="inlineStr"/>
      <c r="J198" s="5" t="inlineStr"/>
      <c r="K198" s="5" t="inlineStr">
        <is>
          <t>New</t>
        </is>
      </c>
      <c r="L198" s="5" t="inlineStr">
        <is>
          <t>2026-09-16</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WY-0175</t>
        </is>
      </c>
      <c r="B199" s="10" t="inlineStr">
        <is>
          <t>Vape Road</t>
        </is>
      </c>
      <c r="C199" s="10" t="inlineStr">
        <is>
          <t>Brighouse</t>
        </is>
      </c>
      <c r="D199" s="10" t="inlineStr">
        <is>
          <t>Vape Shop</t>
        </is>
      </c>
      <c r="E199" s="10" t="inlineStr">
        <is>
          <t>Medium</t>
        </is>
      </c>
      <c r="F199" s="10" t="inlineStr">
        <is>
          <t>01484 917785</t>
        </is>
      </c>
      <c r="G199" s="10" t="inlineStr"/>
      <c r="H199" s="10" t="inlineStr"/>
      <c r="I199" s="10" t="inlineStr"/>
      <c r="J199" s="10" t="inlineStr"/>
      <c r="K199" s="10" t="inlineStr">
        <is>
          <t>New</t>
        </is>
      </c>
      <c r="L199" s="10" t="inlineStr">
        <is>
          <t>2026-09-16</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WY-0176</t>
        </is>
      </c>
      <c r="B200" s="5" t="inlineStr">
        <is>
          <t>Vape Road Cleckheaton</t>
        </is>
      </c>
      <c r="C200" s="5" t="inlineStr">
        <is>
          <t>Cleckheaton</t>
        </is>
      </c>
      <c r="D200" s="5" t="inlineStr">
        <is>
          <t>Vape Shop</t>
        </is>
      </c>
      <c r="E200" s="5" t="inlineStr">
        <is>
          <t>Medium</t>
        </is>
      </c>
      <c r="F200" s="5" t="inlineStr"/>
      <c r="G200" s="5" t="inlineStr"/>
      <c r="H200" s="5" t="inlineStr"/>
      <c r="I200" s="5" t="inlineStr"/>
      <c r="J200" s="5" t="inlineStr"/>
      <c r="K200" s="5" t="inlineStr">
        <is>
          <t>New</t>
        </is>
      </c>
      <c r="L200" s="5" t="inlineStr">
        <is>
          <t>2026-09-16</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UK-000290</t>
        </is>
      </c>
      <c r="B201" s="10" t="inlineStr">
        <is>
          <t>Vape Safe Bridlington</t>
        </is>
      </c>
      <c r="C201" s="10" t="inlineStr">
        <is>
          <t>Bridlington</t>
        </is>
      </c>
      <c r="D201" s="10" t="inlineStr">
        <is>
          <t>Vape Shop</t>
        </is>
      </c>
      <c r="E201" s="10" t="inlineStr">
        <is>
          <t>Medium</t>
        </is>
      </c>
      <c r="F201" s="10" t="inlineStr"/>
      <c r="G201" s="10" t="inlineStr"/>
      <c r="H201" s="10" t="inlineStr"/>
      <c r="I201" s="10" t="inlineStr"/>
      <c r="J201" s="10" t="inlineStr"/>
      <c r="K201" s="10" t="inlineStr">
        <is>
          <t>New</t>
        </is>
      </c>
      <c r="L201" s="10" t="inlineStr">
        <is>
          <t>2026-09-16</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UK-000291</t>
        </is>
      </c>
      <c r="B202" s="5" t="inlineStr">
        <is>
          <t>Vape Store &amp; Bargains Galore</t>
        </is>
      </c>
      <c r="C202" s="5" t="inlineStr">
        <is>
          <t>Barnsley</t>
        </is>
      </c>
      <c r="D202" s="5" t="inlineStr">
        <is>
          <t>Vape Shop</t>
        </is>
      </c>
      <c r="E202" s="5" t="inlineStr">
        <is>
          <t>Medium</t>
        </is>
      </c>
      <c r="F202" s="5" t="inlineStr"/>
      <c r="G202" s="5" t="inlineStr"/>
      <c r="H202" s="5" t="inlineStr"/>
      <c r="I202" s="5" t="inlineStr"/>
      <c r="J202" s="5" t="inlineStr"/>
      <c r="K202" s="5" t="inlineStr">
        <is>
          <t>New</t>
        </is>
      </c>
      <c r="L202" s="5" t="inlineStr">
        <is>
          <t>2026-09-16</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WY-0177</t>
        </is>
      </c>
      <c r="B203" s="10" t="inlineStr">
        <is>
          <t>Vape Suite</t>
        </is>
      </c>
      <c r="C203" s="10" t="inlineStr">
        <is>
          <t>Huddersfield</t>
        </is>
      </c>
      <c r="D203" s="10" t="inlineStr">
        <is>
          <t>Vape Shop</t>
        </is>
      </c>
      <c r="E203" s="10" t="inlineStr">
        <is>
          <t>Medium</t>
        </is>
      </c>
      <c r="F203" s="10" t="inlineStr">
        <is>
          <t>01484 312366</t>
        </is>
      </c>
      <c r="G203" s="10" t="inlineStr"/>
      <c r="H203" s="10" t="inlineStr"/>
      <c r="I203" s="10" t="inlineStr"/>
      <c r="J203" s="10" t="inlineStr"/>
      <c r="K203" s="10" t="inlineStr">
        <is>
          <t>New</t>
        </is>
      </c>
      <c r="L203" s="10" t="inlineStr">
        <is>
          <t>2026-09-16</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UK-000292</t>
        </is>
      </c>
      <c r="B204" s="5" t="inlineStr">
        <is>
          <t>Vape with Us Northallerton</t>
        </is>
      </c>
      <c r="C204" s="5" t="inlineStr">
        <is>
          <t>Northallerton</t>
        </is>
      </c>
      <c r="D204" s="5" t="inlineStr">
        <is>
          <t>Vape Shop</t>
        </is>
      </c>
      <c r="E204" s="5" t="inlineStr">
        <is>
          <t>Medium</t>
        </is>
      </c>
      <c r="F204" s="5" t="inlineStr">
        <is>
          <t>01609 772799</t>
        </is>
      </c>
      <c r="G204" s="5" t="inlineStr"/>
      <c r="H204" s="5" t="inlineStr"/>
      <c r="I204" s="5" t="inlineStr"/>
      <c r="J204" s="5" t="inlineStr"/>
      <c r="K204" s="5" t="inlineStr">
        <is>
          <t>New</t>
        </is>
      </c>
      <c r="L204" s="5" t="inlineStr">
        <is>
          <t>2026-09-16</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WY-0179</t>
        </is>
      </c>
      <c r="B205" s="10" t="inlineStr">
        <is>
          <t>VapeShop Leeds</t>
        </is>
      </c>
      <c r="C205" s="10" t="inlineStr">
        <is>
          <t>Leeds</t>
        </is>
      </c>
      <c r="D205" s="10" t="inlineStr">
        <is>
          <t>Vape Shop</t>
        </is>
      </c>
      <c r="E205" s="10" t="inlineStr">
        <is>
          <t>Medium</t>
        </is>
      </c>
      <c r="F205" s="10" t="inlineStr"/>
      <c r="G205" s="10" t="inlineStr"/>
      <c r="H205" s="10" t="inlineStr"/>
      <c r="I205" s="10" t="inlineStr"/>
      <c r="J205" s="10" t="inlineStr"/>
      <c r="K205" s="10" t="inlineStr">
        <is>
          <t>New</t>
        </is>
      </c>
      <c r="L205" s="10" t="inlineStr">
        <is>
          <t>2026-09-16</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WY-0181</t>
        </is>
      </c>
      <c r="B206" s="5" t="inlineStr">
        <is>
          <t>Vapestation</t>
        </is>
      </c>
      <c r="C206" s="5" t="inlineStr">
        <is>
          <t>Halifax</t>
        </is>
      </c>
      <c r="D206" s="5" t="inlineStr">
        <is>
          <t>Vape Shop</t>
        </is>
      </c>
      <c r="E206" s="5" t="inlineStr">
        <is>
          <t>Medium</t>
        </is>
      </c>
      <c r="F206" s="5" t="inlineStr">
        <is>
          <t>01422 365557</t>
        </is>
      </c>
      <c r="G206" s="5" t="inlineStr"/>
      <c r="H206" s="5" t="inlineStr"/>
      <c r="I206" s="5" t="inlineStr"/>
      <c r="J206" s="5" t="inlineStr"/>
      <c r="K206" s="5" t="inlineStr">
        <is>
          <t>New</t>
        </is>
      </c>
      <c r="L206" s="5" t="inlineStr">
        <is>
          <t>2026-09-16</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WY-0182</t>
        </is>
      </c>
      <c r="B207" s="10" t="inlineStr">
        <is>
          <t>Vaping Bar Normanton</t>
        </is>
      </c>
      <c r="C207" s="10" t="inlineStr">
        <is>
          <t>Normanton</t>
        </is>
      </c>
      <c r="D207" s="10" t="inlineStr">
        <is>
          <t>Vape Shop</t>
        </is>
      </c>
      <c r="E207" s="10" t="inlineStr">
        <is>
          <t>Medium</t>
        </is>
      </c>
      <c r="F207" s="10" t="inlineStr"/>
      <c r="G207" s="10" t="inlineStr"/>
      <c r="H207" s="10" t="inlineStr"/>
      <c r="I207" s="10" t="inlineStr"/>
      <c r="J207" s="10" t="inlineStr"/>
      <c r="K207" s="10" t="inlineStr">
        <is>
          <t>New</t>
        </is>
      </c>
      <c r="L207" s="10" t="inlineStr">
        <is>
          <t>2026-09-16</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UK-000293</t>
        </is>
      </c>
      <c r="B208" s="5" t="inlineStr">
        <is>
          <t>Vaping Cloud</t>
        </is>
      </c>
      <c r="C208" s="5" t="inlineStr">
        <is>
          <t>Cleethorpes</t>
        </is>
      </c>
      <c r="D208" s="5" t="inlineStr">
        <is>
          <t>Vape Shop</t>
        </is>
      </c>
      <c r="E208" s="5" t="inlineStr">
        <is>
          <t>Medium</t>
        </is>
      </c>
      <c r="F208" s="5" t="inlineStr">
        <is>
          <t>01472 488770</t>
        </is>
      </c>
      <c r="G208" s="5" t="inlineStr"/>
      <c r="H208" s="5" t="inlineStr"/>
      <c r="I208" s="5" t="inlineStr"/>
      <c r="J208" s="5" t="inlineStr"/>
      <c r="K208" s="5" t="inlineStr">
        <is>
          <t>New</t>
        </is>
      </c>
      <c r="L208" s="5" t="inlineStr">
        <is>
          <t>2026-09-16</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WY-0184</t>
        </is>
      </c>
      <c r="B209" s="10" t="inlineStr">
        <is>
          <t>Vapour Parlour</t>
        </is>
      </c>
      <c r="C209" s="10" t="inlineStr">
        <is>
          <t>Hemsworth</t>
        </is>
      </c>
      <c r="D209" s="10" t="inlineStr">
        <is>
          <t>Vape Shop</t>
        </is>
      </c>
      <c r="E209" s="10" t="inlineStr">
        <is>
          <t>Medium</t>
        </is>
      </c>
      <c r="F209" s="10" t="inlineStr"/>
      <c r="G209" s="10" t="inlineStr"/>
      <c r="H209" s="10" t="inlineStr"/>
      <c r="I209" s="10" t="inlineStr"/>
      <c r="J209" s="10" t="inlineStr"/>
      <c r="K209" s="10" t="inlineStr">
        <is>
          <t>New</t>
        </is>
      </c>
      <c r="L209" s="10" t="inlineStr">
        <is>
          <t>2026-09-16</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UK-000294</t>
        </is>
      </c>
      <c r="B210" s="5" t="inlineStr">
        <is>
          <t>VapourWave Harrogate</t>
        </is>
      </c>
      <c r="C210" s="5" t="inlineStr">
        <is>
          <t>Harrogate</t>
        </is>
      </c>
      <c r="D210" s="5" t="inlineStr">
        <is>
          <t>Vape Shop</t>
        </is>
      </c>
      <c r="E210" s="5" t="inlineStr">
        <is>
          <t>Medium</t>
        </is>
      </c>
      <c r="F210" s="5" t="inlineStr">
        <is>
          <t>01423 601806</t>
        </is>
      </c>
      <c r="G210" s="5" t="inlineStr"/>
      <c r="H210" s="5" t="inlineStr"/>
      <c r="I210" s="5" t="inlineStr"/>
      <c r="J210" s="5" t="inlineStr"/>
      <c r="K210" s="5" t="inlineStr">
        <is>
          <t>New</t>
        </is>
      </c>
      <c r="L210" s="5" t="inlineStr">
        <is>
          <t>2026-09-16</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WY-0185</t>
        </is>
      </c>
      <c r="B211" s="10" t="inlineStr">
        <is>
          <t>Wakefield Road Service Station (Featherstone)</t>
        </is>
      </c>
      <c r="C211" s="10" t="inlineStr">
        <is>
          <t>Featherstone</t>
        </is>
      </c>
      <c r="D211" s="10" t="inlineStr">
        <is>
          <t>Petrol Station / Forecourt</t>
        </is>
      </c>
      <c r="E211" s="10" t="inlineStr">
        <is>
          <t>Medium</t>
        </is>
      </c>
      <c r="F211" s="10" t="inlineStr"/>
      <c r="G211" s="10" t="inlineStr"/>
      <c r="H211" s="10" t="inlineStr"/>
      <c r="I211" s="10" t="inlineStr">
        <is>
          <t>Saqib Javaid; Zeeshan Ali</t>
        </is>
      </c>
      <c r="J211" s="10" t="inlineStr">
        <is>
          <t>Owners / Operators</t>
        </is>
      </c>
      <c r="K211" s="10" t="inlineStr">
        <is>
          <t>New</t>
        </is>
      </c>
      <c r="L211" s="10" t="inlineStr">
        <is>
          <t>2026-09-16</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UK-000296</t>
        </is>
      </c>
      <c r="B212" s="5" t="inlineStr">
        <is>
          <t>Weetons Food Hall</t>
        </is>
      </c>
      <c r="C212" s="5" t="inlineStr">
        <is>
          <t>Harrogate</t>
        </is>
      </c>
      <c r="D212" s="5" t="inlineStr">
        <is>
          <t>Independent Supermarket</t>
        </is>
      </c>
      <c r="E212" s="5" t="inlineStr">
        <is>
          <t>Medium</t>
        </is>
      </c>
      <c r="F212" s="5" t="inlineStr">
        <is>
          <t>01423 507100</t>
        </is>
      </c>
      <c r="G212" s="5" t="inlineStr"/>
      <c r="H212" s="5" t="inlineStr"/>
      <c r="I212" s="5" t="inlineStr"/>
      <c r="J212" s="5" t="inlineStr"/>
      <c r="K212" s="5" t="inlineStr">
        <is>
          <t>New</t>
        </is>
      </c>
      <c r="L212" s="5" t="inlineStr">
        <is>
          <t>2026-09-16</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WY-0188</t>
        </is>
      </c>
      <c r="B213" s="10" t="inlineStr">
        <is>
          <t>White Rose Catering</t>
        </is>
      </c>
      <c r="C213" s="10" t="inlineStr">
        <is>
          <t>Dewsbury</t>
        </is>
      </c>
      <c r="D213" s="10" t="inlineStr">
        <is>
          <t>Cash &amp; Carry</t>
        </is>
      </c>
      <c r="E213" s="10" t="inlineStr">
        <is>
          <t>Medium</t>
        </is>
      </c>
      <c r="F213" s="10" t="inlineStr">
        <is>
          <t>01924 467054</t>
        </is>
      </c>
      <c r="G213" s="10" t="inlineStr"/>
      <c r="H213" s="10" t="inlineStr"/>
      <c r="I213" s="10" t="inlineStr"/>
      <c r="J213" s="10" t="inlineStr"/>
      <c r="K213" s="10" t="inlineStr">
        <is>
          <t>New</t>
        </is>
      </c>
      <c r="L213" s="10" t="inlineStr">
        <is>
          <t>2026-09-16</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WY-0189</t>
        </is>
      </c>
      <c r="B214" s="5" t="inlineStr">
        <is>
          <t>Wigton Cash &amp; Carry (Wigton Distribution)</t>
        </is>
      </c>
      <c r="C214" s="5" t="inlineStr">
        <is>
          <t>Leeds</t>
        </is>
      </c>
      <c r="D214" s="5" t="inlineStr">
        <is>
          <t>Cash &amp; Carry</t>
        </is>
      </c>
      <c r="E214" s="5" t="inlineStr">
        <is>
          <t>Medium</t>
        </is>
      </c>
      <c r="F214" s="5" t="inlineStr">
        <is>
          <t>07833 840327</t>
        </is>
      </c>
      <c r="G214" s="5" t="inlineStr"/>
      <c r="H214" s="5" t="inlineStr"/>
      <c r="I214" s="5" t="inlineStr"/>
      <c r="J214" s="5" t="inlineStr"/>
      <c r="K214" s="5" t="inlineStr">
        <is>
          <t>New</t>
        </is>
      </c>
      <c r="L214" s="5" t="inlineStr">
        <is>
          <t>2026-09-16</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WY-0045</t>
        </is>
      </c>
      <c r="B215" s="10" t="inlineStr">
        <is>
          <t>Worldwide Foods Bradford (Leeds Road)</t>
        </is>
      </c>
      <c r="C215" s="10" t="inlineStr">
        <is>
          <t>Bradford</t>
        </is>
      </c>
      <c r="D215" s="10" t="inlineStr">
        <is>
          <t>Independent Supermarket</t>
        </is>
      </c>
      <c r="E215" s="10" t="inlineStr">
        <is>
          <t>Medium</t>
        </is>
      </c>
      <c r="F215" s="10" t="inlineStr">
        <is>
          <t>01274 656638</t>
        </is>
      </c>
      <c r="G215" s="10" t="inlineStr"/>
      <c r="H215" s="10" t="inlineStr"/>
      <c r="I215" s="10" t="inlineStr"/>
      <c r="J215" s="10" t="inlineStr"/>
      <c r="K215" s="10" t="inlineStr">
        <is>
          <t>New</t>
        </is>
      </c>
      <c r="L215" s="10" t="inlineStr">
        <is>
          <t>2026-09-16</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WY-0046</t>
        </is>
      </c>
      <c r="B216" s="5" t="inlineStr">
        <is>
          <t>Worldwide Foods Bradford (Woodhead Road)</t>
        </is>
      </c>
      <c r="C216" s="5" t="inlineStr">
        <is>
          <t>Bradford</t>
        </is>
      </c>
      <c r="D216" s="5" t="inlineStr">
        <is>
          <t>Independent Supermarket</t>
        </is>
      </c>
      <c r="E216" s="5" t="inlineStr">
        <is>
          <t>Medium</t>
        </is>
      </c>
      <c r="F216" s="5" t="inlineStr"/>
      <c r="G216" s="5" t="inlineStr"/>
      <c r="H216" s="5" t="inlineStr"/>
      <c r="I216" s="5" t="inlineStr"/>
      <c r="J216" s="5" t="inlineStr"/>
      <c r="K216" s="5" t="inlineStr">
        <is>
          <t>New</t>
        </is>
      </c>
      <c r="L216" s="5" t="inlineStr">
        <is>
          <t>2026-09-16</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WY-0191</t>
        </is>
      </c>
      <c r="B217" s="10" t="inlineStr">
        <is>
          <t>Zesty Vape</t>
        </is>
      </c>
      <c r="C217" s="10" t="inlineStr">
        <is>
          <t>Brighouse</t>
        </is>
      </c>
      <c r="D217" s="10" t="inlineStr">
        <is>
          <t>Vape Shop</t>
        </is>
      </c>
      <c r="E217" s="10" t="inlineStr">
        <is>
          <t>Medium</t>
        </is>
      </c>
      <c r="F217" s="10" t="inlineStr">
        <is>
          <t>01484 722183</t>
        </is>
      </c>
      <c r="G217" s="10" t="inlineStr"/>
      <c r="H217" s="10" t="inlineStr"/>
      <c r="I217" s="10" t="inlineStr"/>
      <c r="J217" s="10" t="inlineStr"/>
      <c r="K217" s="10" t="inlineStr">
        <is>
          <t>New</t>
        </is>
      </c>
      <c r="L217" s="10" t="inlineStr">
        <is>
          <t>2026-09-16</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WY-0192</t>
        </is>
      </c>
      <c r="B218" s="5" t="inlineStr">
        <is>
          <t>eVape Outlet</t>
        </is>
      </c>
      <c r="C218" s="5" t="inlineStr">
        <is>
          <t>Keighley</t>
        </is>
      </c>
      <c r="D218" s="5" t="inlineStr">
        <is>
          <t>Vape Shop</t>
        </is>
      </c>
      <c r="E218" s="5" t="inlineStr">
        <is>
          <t>Medium</t>
        </is>
      </c>
      <c r="F218" s="5" t="inlineStr"/>
      <c r="G218" s="5" t="inlineStr"/>
      <c r="H218" s="5" t="inlineStr"/>
      <c r="I218" s="5" t="inlineStr"/>
      <c r="J218" s="5" t="inlineStr"/>
      <c r="K218" s="5" t="inlineStr">
        <is>
          <t>New</t>
        </is>
      </c>
      <c r="L218" s="5" t="inlineStr">
        <is>
          <t>2026-09-16</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WY-0193</t>
        </is>
      </c>
      <c r="B219" s="10" t="inlineStr">
        <is>
          <t>iVape Lounge</t>
        </is>
      </c>
      <c r="C219" s="10" t="inlineStr">
        <is>
          <t>Todmorden</t>
        </is>
      </c>
      <c r="D219" s="10" t="inlineStr">
        <is>
          <t>Vape Shop</t>
        </is>
      </c>
      <c r="E219" s="10" t="inlineStr">
        <is>
          <t>Medium</t>
        </is>
      </c>
      <c r="F219" s="10" t="inlineStr"/>
      <c r="G219" s="10" t="inlineStr"/>
      <c r="H219" s="10" t="inlineStr"/>
      <c r="I219" s="10" t="inlineStr"/>
      <c r="J219" s="10" t="inlineStr"/>
      <c r="K219" s="10" t="inlineStr">
        <is>
          <t>New</t>
        </is>
      </c>
      <c r="L219" s="10" t="inlineStr">
        <is>
          <t>2026-09-16</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WY-0047</t>
        </is>
      </c>
      <c r="B220" s="5" t="inlineStr">
        <is>
          <t>A &amp; B Stores</t>
        </is>
      </c>
      <c r="C220" s="5" t="inlineStr">
        <is>
          <t>Bingley</t>
        </is>
      </c>
      <c r="D220" s="5" t="inlineStr">
        <is>
          <t>Off-Licence</t>
        </is>
      </c>
      <c r="E220" s="5" t="inlineStr">
        <is>
          <t>Low</t>
        </is>
      </c>
      <c r="F220" s="5" t="inlineStr"/>
      <c r="G220" s="5" t="inlineStr"/>
      <c r="H220" s="5" t="inlineStr"/>
      <c r="I220" s="5" t="inlineStr"/>
      <c r="J220" s="5" t="inlineStr"/>
      <c r="K220" s="5" t="inlineStr">
        <is>
          <t>New</t>
        </is>
      </c>
      <c r="L220" s="5" t="inlineStr">
        <is>
          <t>2026-09-16</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UK-000232</t>
        </is>
      </c>
      <c r="B221" s="10" t="inlineStr">
        <is>
          <t>AA Off Licence</t>
        </is>
      </c>
      <c r="C221" s="10" t="inlineStr">
        <is>
          <t>Kingston upon Hull</t>
        </is>
      </c>
      <c r="D221" s="10" t="inlineStr">
        <is>
          <t>Off-Licence</t>
        </is>
      </c>
      <c r="E221" s="10" t="inlineStr">
        <is>
          <t>Low</t>
        </is>
      </c>
      <c r="F221" s="10" t="inlineStr"/>
      <c r="G221" s="10" t="inlineStr"/>
      <c r="H221" s="10" t="inlineStr"/>
      <c r="I221" s="10" t="inlineStr"/>
      <c r="J221" s="10" t="inlineStr"/>
      <c r="K221" s="10" t="inlineStr">
        <is>
          <t>New</t>
        </is>
      </c>
      <c r="L221" s="10" t="inlineStr">
        <is>
          <t>2026-09-16</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WY-0050</t>
        </is>
      </c>
      <c r="B222" s="5" t="inlineStr">
        <is>
          <t>Anwarsons Newsagency</t>
        </is>
      </c>
      <c r="C222" s="5" t="inlineStr">
        <is>
          <t>Brighouse</t>
        </is>
      </c>
      <c r="D222" s="5" t="inlineStr">
        <is>
          <t>Newsagent</t>
        </is>
      </c>
      <c r="E222" s="5" t="inlineStr">
        <is>
          <t>Low</t>
        </is>
      </c>
      <c r="F222" s="5" t="inlineStr">
        <is>
          <t>01484 717622</t>
        </is>
      </c>
      <c r="G222" s="5" t="inlineStr"/>
      <c r="H222" s="5" t="inlineStr"/>
      <c r="I222" s="5" t="inlineStr"/>
      <c r="J222" s="5" t="inlineStr"/>
      <c r="K222" s="5" t="inlineStr">
        <is>
          <t>New</t>
        </is>
      </c>
      <c r="L222" s="5" t="inlineStr">
        <is>
          <t>2026-09-16</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WY-0052</t>
        </is>
      </c>
      <c r="B223" s="10" t="inlineStr">
        <is>
          <t>Asia Foods</t>
        </is>
      </c>
      <c r="C223" s="10" t="inlineStr">
        <is>
          <t>Huddersfield</t>
        </is>
      </c>
      <c r="D223" s="10" t="inlineStr">
        <is>
          <t>Independent Supermarket</t>
        </is>
      </c>
      <c r="E223" s="10" t="inlineStr">
        <is>
          <t>Low</t>
        </is>
      </c>
      <c r="F223" s="10" t="inlineStr">
        <is>
          <t>01484 514828</t>
        </is>
      </c>
      <c r="G223" s="10" t="inlineStr"/>
      <c r="H223" s="10" t="inlineStr"/>
      <c r="I223" s="10" t="inlineStr"/>
      <c r="J223" s="10" t="inlineStr"/>
      <c r="K223" s="10" t="inlineStr">
        <is>
          <t>New</t>
        </is>
      </c>
      <c r="L223" s="10" t="inlineStr">
        <is>
          <t>2026-09-16</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WY-0056</t>
        </is>
      </c>
      <c r="B224" s="5" t="inlineStr">
        <is>
          <t>Baildon Green Convenience Store</t>
        </is>
      </c>
      <c r="C224" s="5" t="inlineStr">
        <is>
          <t>Shipley</t>
        </is>
      </c>
      <c r="D224" s="5" t="inlineStr">
        <is>
          <t>Convenience Store</t>
        </is>
      </c>
      <c r="E224" s="5" t="inlineStr">
        <is>
          <t>Low</t>
        </is>
      </c>
      <c r="F224" s="5" t="inlineStr"/>
      <c r="G224" s="5" t="inlineStr"/>
      <c r="H224" s="5" t="inlineStr"/>
      <c r="I224" s="5" t="inlineStr"/>
      <c r="J224" s="5" t="inlineStr"/>
      <c r="K224" s="5" t="inlineStr">
        <is>
          <t>New</t>
        </is>
      </c>
      <c r="L224" s="5" t="inlineStr">
        <is>
          <t>2026-09-16</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WY-0057</t>
        </is>
      </c>
      <c r="B225" s="10" t="inlineStr">
        <is>
          <t>Baildon Off Licence</t>
        </is>
      </c>
      <c r="C225" s="10" t="inlineStr">
        <is>
          <t>Shipley</t>
        </is>
      </c>
      <c r="D225" s="10" t="inlineStr">
        <is>
          <t>Off-Licence</t>
        </is>
      </c>
      <c r="E225" s="10" t="inlineStr">
        <is>
          <t>Low</t>
        </is>
      </c>
      <c r="F225" s="10" t="inlineStr"/>
      <c r="G225" s="10" t="inlineStr"/>
      <c r="H225" s="10" t="inlineStr"/>
      <c r="I225" s="10" t="inlineStr"/>
      <c r="J225" s="10" t="inlineStr"/>
      <c r="K225" s="10" t="inlineStr">
        <is>
          <t>New</t>
        </is>
      </c>
      <c r="L225" s="10" t="inlineStr">
        <is>
          <t>2026-09-16</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WY-0058</t>
        </is>
      </c>
      <c r="B226" s="5" t="inlineStr">
        <is>
          <t>Bar Market</t>
        </is>
      </c>
      <c r="C226" s="5" t="inlineStr">
        <is>
          <t>Halifax</t>
        </is>
      </c>
      <c r="D226" s="5" t="inlineStr">
        <is>
          <t>Off-Licence</t>
        </is>
      </c>
      <c r="E226" s="5" t="inlineStr">
        <is>
          <t>Low</t>
        </is>
      </c>
      <c r="F226" s="5" t="inlineStr"/>
      <c r="G226" s="5" t="inlineStr"/>
      <c r="H226" s="5" t="inlineStr"/>
      <c r="I226" s="5" t="inlineStr"/>
      <c r="J226" s="5" t="inlineStr"/>
      <c r="K226" s="5" t="inlineStr">
        <is>
          <t>New</t>
        </is>
      </c>
      <c r="L226" s="5" t="inlineStr">
        <is>
          <t>2026-09-16</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UK-000238</t>
        </is>
      </c>
      <c r="B227" s="10" t="inlineStr">
        <is>
          <t>Beverley International Foods</t>
        </is>
      </c>
      <c r="C227" s="10" t="inlineStr">
        <is>
          <t>Kingston upon Hull</t>
        </is>
      </c>
      <c r="D227" s="10" t="inlineStr">
        <is>
          <t>Independent Supermarket</t>
        </is>
      </c>
      <c r="E227" s="10" t="inlineStr">
        <is>
          <t>Low</t>
        </is>
      </c>
      <c r="F227" s="10" t="inlineStr"/>
      <c r="G227" s="10" t="inlineStr"/>
      <c r="H227" s="10" t="inlineStr"/>
      <c r="I227" s="10" t="inlineStr"/>
      <c r="J227" s="10" t="inlineStr"/>
      <c r="K227" s="10" t="inlineStr">
        <is>
          <t>New</t>
        </is>
      </c>
      <c r="L227" s="10" t="inlineStr">
        <is>
          <t>2026-09-16</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WY-0066</t>
        </is>
      </c>
      <c r="B228" s="5" t="inlineStr">
        <is>
          <t>Boothtown Post Office &amp; Off-Licence</t>
        </is>
      </c>
      <c r="C228" s="5" t="inlineStr">
        <is>
          <t>Halifax</t>
        </is>
      </c>
      <c r="D228" s="5" t="inlineStr">
        <is>
          <t>Off-Licence</t>
        </is>
      </c>
      <c r="E228" s="5" t="inlineStr">
        <is>
          <t>Low</t>
        </is>
      </c>
      <c r="F228" s="5" t="inlineStr"/>
      <c r="G228" s="5" t="inlineStr"/>
      <c r="H228" s="5" t="inlineStr"/>
      <c r="I228" s="5" t="inlineStr"/>
      <c r="J228" s="5" t="inlineStr"/>
      <c r="K228" s="5" t="inlineStr">
        <is>
          <t>New</t>
        </is>
      </c>
      <c r="L228" s="5" t="inlineStr">
        <is>
          <t>2026-09-16</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WY-0068</t>
        </is>
      </c>
      <c r="B229" s="10" t="inlineStr">
        <is>
          <t>Bottle and Bean</t>
        </is>
      </c>
      <c r="C229" s="10" t="inlineStr">
        <is>
          <t>Wetherby</t>
        </is>
      </c>
      <c r="D229" s="10" t="inlineStr">
        <is>
          <t>Off-Licence</t>
        </is>
      </c>
      <c r="E229" s="10" t="inlineStr">
        <is>
          <t>Low</t>
        </is>
      </c>
      <c r="F229" s="10" t="inlineStr"/>
      <c r="G229" s="10" t="inlineStr"/>
      <c r="H229" s="10" t="inlineStr"/>
      <c r="I229" s="10" t="inlineStr"/>
      <c r="J229" s="10" t="inlineStr"/>
      <c r="K229" s="10" t="inlineStr">
        <is>
          <t>New</t>
        </is>
      </c>
      <c r="L229" s="10" t="inlineStr">
        <is>
          <t>2026-09-16</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WY-0069</t>
        </is>
      </c>
      <c r="B230" s="5" t="inlineStr">
        <is>
          <t>Bridge Off Licence Convenience Store</t>
        </is>
      </c>
      <c r="C230" s="5" t="inlineStr">
        <is>
          <t>Sowerby Bridge</t>
        </is>
      </c>
      <c r="D230" s="5" t="inlineStr">
        <is>
          <t>Off-Licence</t>
        </is>
      </c>
      <c r="E230" s="5" t="inlineStr">
        <is>
          <t>Low</t>
        </is>
      </c>
      <c r="F230" s="5" t="inlineStr"/>
      <c r="G230" s="5" t="inlineStr"/>
      <c r="H230" s="5" t="inlineStr"/>
      <c r="I230" s="5" t="inlineStr"/>
      <c r="J230" s="5" t="inlineStr"/>
      <c r="K230" s="5" t="inlineStr">
        <is>
          <t>New</t>
        </is>
      </c>
      <c r="L230" s="5" t="inlineStr">
        <is>
          <t>2026-09-16</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WY-0070</t>
        </is>
      </c>
      <c r="B231" s="10" t="inlineStr">
        <is>
          <t>Brooks News</t>
        </is>
      </c>
      <c r="C231" s="10" t="inlineStr">
        <is>
          <t>Pudsey</t>
        </is>
      </c>
      <c r="D231" s="10" t="inlineStr">
        <is>
          <t>Newsagent</t>
        </is>
      </c>
      <c r="E231" s="10" t="inlineStr">
        <is>
          <t>Low</t>
        </is>
      </c>
      <c r="F231" s="10" t="inlineStr">
        <is>
          <t>0113 257 3382</t>
        </is>
      </c>
      <c r="G231" s="10" t="inlineStr"/>
      <c r="H231" s="10" t="inlineStr"/>
      <c r="I231" s="10" t="inlineStr"/>
      <c r="J231" s="10" t="inlineStr"/>
      <c r="K231" s="10" t="inlineStr">
        <is>
          <t>New</t>
        </is>
      </c>
      <c r="L231" s="10" t="inlineStr">
        <is>
          <t>2026-09-16</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WY-0072</t>
        </is>
      </c>
      <c r="B232" s="5" t="inlineStr">
        <is>
          <t>Carlton Self Service</t>
        </is>
      </c>
      <c r="C232" s="5" t="inlineStr">
        <is>
          <t>Pontefract</t>
        </is>
      </c>
      <c r="D232" s="5" t="inlineStr">
        <is>
          <t>Newsagent</t>
        </is>
      </c>
      <c r="E232" s="5" t="inlineStr">
        <is>
          <t>Low</t>
        </is>
      </c>
      <c r="F232" s="5" t="inlineStr">
        <is>
          <t>01977 780317</t>
        </is>
      </c>
      <c r="G232" s="5" t="inlineStr"/>
      <c r="H232" s="5" t="inlineStr"/>
      <c r="I232" s="5" t="inlineStr"/>
      <c r="J232" s="5" t="inlineStr"/>
      <c r="K232" s="5" t="inlineStr">
        <is>
          <t>New</t>
        </is>
      </c>
      <c r="L232" s="5" t="inlineStr">
        <is>
          <t>2026-09-16</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WY-0074</t>
        </is>
      </c>
      <c r="B233" s="10" t="inlineStr">
        <is>
          <t>Castleford Road Off Licence</t>
        </is>
      </c>
      <c r="C233" s="10" t="inlineStr">
        <is>
          <t>Normanton</t>
        </is>
      </c>
      <c r="D233" s="10" t="inlineStr">
        <is>
          <t>Off-Licence</t>
        </is>
      </c>
      <c r="E233" s="10" t="inlineStr">
        <is>
          <t>Low</t>
        </is>
      </c>
      <c r="F233" s="10" t="inlineStr">
        <is>
          <t>01924 223984</t>
        </is>
      </c>
      <c r="G233" s="10" t="inlineStr"/>
      <c r="H233" s="10" t="inlineStr"/>
      <c r="I233" s="10" t="inlineStr"/>
      <c r="J233" s="10" t="inlineStr"/>
      <c r="K233" s="10" t="inlineStr">
        <is>
          <t>New</t>
        </is>
      </c>
      <c r="L233" s="10" t="inlineStr">
        <is>
          <t>2026-09-16</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WY-0075</t>
        </is>
      </c>
      <c r="B234" s="5" t="inlineStr">
        <is>
          <t>Charlesworths</t>
        </is>
      </c>
      <c r="C234" s="5" t="inlineStr">
        <is>
          <t>Holmfirth</t>
        </is>
      </c>
      <c r="D234" s="5" t="inlineStr">
        <is>
          <t>Newsagent</t>
        </is>
      </c>
      <c r="E234" s="5" t="inlineStr">
        <is>
          <t>Low</t>
        </is>
      </c>
      <c r="F234" s="5" t="inlineStr">
        <is>
          <t>01484 681111</t>
        </is>
      </c>
      <c r="G234" s="5" t="inlineStr"/>
      <c r="H234" s="5" t="inlineStr"/>
      <c r="I234" s="5" t="inlineStr"/>
      <c r="J234" s="5" t="inlineStr"/>
      <c r="K234" s="5" t="inlineStr">
        <is>
          <t>New</t>
        </is>
      </c>
      <c r="L234" s="5" t="inlineStr">
        <is>
          <t>2026-09-16</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UK-000240</t>
        </is>
      </c>
      <c r="B235" s="10" t="inlineStr">
        <is>
          <t>Chong Wah Oriental Supermarket</t>
        </is>
      </c>
      <c r="C235" s="10" t="inlineStr">
        <is>
          <t>Kingston upon Hull</t>
        </is>
      </c>
      <c r="D235" s="10" t="inlineStr">
        <is>
          <t>Independent Supermarket</t>
        </is>
      </c>
      <c r="E235" s="10" t="inlineStr">
        <is>
          <t>Low</t>
        </is>
      </c>
      <c r="F235" s="10" t="inlineStr"/>
      <c r="G235" s="10" t="inlineStr"/>
      <c r="H235" s="10" t="inlineStr"/>
      <c r="I235" s="10" t="inlineStr"/>
      <c r="J235" s="10" t="inlineStr"/>
      <c r="K235" s="10" t="inlineStr">
        <is>
          <t>New</t>
        </is>
      </c>
      <c r="L235" s="10" t="inlineStr">
        <is>
          <t>2026-09-16</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WY-0079</t>
        </is>
      </c>
      <c r="B236" s="5" t="inlineStr">
        <is>
          <t>Crossroads Off Licence &amp; Newsagent</t>
        </is>
      </c>
      <c r="C236" s="5" t="inlineStr">
        <is>
          <t>Wakefield</t>
        </is>
      </c>
      <c r="D236" s="5" t="inlineStr">
        <is>
          <t>Off-Licence</t>
        </is>
      </c>
      <c r="E236" s="5" t="inlineStr">
        <is>
          <t>Low</t>
        </is>
      </c>
      <c r="F236" s="5" t="inlineStr"/>
      <c r="G236" s="5" t="inlineStr"/>
      <c r="H236" s="5" t="inlineStr"/>
      <c r="I236" s="5" t="inlineStr"/>
      <c r="J236" s="5" t="inlineStr"/>
      <c r="K236" s="5" t="inlineStr">
        <is>
          <t>New</t>
        </is>
      </c>
      <c r="L236" s="5" t="inlineStr">
        <is>
          <t>2026-09-16</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WY-0080</t>
        </is>
      </c>
      <c r="B237" s="10" t="inlineStr">
        <is>
          <t>Dhillon's Newsagents</t>
        </is>
      </c>
      <c r="C237" s="10" t="inlineStr">
        <is>
          <t>Leeds</t>
        </is>
      </c>
      <c r="D237" s="10" t="inlineStr">
        <is>
          <t>Newsagent</t>
        </is>
      </c>
      <c r="E237" s="10" t="inlineStr">
        <is>
          <t>Low</t>
        </is>
      </c>
      <c r="F237" s="10" t="inlineStr">
        <is>
          <t>0113 257 8085</t>
        </is>
      </c>
      <c r="G237" s="10" t="inlineStr"/>
      <c r="H237" s="10" t="inlineStr"/>
      <c r="I237" s="10" t="inlineStr"/>
      <c r="J237" s="10" t="inlineStr"/>
      <c r="K237" s="10" t="inlineStr">
        <is>
          <t>New</t>
        </is>
      </c>
      <c r="L237" s="10" t="inlineStr">
        <is>
          <t>2026-09-16</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UK-000246</t>
        </is>
      </c>
      <c r="B238" s="5" t="inlineStr">
        <is>
          <t>Flemingate News</t>
        </is>
      </c>
      <c r="C238" s="5" t="inlineStr">
        <is>
          <t>Beverley</t>
        </is>
      </c>
      <c r="D238" s="5" t="inlineStr">
        <is>
          <t>Newsagent</t>
        </is>
      </c>
      <c r="E238" s="5" t="inlineStr">
        <is>
          <t>Low</t>
        </is>
      </c>
      <c r="F238" s="5" t="inlineStr">
        <is>
          <t>01482 881429</t>
        </is>
      </c>
      <c r="G238" s="5" t="inlineStr"/>
      <c r="H238" s="5" t="inlineStr"/>
      <c r="I238" s="5" t="inlineStr"/>
      <c r="J238" s="5" t="inlineStr"/>
      <c r="K238" s="5" t="inlineStr">
        <is>
          <t>New</t>
        </is>
      </c>
      <c r="L238" s="5" t="inlineStr">
        <is>
          <t>2026-09-16</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UK-000248</t>
        </is>
      </c>
      <c r="B239" s="10" t="inlineStr">
        <is>
          <t>Food Plus (Babylon Supermarket 7)</t>
        </is>
      </c>
      <c r="C239" s="10" t="inlineStr">
        <is>
          <t>Kingston upon Hull</t>
        </is>
      </c>
      <c r="D239" s="10" t="inlineStr">
        <is>
          <t>Independent Supermarket</t>
        </is>
      </c>
      <c r="E239" s="10" t="inlineStr">
        <is>
          <t>Low</t>
        </is>
      </c>
      <c r="F239" s="10" t="inlineStr"/>
      <c r="G239" s="10" t="inlineStr"/>
      <c r="H239" s="10" t="inlineStr"/>
      <c r="I239" s="10" t="inlineStr"/>
      <c r="J239" s="10" t="inlineStr"/>
      <c r="K239" s="10" t="inlineStr">
        <is>
          <t>New</t>
        </is>
      </c>
      <c r="L239" s="10" t="inlineStr">
        <is>
          <t>2026-09-16</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WY-0087</t>
        </is>
      </c>
      <c r="B240" s="5" t="inlineStr">
        <is>
          <t>Freshco UK</t>
        </is>
      </c>
      <c r="C240" s="5" t="inlineStr">
        <is>
          <t>Bradford</t>
        </is>
      </c>
      <c r="D240" s="5" t="inlineStr">
        <is>
          <t>Convenience Store</t>
        </is>
      </c>
      <c r="E240" s="5" t="inlineStr">
        <is>
          <t>Low</t>
        </is>
      </c>
      <c r="F240" s="5" t="inlineStr"/>
      <c r="G240" s="5" t="inlineStr"/>
      <c r="H240" s="5" t="inlineStr"/>
      <c r="I240" s="5" t="inlineStr"/>
      <c r="J240" s="5" t="inlineStr"/>
      <c r="K240" s="5" t="inlineStr">
        <is>
          <t>New</t>
        </is>
      </c>
      <c r="L240" s="5" t="inlineStr">
        <is>
          <t>2026-09-16</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WY-0089</t>
        </is>
      </c>
      <c r="B241" s="10" t="inlineStr">
        <is>
          <t>Gibraltar Mini Mart</t>
        </is>
      </c>
      <c r="C241" s="10" t="inlineStr">
        <is>
          <t>Halifax</t>
        </is>
      </c>
      <c r="D241" s="10" t="inlineStr">
        <is>
          <t>Convenience Store</t>
        </is>
      </c>
      <c r="E241" s="10" t="inlineStr">
        <is>
          <t>Low</t>
        </is>
      </c>
      <c r="F241" s="10" t="inlineStr"/>
      <c r="G241" s="10" t="inlineStr"/>
      <c r="H241" s="10" t="inlineStr"/>
      <c r="I241" s="10" t="inlineStr"/>
      <c r="J241" s="10" t="inlineStr"/>
      <c r="K241" s="10" t="inlineStr">
        <is>
          <t>New</t>
        </is>
      </c>
      <c r="L241" s="10" t="inlineStr">
        <is>
          <t>2026-09-16</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WY-0090</t>
        </is>
      </c>
      <c r="B242" s="5" t="inlineStr">
        <is>
          <t>Global Mini Market 2</t>
        </is>
      </c>
      <c r="C242" s="5" t="inlineStr">
        <is>
          <t>Bingley</t>
        </is>
      </c>
      <c r="D242" s="5" t="inlineStr">
        <is>
          <t>Convenience Store</t>
        </is>
      </c>
      <c r="E242" s="5" t="inlineStr">
        <is>
          <t>Low</t>
        </is>
      </c>
      <c r="F242" s="5" t="inlineStr"/>
      <c r="G242" s="5" t="inlineStr"/>
      <c r="H242" s="5" t="inlineStr"/>
      <c r="I242" s="5" t="inlineStr"/>
      <c r="J242" s="5" t="inlineStr"/>
      <c r="K242" s="5" t="inlineStr">
        <is>
          <t>New</t>
        </is>
      </c>
      <c r="L242" s="5" t="inlineStr">
        <is>
          <t>2026-09-16</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WY-0091</t>
        </is>
      </c>
      <c r="B243" s="10" t="inlineStr">
        <is>
          <t>Greengates Service Station</t>
        </is>
      </c>
      <c r="C243" s="10" t="inlineStr">
        <is>
          <t>Bradford</t>
        </is>
      </c>
      <c r="D243" s="10" t="inlineStr">
        <is>
          <t>Petrol Station / Forecourt</t>
        </is>
      </c>
      <c r="E243" s="10" t="inlineStr">
        <is>
          <t>Low</t>
        </is>
      </c>
      <c r="F243" s="10" t="inlineStr"/>
      <c r="G243" s="10" t="inlineStr"/>
      <c r="H243" s="10" t="inlineStr"/>
      <c r="I243" s="10" t="inlineStr"/>
      <c r="J243" s="10" t="inlineStr"/>
      <c r="K243" s="10" t="inlineStr">
        <is>
          <t>New</t>
        </is>
      </c>
      <c r="L243" s="10" t="inlineStr">
        <is>
          <t>2026-09-16</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UK-000251</t>
        </is>
      </c>
      <c r="B244" s="5" t="inlineStr">
        <is>
          <t>Greenroof Service Station</t>
        </is>
      </c>
      <c r="C244" s="5" t="inlineStr">
        <is>
          <t>Goole</t>
        </is>
      </c>
      <c r="D244" s="5" t="inlineStr">
        <is>
          <t>Petrol Station / Forecourt</t>
        </is>
      </c>
      <c r="E244" s="5" t="inlineStr">
        <is>
          <t>Low</t>
        </is>
      </c>
      <c r="F244" s="5" t="inlineStr"/>
      <c r="G244" s="5" t="inlineStr"/>
      <c r="H244" s="5" t="inlineStr"/>
      <c r="I244" s="5" t="inlineStr"/>
      <c r="J244" s="5" t="inlineStr"/>
      <c r="K244" s="5" t="inlineStr">
        <is>
          <t>New</t>
        </is>
      </c>
      <c r="L244" s="5" t="inlineStr">
        <is>
          <t>2026-09-16</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WY-0092</t>
        </is>
      </c>
      <c r="B245" s="10" t="inlineStr">
        <is>
          <t>Gulf Service Station Featherstone</t>
        </is>
      </c>
      <c r="C245" s="10" t="inlineStr">
        <is>
          <t>Featherstone</t>
        </is>
      </c>
      <c r="D245" s="10" t="inlineStr">
        <is>
          <t>Petrol Station / Forecourt</t>
        </is>
      </c>
      <c r="E245" s="10" t="inlineStr">
        <is>
          <t>Low</t>
        </is>
      </c>
      <c r="F245" s="10" t="inlineStr"/>
      <c r="G245" s="10" t="inlineStr"/>
      <c r="H245" s="10" t="inlineStr"/>
      <c r="I245" s="10" t="inlineStr"/>
      <c r="J245" s="10" t="inlineStr"/>
      <c r="K245" s="10" t="inlineStr">
        <is>
          <t>New</t>
        </is>
      </c>
      <c r="L245" s="10" t="inlineStr">
        <is>
          <t>2026-09-16</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WY-0094</t>
        </is>
      </c>
      <c r="B246" s="5" t="inlineStr">
        <is>
          <t>Hang Sing Hong</t>
        </is>
      </c>
      <c r="C246" s="5" t="inlineStr">
        <is>
          <t>Leeds</t>
        </is>
      </c>
      <c r="D246" s="5" t="inlineStr">
        <is>
          <t>Independent Supermarket</t>
        </is>
      </c>
      <c r="E246" s="5" t="inlineStr">
        <is>
          <t>Low</t>
        </is>
      </c>
      <c r="F246" s="5" t="inlineStr"/>
      <c r="G246" s="5" t="inlineStr"/>
      <c r="H246" s="5" t="inlineStr"/>
      <c r="I246" s="5" t="inlineStr"/>
      <c r="J246" s="5" t="inlineStr"/>
      <c r="K246" s="5" t="inlineStr">
        <is>
          <t>New</t>
        </is>
      </c>
      <c r="L246" s="5" t="inlineStr">
        <is>
          <t>2026-09-16</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UK-000254</t>
        </is>
      </c>
      <c r="B247" s="10" t="inlineStr">
        <is>
          <t>Harvest Service Station</t>
        </is>
      </c>
      <c r="C247" s="10" t="inlineStr">
        <is>
          <t>Doncaster</t>
        </is>
      </c>
      <c r="D247" s="10" t="inlineStr">
        <is>
          <t>Petrol Station / Forecourt</t>
        </is>
      </c>
      <c r="E247" s="10" t="inlineStr">
        <is>
          <t>Low</t>
        </is>
      </c>
      <c r="F247" s="10" t="inlineStr"/>
      <c r="G247" s="10" t="inlineStr"/>
      <c r="H247" s="10" t="inlineStr"/>
      <c r="I247" s="10" t="inlineStr"/>
      <c r="J247" s="10" t="inlineStr"/>
      <c r="K247" s="10" t="inlineStr">
        <is>
          <t>New</t>
        </is>
      </c>
      <c r="L247" s="10" t="inlineStr">
        <is>
          <t>2026-09-16</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WY-0095</t>
        </is>
      </c>
      <c r="B248" s="5" t="inlineStr">
        <is>
          <t>Heckmondwike Service Station</t>
        </is>
      </c>
      <c r="C248" s="5" t="inlineStr">
        <is>
          <t>Heckmondwike</t>
        </is>
      </c>
      <c r="D248" s="5" t="inlineStr">
        <is>
          <t>Petrol Station / Forecourt</t>
        </is>
      </c>
      <c r="E248" s="5" t="inlineStr">
        <is>
          <t>Low</t>
        </is>
      </c>
      <c r="F248" s="5" t="inlineStr"/>
      <c r="G248" s="5" t="inlineStr"/>
      <c r="H248" s="5" t="inlineStr"/>
      <c r="I248" s="5" t="inlineStr"/>
      <c r="J248" s="5" t="inlineStr"/>
      <c r="K248" s="5" t="inlineStr">
        <is>
          <t>New</t>
        </is>
      </c>
      <c r="L248" s="5" t="inlineStr">
        <is>
          <t>2026-09-16</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UK-000256</t>
        </is>
      </c>
      <c r="B249" s="10" t="inlineStr">
        <is>
          <t>Holderness Convenience &amp; Spirits</t>
        </is>
      </c>
      <c r="C249" s="10" t="inlineStr">
        <is>
          <t>Kingston upon Hull</t>
        </is>
      </c>
      <c r="D249" s="10" t="inlineStr">
        <is>
          <t>Off-Licence</t>
        </is>
      </c>
      <c r="E249" s="10" t="inlineStr">
        <is>
          <t>Low</t>
        </is>
      </c>
      <c r="F249" s="10" t="inlineStr"/>
      <c r="G249" s="10" t="inlineStr"/>
      <c r="H249" s="10" t="inlineStr"/>
      <c r="I249" s="10" t="inlineStr"/>
      <c r="J249" s="10" t="inlineStr"/>
      <c r="K249" s="10" t="inlineStr">
        <is>
          <t>New</t>
        </is>
      </c>
      <c r="L249" s="10" t="inlineStr">
        <is>
          <t>2026-09-16</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WY-0096</t>
        </is>
      </c>
      <c r="B250" s="5" t="inlineStr">
        <is>
          <t>Hopes News</t>
        </is>
      </c>
      <c r="C250" s="5" t="inlineStr">
        <is>
          <t>Shipley</t>
        </is>
      </c>
      <c r="D250" s="5" t="inlineStr">
        <is>
          <t>Newsagent</t>
        </is>
      </c>
      <c r="E250" s="5" t="inlineStr">
        <is>
          <t>Low</t>
        </is>
      </c>
      <c r="F250" s="5" t="inlineStr"/>
      <c r="G250" s="5" t="inlineStr"/>
      <c r="H250" s="5" t="inlineStr"/>
      <c r="I250" s="5" t="inlineStr"/>
      <c r="J250" s="5" t="inlineStr"/>
      <c r="K250" s="5" t="inlineStr">
        <is>
          <t>New</t>
        </is>
      </c>
      <c r="L250" s="5" t="inlineStr">
        <is>
          <t>2026-09-16</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WY-0098</t>
        </is>
      </c>
      <c r="B251" s="10" t="inlineStr">
        <is>
          <t>Ilkley Convenience Store</t>
        </is>
      </c>
      <c r="C251" s="10" t="inlineStr">
        <is>
          <t>Ilkley</t>
        </is>
      </c>
      <c r="D251" s="10" t="inlineStr">
        <is>
          <t>Convenience Store</t>
        </is>
      </c>
      <c r="E251" s="10" t="inlineStr">
        <is>
          <t>Low</t>
        </is>
      </c>
      <c r="F251" s="10" t="inlineStr"/>
      <c r="G251" s="10" t="inlineStr"/>
      <c r="H251" s="10" t="inlineStr"/>
      <c r="I251" s="10" t="inlineStr"/>
      <c r="J251" s="10" t="inlineStr"/>
      <c r="K251" s="10" t="inlineStr">
        <is>
          <t>New</t>
        </is>
      </c>
      <c r="L251" s="10" t="inlineStr">
        <is>
          <t>2026-09-16</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WY-0099</t>
        </is>
      </c>
      <c r="B252" s="5" t="inlineStr">
        <is>
          <t>International Foods</t>
        </is>
      </c>
      <c r="C252" s="5" t="inlineStr">
        <is>
          <t>Leeds</t>
        </is>
      </c>
      <c r="D252" s="5" t="inlineStr">
        <is>
          <t>Independent Supermarket</t>
        </is>
      </c>
      <c r="E252" s="5" t="inlineStr">
        <is>
          <t>Low</t>
        </is>
      </c>
      <c r="F252" s="5" t="inlineStr"/>
      <c r="G252" s="5" t="inlineStr"/>
      <c r="H252" s="5" t="inlineStr"/>
      <c r="I252" s="5" t="inlineStr"/>
      <c r="J252" s="5" t="inlineStr"/>
      <c r="K252" s="5" t="inlineStr">
        <is>
          <t>New</t>
        </is>
      </c>
      <c r="L252" s="5" t="inlineStr">
        <is>
          <t>2026-09-16</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UK-000257</t>
        </is>
      </c>
      <c r="B253" s="10" t="inlineStr">
        <is>
          <t>J A &amp; S Cowie Newsagent</t>
        </is>
      </c>
      <c r="C253" s="10" t="inlineStr">
        <is>
          <t>Ripon</t>
        </is>
      </c>
      <c r="D253" s="10" t="inlineStr">
        <is>
          <t>Newsagent</t>
        </is>
      </c>
      <c r="E253" s="10" t="inlineStr">
        <is>
          <t>Low</t>
        </is>
      </c>
      <c r="F253" s="10" t="inlineStr">
        <is>
          <t>01765 603153</t>
        </is>
      </c>
      <c r="G253" s="10" t="inlineStr"/>
      <c r="H253" s="10" t="inlineStr"/>
      <c r="I253" s="10" t="inlineStr"/>
      <c r="J253" s="10" t="inlineStr"/>
      <c r="K253" s="10" t="inlineStr">
        <is>
          <t>New</t>
        </is>
      </c>
      <c r="L253" s="10" t="inlineStr">
        <is>
          <t>2026-09-16</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UK-000259</t>
        </is>
      </c>
      <c r="B254" s="5" t="inlineStr">
        <is>
          <t>Jah's Off Licence</t>
        </is>
      </c>
      <c r="C254" s="5" t="inlineStr">
        <is>
          <t>Sheffield</t>
        </is>
      </c>
      <c r="D254" s="5" t="inlineStr">
        <is>
          <t>Off-Licence</t>
        </is>
      </c>
      <c r="E254" s="5" t="inlineStr">
        <is>
          <t>Low</t>
        </is>
      </c>
      <c r="F254" s="5" t="inlineStr"/>
      <c r="G254" s="5" t="inlineStr"/>
      <c r="H254" s="5" t="inlineStr"/>
      <c r="I254" s="5" t="inlineStr"/>
      <c r="J254" s="5" t="inlineStr"/>
      <c r="K254" s="5" t="inlineStr">
        <is>
          <t>New</t>
        </is>
      </c>
      <c r="L254" s="5" t="inlineStr">
        <is>
          <t>2026-09-16</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WY-0101</t>
        </is>
      </c>
      <c r="B255" s="10" t="inlineStr">
        <is>
          <t>KV Convenience &amp; Off Licence</t>
        </is>
      </c>
      <c r="C255" s="10" t="inlineStr">
        <is>
          <t>Huddersfield</t>
        </is>
      </c>
      <c r="D255" s="10" t="inlineStr">
        <is>
          <t>Convenience Store</t>
        </is>
      </c>
      <c r="E255" s="10" t="inlineStr">
        <is>
          <t>Low</t>
        </is>
      </c>
      <c r="F255" s="10" t="inlineStr">
        <is>
          <t>01484 644192</t>
        </is>
      </c>
      <c r="G255" s="10" t="inlineStr"/>
      <c r="H255" s="10" t="inlineStr"/>
      <c r="I255" s="10" t="inlineStr"/>
      <c r="J255" s="10" t="inlineStr"/>
      <c r="K255" s="10" t="inlineStr">
        <is>
          <t>New</t>
        </is>
      </c>
      <c r="L255" s="10" t="inlineStr">
        <is>
          <t>2026-09-16</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WY-0103</t>
        </is>
      </c>
      <c r="B256" s="5" t="inlineStr">
        <is>
          <t>Kash News &amp; Gifts</t>
        </is>
      </c>
      <c r="C256" s="5" t="inlineStr">
        <is>
          <t>Brighouse</t>
        </is>
      </c>
      <c r="D256" s="5" t="inlineStr">
        <is>
          <t>Newsagent</t>
        </is>
      </c>
      <c r="E256" s="5" t="inlineStr">
        <is>
          <t>Low</t>
        </is>
      </c>
      <c r="F256" s="5" t="inlineStr">
        <is>
          <t>01484 400405</t>
        </is>
      </c>
      <c r="G256" s="5" t="inlineStr"/>
      <c r="H256" s="5" t="inlineStr"/>
      <c r="I256" s="5" t="inlineStr"/>
      <c r="J256" s="5" t="inlineStr"/>
      <c r="K256" s="5" t="inlineStr">
        <is>
          <t>New</t>
        </is>
      </c>
      <c r="L256" s="5" t="inlineStr">
        <is>
          <t>2026-09-16</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WY-0104</t>
        </is>
      </c>
      <c r="B257" s="10" t="inlineStr">
        <is>
          <t>Keep In Touch</t>
        </is>
      </c>
      <c r="C257" s="10" t="inlineStr">
        <is>
          <t>Castleford</t>
        </is>
      </c>
      <c r="D257" s="10" t="inlineStr">
        <is>
          <t>Newsagent</t>
        </is>
      </c>
      <c r="E257" s="10" t="inlineStr">
        <is>
          <t>Low</t>
        </is>
      </c>
      <c r="F257" s="10" t="inlineStr"/>
      <c r="G257" s="10" t="inlineStr"/>
      <c r="H257" s="10" t="inlineStr"/>
      <c r="I257" s="10" t="inlineStr"/>
      <c r="J257" s="10" t="inlineStr"/>
      <c r="K257" s="10" t="inlineStr">
        <is>
          <t>New</t>
        </is>
      </c>
      <c r="L257" s="10" t="inlineStr">
        <is>
          <t>2026-09-16</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WY-0105</t>
        </is>
      </c>
      <c r="B258" s="5" t="inlineStr">
        <is>
          <t>Keighley Newsagent</t>
        </is>
      </c>
      <c r="C258" s="5" t="inlineStr">
        <is>
          <t>Keighley</t>
        </is>
      </c>
      <c r="D258" s="5" t="inlineStr">
        <is>
          <t>Newsagent</t>
        </is>
      </c>
      <c r="E258" s="5" t="inlineStr">
        <is>
          <t>Low</t>
        </is>
      </c>
      <c r="F258" s="5" t="inlineStr"/>
      <c r="G258" s="5" t="inlineStr"/>
      <c r="H258" s="5" t="inlineStr"/>
      <c r="I258" s="5" t="inlineStr"/>
      <c r="J258" s="5" t="inlineStr"/>
      <c r="K258" s="5" t="inlineStr">
        <is>
          <t>New</t>
        </is>
      </c>
      <c r="L258" s="5" t="inlineStr">
        <is>
          <t>2026-09-16</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WY-0106</t>
        </is>
      </c>
      <c r="B259" s="10" t="inlineStr">
        <is>
          <t>Khadim Supersave</t>
        </is>
      </c>
      <c r="C259" s="10" t="inlineStr">
        <is>
          <t>Huddersfield</t>
        </is>
      </c>
      <c r="D259" s="10" t="inlineStr">
        <is>
          <t>Independent Supermarket</t>
        </is>
      </c>
      <c r="E259" s="10" t="inlineStr">
        <is>
          <t>Low</t>
        </is>
      </c>
      <c r="F259" s="10" t="inlineStr">
        <is>
          <t>01484 360513</t>
        </is>
      </c>
      <c r="G259" s="10" t="inlineStr"/>
      <c r="H259" s="10" t="inlineStr"/>
      <c r="I259" s="10" t="inlineStr"/>
      <c r="J259" s="10" t="inlineStr"/>
      <c r="K259" s="10" t="inlineStr">
        <is>
          <t>New</t>
        </is>
      </c>
      <c r="L259" s="10" t="inlineStr">
        <is>
          <t>2026-09-16</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WY-0107</t>
        </is>
      </c>
      <c r="B260" s="5" t="inlineStr">
        <is>
          <t>Kubus International Food</t>
        </is>
      </c>
      <c r="C260" s="5" t="inlineStr">
        <is>
          <t>Wakefield</t>
        </is>
      </c>
      <c r="D260" s="5" t="inlineStr">
        <is>
          <t>Convenience Store</t>
        </is>
      </c>
      <c r="E260" s="5" t="inlineStr">
        <is>
          <t>Low</t>
        </is>
      </c>
      <c r="F260" s="5" t="inlineStr"/>
      <c r="G260" s="5" t="inlineStr"/>
      <c r="H260" s="5" t="inlineStr"/>
      <c r="I260" s="5" t="inlineStr"/>
      <c r="J260" s="5" t="inlineStr"/>
      <c r="K260" s="5" t="inlineStr">
        <is>
          <t>New</t>
        </is>
      </c>
      <c r="L260" s="5" t="inlineStr">
        <is>
          <t>2026-09-16</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WY-0111</t>
        </is>
      </c>
      <c r="B261" s="10" t="inlineStr">
        <is>
          <t>Local Convenience Store (Elsinore Avenue)</t>
        </is>
      </c>
      <c r="C261" s="10" t="inlineStr">
        <is>
          <t>Elland</t>
        </is>
      </c>
      <c r="D261" s="10" t="inlineStr">
        <is>
          <t>Convenience Store</t>
        </is>
      </c>
      <c r="E261" s="10" t="inlineStr">
        <is>
          <t>Low</t>
        </is>
      </c>
      <c r="F261" s="10" t="inlineStr"/>
      <c r="G261" s="10" t="inlineStr"/>
      <c r="H261" s="10" t="inlineStr"/>
      <c r="I261" s="10" t="inlineStr"/>
      <c r="J261" s="10" t="inlineStr"/>
      <c r="K261" s="10" t="inlineStr">
        <is>
          <t>New</t>
        </is>
      </c>
      <c r="L261" s="10" t="inlineStr">
        <is>
          <t>2026-09-16</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WY-0112</t>
        </is>
      </c>
      <c r="B262" s="5" t="inlineStr">
        <is>
          <t>Local Express Off Licence</t>
        </is>
      </c>
      <c r="C262" s="5" t="inlineStr">
        <is>
          <t>Batley</t>
        </is>
      </c>
      <c r="D262" s="5" t="inlineStr">
        <is>
          <t>Off-Licence</t>
        </is>
      </c>
      <c r="E262" s="5" t="inlineStr">
        <is>
          <t>Low</t>
        </is>
      </c>
      <c r="F262" s="5" t="inlineStr"/>
      <c r="G262" s="5" t="inlineStr"/>
      <c r="H262" s="5" t="inlineStr"/>
      <c r="I262" s="5" t="inlineStr"/>
      <c r="J262" s="5" t="inlineStr"/>
      <c r="K262" s="5" t="inlineStr">
        <is>
          <t>New</t>
        </is>
      </c>
      <c r="L262" s="5" t="inlineStr">
        <is>
          <t>2026-09-16</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WY-0117</t>
        </is>
      </c>
      <c r="B263" s="10" t="inlineStr">
        <is>
          <t>Mace News &amp; Off Licence</t>
        </is>
      </c>
      <c r="C263" s="10" t="inlineStr">
        <is>
          <t>Shipley</t>
        </is>
      </c>
      <c r="D263" s="10" t="inlineStr">
        <is>
          <t>Newsagent</t>
        </is>
      </c>
      <c r="E263" s="10" t="inlineStr">
        <is>
          <t>Low</t>
        </is>
      </c>
      <c r="F263" s="10" t="inlineStr"/>
      <c r="G263" s="10" t="inlineStr"/>
      <c r="H263" s="10" t="inlineStr"/>
      <c r="I263" s="10" t="inlineStr"/>
      <c r="J263" s="10" t="inlineStr"/>
      <c r="K263" s="10" t="inlineStr">
        <is>
          <t>New</t>
        </is>
      </c>
      <c r="L263" s="10" t="inlineStr">
        <is>
          <t>2026-09-16</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WY-0119</t>
        </is>
      </c>
      <c r="B264" s="5" t="inlineStr">
        <is>
          <t>Matharu Newsagents</t>
        </is>
      </c>
      <c r="C264" s="5" t="inlineStr">
        <is>
          <t>Leeds</t>
        </is>
      </c>
      <c r="D264" s="5" t="inlineStr">
        <is>
          <t>Newsagent</t>
        </is>
      </c>
      <c r="E264" s="5" t="inlineStr">
        <is>
          <t>Low</t>
        </is>
      </c>
      <c r="F264" s="5" t="inlineStr">
        <is>
          <t>0113 275 1851</t>
        </is>
      </c>
      <c r="G264" s="5" t="inlineStr"/>
      <c r="H264" s="5" t="inlineStr"/>
      <c r="I264" s="5" t="inlineStr"/>
      <c r="J264" s="5" t="inlineStr"/>
      <c r="K264" s="5" t="inlineStr">
        <is>
          <t>New</t>
        </is>
      </c>
      <c r="L264" s="5" t="inlineStr">
        <is>
          <t>2026-09-16</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WY-0120</t>
        </is>
      </c>
      <c r="B265" s="10" t="inlineStr">
        <is>
          <t>Meltham Convenience Store</t>
        </is>
      </c>
      <c r="C265" s="10" t="inlineStr">
        <is>
          <t>Meltham</t>
        </is>
      </c>
      <c r="D265" s="10" t="inlineStr">
        <is>
          <t>Convenience Store</t>
        </is>
      </c>
      <c r="E265" s="10" t="inlineStr">
        <is>
          <t>Low</t>
        </is>
      </c>
      <c r="F265" s="10" t="inlineStr">
        <is>
          <t>01484 618211</t>
        </is>
      </c>
      <c r="G265" s="10" t="inlineStr"/>
      <c r="H265" s="10" t="inlineStr"/>
      <c r="I265" s="10" t="inlineStr"/>
      <c r="J265" s="10" t="inlineStr"/>
      <c r="K265" s="10" t="inlineStr">
        <is>
          <t>New</t>
        </is>
      </c>
      <c r="L265" s="10" t="inlineStr">
        <is>
          <t>2026-09-16</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WY-0122</t>
        </is>
      </c>
      <c r="B266" s="5" t="inlineStr">
        <is>
          <t>Mount Pellon Newsagent</t>
        </is>
      </c>
      <c r="C266" s="5" t="inlineStr">
        <is>
          <t>Halifax</t>
        </is>
      </c>
      <c r="D266" s="5" t="inlineStr">
        <is>
          <t>Newsagent</t>
        </is>
      </c>
      <c r="E266" s="5" t="inlineStr">
        <is>
          <t>Low</t>
        </is>
      </c>
      <c r="F266" s="5" t="inlineStr">
        <is>
          <t>01422 361609</t>
        </is>
      </c>
      <c r="G266" s="5" t="inlineStr"/>
      <c r="H266" s="5" t="inlineStr"/>
      <c r="I266" s="5" t="inlineStr"/>
      <c r="J266" s="5" t="inlineStr"/>
      <c r="K266" s="5" t="inlineStr">
        <is>
          <t>New</t>
        </is>
      </c>
      <c r="L266" s="5" t="inlineStr">
        <is>
          <t>2026-09-16</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WY-0124</t>
        </is>
      </c>
      <c r="B267" s="10" t="inlineStr">
        <is>
          <t>Mytholmroyd Post Office</t>
        </is>
      </c>
      <c r="C267" s="10" t="inlineStr">
        <is>
          <t>Mytholmroyd</t>
        </is>
      </c>
      <c r="D267" s="10" t="inlineStr">
        <is>
          <t>Convenience Store</t>
        </is>
      </c>
      <c r="E267" s="10" t="inlineStr">
        <is>
          <t>Low</t>
        </is>
      </c>
      <c r="F267" s="10" t="inlineStr"/>
      <c r="G267" s="10" t="inlineStr"/>
      <c r="H267" s="10" t="inlineStr"/>
      <c r="I267" s="10" t="inlineStr"/>
      <c r="J267" s="10" t="inlineStr"/>
      <c r="K267" s="10" t="inlineStr">
        <is>
          <t>New</t>
        </is>
      </c>
      <c r="L267" s="10" t="inlineStr">
        <is>
          <t>2026-09-16</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WY-0126</t>
        </is>
      </c>
      <c r="B268" s="5" t="inlineStr">
        <is>
          <t>Northowram Post Office</t>
        </is>
      </c>
      <c r="C268" s="5" t="inlineStr">
        <is>
          <t>Halifax</t>
        </is>
      </c>
      <c r="D268" s="5" t="inlineStr">
        <is>
          <t>Convenience Store</t>
        </is>
      </c>
      <c r="E268" s="5" t="inlineStr">
        <is>
          <t>Low</t>
        </is>
      </c>
      <c r="F268" s="5" t="inlineStr"/>
      <c r="G268" s="5" t="inlineStr"/>
      <c r="H268" s="5" t="inlineStr"/>
      <c r="I268" s="5" t="inlineStr"/>
      <c r="J268" s="5" t="inlineStr"/>
      <c r="K268" s="5" t="inlineStr">
        <is>
          <t>New</t>
        </is>
      </c>
      <c r="L268" s="5" t="inlineStr">
        <is>
          <t>2026-09-16</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WY-0128</t>
        </is>
      </c>
      <c r="B269" s="10" t="inlineStr">
        <is>
          <t>Off Licence and Convenience Store (Cutsyke)</t>
        </is>
      </c>
      <c r="C269" s="10" t="inlineStr">
        <is>
          <t>Castleford</t>
        </is>
      </c>
      <c r="D269" s="10" t="inlineStr">
        <is>
          <t>Off-Licence</t>
        </is>
      </c>
      <c r="E269" s="10" t="inlineStr">
        <is>
          <t>Low</t>
        </is>
      </c>
      <c r="F269" s="10" t="inlineStr"/>
      <c r="G269" s="10" t="inlineStr"/>
      <c r="H269" s="10" t="inlineStr"/>
      <c r="I269" s="10" t="inlineStr"/>
      <c r="J269" s="10" t="inlineStr"/>
      <c r="K269" s="10" t="inlineStr">
        <is>
          <t>New</t>
        </is>
      </c>
      <c r="L269" s="10" t="inlineStr">
        <is>
          <t>2026-09-16</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WY-0129</t>
        </is>
      </c>
      <c r="B270" s="5" t="inlineStr">
        <is>
          <t>Outwood Express</t>
        </is>
      </c>
      <c r="C270" s="5" t="inlineStr">
        <is>
          <t>Wakefield</t>
        </is>
      </c>
      <c r="D270" s="5" t="inlineStr">
        <is>
          <t>Convenience Store</t>
        </is>
      </c>
      <c r="E270" s="5" t="inlineStr">
        <is>
          <t>Low</t>
        </is>
      </c>
      <c r="F270" s="5" t="inlineStr"/>
      <c r="G270" s="5" t="inlineStr"/>
      <c r="H270" s="5" t="inlineStr"/>
      <c r="I270" s="5" t="inlineStr"/>
      <c r="J270" s="5" t="inlineStr"/>
      <c r="K270" s="5" t="inlineStr">
        <is>
          <t>New</t>
        </is>
      </c>
      <c r="L270" s="5" t="inlineStr">
        <is>
          <t>2026-09-16</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WY-0133</t>
        </is>
      </c>
      <c r="B271" s="10" t="inlineStr">
        <is>
          <t>Premier (Bingley Convenience Store)</t>
        </is>
      </c>
      <c r="C271" s="10" t="inlineStr">
        <is>
          <t>Bingley</t>
        </is>
      </c>
      <c r="D271" s="10" t="inlineStr">
        <is>
          <t>Convenience Store</t>
        </is>
      </c>
      <c r="E271" s="10" t="inlineStr">
        <is>
          <t>Low</t>
        </is>
      </c>
      <c r="F271" s="10" t="inlineStr"/>
      <c r="G271" s="10" t="inlineStr"/>
      <c r="H271" s="10" t="inlineStr"/>
      <c r="I271" s="10" t="inlineStr"/>
      <c r="J271" s="10" t="inlineStr"/>
      <c r="K271" s="10" t="inlineStr">
        <is>
          <t>New</t>
        </is>
      </c>
      <c r="L271" s="10" t="inlineStr">
        <is>
          <t>2026-09-16</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WY-0134</t>
        </is>
      </c>
      <c r="B272" s="5" t="inlineStr">
        <is>
          <t>Premier Hemsworth</t>
        </is>
      </c>
      <c r="C272" s="5" t="inlineStr">
        <is>
          <t>Hemsworth</t>
        </is>
      </c>
      <c r="D272" s="5" t="inlineStr">
        <is>
          <t>Convenience Store</t>
        </is>
      </c>
      <c r="E272" s="5" t="inlineStr">
        <is>
          <t>Low</t>
        </is>
      </c>
      <c r="F272" s="5" t="inlineStr"/>
      <c r="G272" s="5" t="inlineStr"/>
      <c r="H272" s="5" t="inlineStr"/>
      <c r="I272" s="5" t="inlineStr"/>
      <c r="J272" s="5" t="inlineStr"/>
      <c r="K272" s="5" t="inlineStr">
        <is>
          <t>New</t>
        </is>
      </c>
      <c r="L272" s="5" t="inlineStr">
        <is>
          <t>2026-09-16</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WY-0136</t>
        </is>
      </c>
      <c r="B273" s="10" t="inlineStr">
        <is>
          <t>Quix Newsagents, Off Licence &amp; Convenience Store</t>
        </is>
      </c>
      <c r="C273" s="10" t="inlineStr">
        <is>
          <t>Shipley</t>
        </is>
      </c>
      <c r="D273" s="10" t="inlineStr">
        <is>
          <t>Convenience Store</t>
        </is>
      </c>
      <c r="E273" s="10" t="inlineStr">
        <is>
          <t>Low</t>
        </is>
      </c>
      <c r="F273" s="10" t="inlineStr"/>
      <c r="G273" s="10" t="inlineStr"/>
      <c r="H273" s="10" t="inlineStr"/>
      <c r="I273" s="10" t="inlineStr"/>
      <c r="J273" s="10" t="inlineStr"/>
      <c r="K273" s="10" t="inlineStr">
        <is>
          <t>New</t>
        </is>
      </c>
      <c r="L273" s="10" t="inlineStr">
        <is>
          <t>2026-09-16</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WY-0137</t>
        </is>
      </c>
      <c r="B274" s="5" t="inlineStr">
        <is>
          <t>Rahien Mini Market</t>
        </is>
      </c>
      <c r="C274" s="5" t="inlineStr">
        <is>
          <t>Leeds</t>
        </is>
      </c>
      <c r="D274" s="5" t="inlineStr">
        <is>
          <t>Convenience Store</t>
        </is>
      </c>
      <c r="E274" s="5" t="inlineStr">
        <is>
          <t>Low</t>
        </is>
      </c>
      <c r="F274" s="5" t="inlineStr"/>
      <c r="G274" s="5" t="inlineStr"/>
      <c r="H274" s="5" t="inlineStr"/>
      <c r="I274" s="5" t="inlineStr"/>
      <c r="J274" s="5" t="inlineStr"/>
      <c r="K274" s="5" t="inlineStr">
        <is>
          <t>New</t>
        </is>
      </c>
      <c r="L274" s="5" t="inlineStr">
        <is>
          <t>2026-09-16</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UK-000272</t>
        </is>
      </c>
      <c r="B275" s="10" t="inlineStr">
        <is>
          <t>Ripon News</t>
        </is>
      </c>
      <c r="C275" s="10" t="inlineStr">
        <is>
          <t>Ripon</t>
        </is>
      </c>
      <c r="D275" s="10" t="inlineStr">
        <is>
          <t>Newsagent</t>
        </is>
      </c>
      <c r="E275" s="10" t="inlineStr">
        <is>
          <t>Low</t>
        </is>
      </c>
      <c r="F275" s="10" t="inlineStr">
        <is>
          <t>01765 604337</t>
        </is>
      </c>
      <c r="G275" s="10" t="inlineStr"/>
      <c r="H275" s="10" t="inlineStr"/>
      <c r="I275" s="10" t="inlineStr"/>
      <c r="J275" s="10" t="inlineStr"/>
      <c r="K275" s="10" t="inlineStr">
        <is>
          <t>New</t>
        </is>
      </c>
      <c r="L275" s="10" t="inlineStr">
        <is>
          <t>2026-09-16</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UK-000274</t>
        </is>
      </c>
      <c r="B276" s="5" t="inlineStr">
        <is>
          <t>S.J. Convenience Store</t>
        </is>
      </c>
      <c r="C276" s="5" t="inlineStr">
        <is>
          <t>Kingston upon Hull</t>
        </is>
      </c>
      <c r="D276" s="5" t="inlineStr">
        <is>
          <t>Convenience Store</t>
        </is>
      </c>
      <c r="E276" s="5" t="inlineStr">
        <is>
          <t>Low</t>
        </is>
      </c>
      <c r="F276" s="5" t="inlineStr"/>
      <c r="G276" s="5" t="inlineStr"/>
      <c r="H276" s="5" t="inlineStr"/>
      <c r="I276" s="5" t="inlineStr"/>
      <c r="J276" s="5" t="inlineStr"/>
      <c r="K276" s="5" t="inlineStr">
        <is>
          <t>New</t>
        </is>
      </c>
      <c r="L276" s="5" t="inlineStr">
        <is>
          <t>2026-09-16</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WY-0144</t>
        </is>
      </c>
      <c r="B277" s="10" t="inlineStr">
        <is>
          <t>Select Newsagent</t>
        </is>
      </c>
      <c r="C277" s="10" t="inlineStr">
        <is>
          <t>Mirfield</t>
        </is>
      </c>
      <c r="D277" s="10" t="inlineStr">
        <is>
          <t>Newsagent</t>
        </is>
      </c>
      <c r="E277" s="10" t="inlineStr">
        <is>
          <t>Low</t>
        </is>
      </c>
      <c r="F277" s="10" t="inlineStr">
        <is>
          <t>01924 695779</t>
        </is>
      </c>
      <c r="G277" s="10" t="inlineStr"/>
      <c r="H277" s="10" t="inlineStr"/>
      <c r="I277" s="10" t="inlineStr"/>
      <c r="J277" s="10" t="inlineStr"/>
      <c r="K277" s="10" t="inlineStr">
        <is>
          <t>New</t>
        </is>
      </c>
      <c r="L277" s="10" t="inlineStr">
        <is>
          <t>2026-09-16</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WY-0146</t>
        </is>
      </c>
      <c r="B278" s="5" t="inlineStr">
        <is>
          <t>Sheepridge Off Licence</t>
        </is>
      </c>
      <c r="C278" s="5" t="inlineStr">
        <is>
          <t>Huddersfield</t>
        </is>
      </c>
      <c r="D278" s="5" t="inlineStr">
        <is>
          <t>Off-Licence</t>
        </is>
      </c>
      <c r="E278" s="5" t="inlineStr">
        <is>
          <t>Low</t>
        </is>
      </c>
      <c r="F278" s="5" t="inlineStr"/>
      <c r="G278" s="5" t="inlineStr"/>
      <c r="H278" s="5" t="inlineStr"/>
      <c r="I278" s="5" t="inlineStr"/>
      <c r="J278" s="5" t="inlineStr"/>
      <c r="K278" s="5" t="inlineStr">
        <is>
          <t>New</t>
        </is>
      </c>
      <c r="L278" s="5" t="inlineStr">
        <is>
          <t>2026-09-16</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WY-0151</t>
        </is>
      </c>
      <c r="B279" s="10" t="inlineStr">
        <is>
          <t>Soothill Convenience Store &amp; Off Licence</t>
        </is>
      </c>
      <c r="C279" s="10" t="inlineStr">
        <is>
          <t>Batley</t>
        </is>
      </c>
      <c r="D279" s="10" t="inlineStr">
        <is>
          <t>Convenience Store</t>
        </is>
      </c>
      <c r="E279" s="10" t="inlineStr">
        <is>
          <t>Low</t>
        </is>
      </c>
      <c r="F279" s="10" t="inlineStr"/>
      <c r="G279" s="10" t="inlineStr"/>
      <c r="H279" s="10" t="inlineStr"/>
      <c r="I279" s="10" t="inlineStr"/>
      <c r="J279" s="10" t="inlineStr"/>
      <c r="K279" s="10" t="inlineStr">
        <is>
          <t>New</t>
        </is>
      </c>
      <c r="L279" s="10" t="inlineStr">
        <is>
          <t>2026-09-16</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WY-0152</t>
        </is>
      </c>
      <c r="B280" s="5" t="inlineStr">
        <is>
          <t>Springfield Garage (Keighley)</t>
        </is>
      </c>
      <c r="C280" s="5" t="inlineStr">
        <is>
          <t>Keighley</t>
        </is>
      </c>
      <c r="D280" s="5" t="inlineStr">
        <is>
          <t>Petrol Station / Forecourt</t>
        </is>
      </c>
      <c r="E280" s="5" t="inlineStr">
        <is>
          <t>Low</t>
        </is>
      </c>
      <c r="F280" s="5" t="inlineStr">
        <is>
          <t>01535 604629</t>
        </is>
      </c>
      <c r="G280" s="5" t="inlineStr"/>
      <c r="H280" s="5" t="inlineStr"/>
      <c r="I280" s="5" t="inlineStr"/>
      <c r="J280" s="5" t="inlineStr"/>
      <c r="K280" s="5" t="inlineStr">
        <is>
          <t>New</t>
        </is>
      </c>
      <c r="L280" s="5" t="inlineStr">
        <is>
          <t>2026-09-16</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UK-000279</t>
        </is>
      </c>
      <c r="B281" s="10" t="inlineStr">
        <is>
          <t>Sprouts Supermarket</t>
        </is>
      </c>
      <c r="C281" s="10" t="inlineStr">
        <is>
          <t>Rotherham</t>
        </is>
      </c>
      <c r="D281" s="10" t="inlineStr">
        <is>
          <t>Independent Supermarket</t>
        </is>
      </c>
      <c r="E281" s="10" t="inlineStr">
        <is>
          <t>Low</t>
        </is>
      </c>
      <c r="F281" s="10" t="inlineStr">
        <is>
          <t>01709 839980</t>
        </is>
      </c>
      <c r="G281" s="10" t="inlineStr"/>
      <c r="H281" s="10" t="inlineStr"/>
      <c r="I281" s="10" t="inlineStr"/>
      <c r="J281" s="10" t="inlineStr"/>
      <c r="K281" s="10" t="inlineStr">
        <is>
          <t>New</t>
        </is>
      </c>
      <c r="L281" s="10" t="inlineStr">
        <is>
          <t>2026-09-16</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WY-0153</t>
        </is>
      </c>
      <c r="B282" s="5" t="inlineStr">
        <is>
          <t>Stainbeck Off Licence (Best-one)</t>
        </is>
      </c>
      <c r="C282" s="5" t="inlineStr">
        <is>
          <t>Leeds</t>
        </is>
      </c>
      <c r="D282" s="5" t="inlineStr">
        <is>
          <t>Off-Licence</t>
        </is>
      </c>
      <c r="E282" s="5" t="inlineStr">
        <is>
          <t>Low</t>
        </is>
      </c>
      <c r="F282" s="5" t="inlineStr"/>
      <c r="G282" s="5" t="inlineStr"/>
      <c r="H282" s="5" t="inlineStr"/>
      <c r="I282" s="5" t="inlineStr"/>
      <c r="J282" s="5" t="inlineStr"/>
      <c r="K282" s="5" t="inlineStr">
        <is>
          <t>New</t>
        </is>
      </c>
      <c r="L282" s="5" t="inlineStr">
        <is>
          <t>2026-09-16</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WY-0154</t>
        </is>
      </c>
      <c r="B283" s="10" t="inlineStr">
        <is>
          <t>Star Express Off-Licence &amp; Convenience Store</t>
        </is>
      </c>
      <c r="C283" s="10" t="inlineStr">
        <is>
          <t>Huddersfield</t>
        </is>
      </c>
      <c r="D283" s="10" t="inlineStr">
        <is>
          <t>Off-Licence</t>
        </is>
      </c>
      <c r="E283" s="10" t="inlineStr">
        <is>
          <t>Low</t>
        </is>
      </c>
      <c r="F283" s="10" t="inlineStr"/>
      <c r="G283" s="10" t="inlineStr"/>
      <c r="H283" s="10" t="inlineStr"/>
      <c r="I283" s="10" t="inlineStr"/>
      <c r="J283" s="10" t="inlineStr"/>
      <c r="K283" s="10" t="inlineStr">
        <is>
          <t>New</t>
        </is>
      </c>
      <c r="L283" s="10" t="inlineStr">
        <is>
          <t>2026-09-16</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WY-0155</t>
        </is>
      </c>
      <c r="B284" s="5" t="inlineStr">
        <is>
          <t>Stringers Service Station</t>
        </is>
      </c>
      <c r="C284" s="5" t="inlineStr">
        <is>
          <t>Pontefract</t>
        </is>
      </c>
      <c r="D284" s="5" t="inlineStr">
        <is>
          <t>Petrol Station / Forecourt</t>
        </is>
      </c>
      <c r="E284" s="5" t="inlineStr">
        <is>
          <t>Low</t>
        </is>
      </c>
      <c r="F284" s="5" t="inlineStr"/>
      <c r="G284" s="5" t="inlineStr"/>
      <c r="H284" s="5" t="inlineStr"/>
      <c r="I284" s="5" t="inlineStr"/>
      <c r="J284" s="5" t="inlineStr"/>
      <c r="K284" s="5" t="inlineStr">
        <is>
          <t>New</t>
        </is>
      </c>
      <c r="L284" s="5" t="inlineStr">
        <is>
          <t>2026-09-16</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UK-000281</t>
        </is>
      </c>
      <c r="B285" s="10" t="inlineStr">
        <is>
          <t>Tang Hall Food &amp; Wine</t>
        </is>
      </c>
      <c r="C285" s="10" t="inlineStr">
        <is>
          <t>York</t>
        </is>
      </c>
      <c r="D285" s="10" t="inlineStr">
        <is>
          <t>Off-Licence</t>
        </is>
      </c>
      <c r="E285" s="10" t="inlineStr">
        <is>
          <t>Low</t>
        </is>
      </c>
      <c r="F285" s="10" t="inlineStr"/>
      <c r="G285" s="10" t="inlineStr"/>
      <c r="H285" s="10" t="inlineStr"/>
      <c r="I285" s="10" t="inlineStr"/>
      <c r="J285" s="10" t="inlineStr"/>
      <c r="K285" s="10" t="inlineStr">
        <is>
          <t>New</t>
        </is>
      </c>
      <c r="L285" s="10" t="inlineStr">
        <is>
          <t>2026-09-16</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WY-0159</t>
        </is>
      </c>
      <c r="B286" s="5" t="inlineStr">
        <is>
          <t>The Local: Elland</t>
        </is>
      </c>
      <c r="C286" s="5" t="inlineStr">
        <is>
          <t>Elland</t>
        </is>
      </c>
      <c r="D286" s="5" t="inlineStr">
        <is>
          <t>Off-Licence</t>
        </is>
      </c>
      <c r="E286" s="5" t="inlineStr">
        <is>
          <t>Low</t>
        </is>
      </c>
      <c r="F286" s="5" t="inlineStr"/>
      <c r="G286" s="5" t="inlineStr"/>
      <c r="H286" s="5" t="inlineStr"/>
      <c r="I286" s="5" t="inlineStr"/>
      <c r="J286" s="5" t="inlineStr"/>
      <c r="K286" s="5" t="inlineStr">
        <is>
          <t>New</t>
        </is>
      </c>
      <c r="L286" s="5" t="inlineStr">
        <is>
          <t>2026-09-16</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WY-0164</t>
        </is>
      </c>
      <c r="B287" s="10" t="inlineStr">
        <is>
          <t>Thornhill Convenience Store</t>
        </is>
      </c>
      <c r="C287" s="10" t="inlineStr">
        <is>
          <t>Dewsbury</t>
        </is>
      </c>
      <c r="D287" s="10" t="inlineStr">
        <is>
          <t>Convenience Store</t>
        </is>
      </c>
      <c r="E287" s="10" t="inlineStr">
        <is>
          <t>Low</t>
        </is>
      </c>
      <c r="F287" s="10" t="inlineStr">
        <is>
          <t>01924 462478</t>
        </is>
      </c>
      <c r="G287" s="10" t="inlineStr"/>
      <c r="H287" s="10" t="inlineStr"/>
      <c r="I287" s="10" t="inlineStr"/>
      <c r="J287" s="10" t="inlineStr"/>
      <c r="K287" s="10" t="inlineStr">
        <is>
          <t>New</t>
        </is>
      </c>
      <c r="L287" s="10" t="inlineStr">
        <is>
          <t>2026-09-16</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WY-0165</t>
        </is>
      </c>
      <c r="B288" s="5" t="inlineStr">
        <is>
          <t>Todmorden Newscentre</t>
        </is>
      </c>
      <c r="C288" s="5" t="inlineStr">
        <is>
          <t>Todmorden</t>
        </is>
      </c>
      <c r="D288" s="5" t="inlineStr">
        <is>
          <t>Newsagent</t>
        </is>
      </c>
      <c r="E288" s="5" t="inlineStr">
        <is>
          <t>Low</t>
        </is>
      </c>
      <c r="F288" s="5" t="inlineStr">
        <is>
          <t>01706 819889</t>
        </is>
      </c>
      <c r="G288" s="5" t="inlineStr"/>
      <c r="H288" s="5" t="inlineStr"/>
      <c r="I288" s="5" t="inlineStr"/>
      <c r="J288" s="5" t="inlineStr"/>
      <c r="K288" s="5" t="inlineStr">
        <is>
          <t>New</t>
        </is>
      </c>
      <c r="L288" s="5" t="inlineStr">
        <is>
          <t>2026-09-16</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WY-0167</t>
        </is>
      </c>
      <c r="B289" s="10" t="inlineStr">
        <is>
          <t>Top Shelf Off Licence</t>
        </is>
      </c>
      <c r="C289" s="10" t="inlineStr">
        <is>
          <t>Wakefield</t>
        </is>
      </c>
      <c r="D289" s="10" t="inlineStr">
        <is>
          <t>Off-Licence</t>
        </is>
      </c>
      <c r="E289" s="10" t="inlineStr">
        <is>
          <t>Low</t>
        </is>
      </c>
      <c r="F289" s="10" t="inlineStr"/>
      <c r="G289" s="10" t="inlineStr"/>
      <c r="H289" s="10" t="inlineStr"/>
      <c r="I289" s="10" t="inlineStr"/>
      <c r="J289" s="10" t="inlineStr"/>
      <c r="K289" s="10" t="inlineStr">
        <is>
          <t>New</t>
        </is>
      </c>
      <c r="L289" s="10" t="inlineStr">
        <is>
          <t>2026-09-16</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WY-0168</t>
        </is>
      </c>
      <c r="B290" s="5" t="inlineStr">
        <is>
          <t>Turners Food &amp; Wine</t>
        </is>
      </c>
      <c r="C290" s="5" t="inlineStr">
        <is>
          <t>Leeds</t>
        </is>
      </c>
      <c r="D290" s="5" t="inlineStr">
        <is>
          <t>Convenience Store</t>
        </is>
      </c>
      <c r="E290" s="5" t="inlineStr">
        <is>
          <t>Low</t>
        </is>
      </c>
      <c r="F290" s="5" t="inlineStr"/>
      <c r="G290" s="5" t="inlineStr"/>
      <c r="H290" s="5" t="inlineStr"/>
      <c r="I290" s="5" t="inlineStr"/>
      <c r="J290" s="5" t="inlineStr"/>
      <c r="K290" s="5" t="inlineStr">
        <is>
          <t>New</t>
        </is>
      </c>
      <c r="L290" s="5" t="inlineStr">
        <is>
          <t>2026-09-16</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WY-0169</t>
        </is>
      </c>
      <c r="B291" s="10" t="inlineStr">
        <is>
          <t>Tylor's Booze</t>
        </is>
      </c>
      <c r="C291" s="10" t="inlineStr">
        <is>
          <t>Castleford</t>
        </is>
      </c>
      <c r="D291" s="10" t="inlineStr">
        <is>
          <t>Off-Licence</t>
        </is>
      </c>
      <c r="E291" s="10" t="inlineStr">
        <is>
          <t>Low</t>
        </is>
      </c>
      <c r="F291" s="10" t="inlineStr"/>
      <c r="G291" s="10" t="inlineStr"/>
      <c r="H291" s="10" t="inlineStr"/>
      <c r="I291" s="10" t="inlineStr"/>
      <c r="J291" s="10" t="inlineStr"/>
      <c r="K291" s="10" t="inlineStr">
        <is>
          <t>New</t>
        </is>
      </c>
      <c r="L291" s="10" t="inlineStr">
        <is>
          <t>2026-09-16</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WY-0178</t>
        </is>
      </c>
      <c r="B292" s="5" t="inlineStr">
        <is>
          <t>Vape and Wine Village</t>
        </is>
      </c>
      <c r="C292" s="5" t="inlineStr">
        <is>
          <t>Leeds</t>
        </is>
      </c>
      <c r="D292" s="5" t="inlineStr">
        <is>
          <t>Off-Licence</t>
        </is>
      </c>
      <c r="E292" s="5" t="inlineStr">
        <is>
          <t>Low</t>
        </is>
      </c>
      <c r="F292" s="5" t="inlineStr"/>
      <c r="G292" s="5" t="inlineStr"/>
      <c r="H292" s="5" t="inlineStr"/>
      <c r="I292" s="5" t="inlineStr"/>
      <c r="J292" s="5" t="inlineStr"/>
      <c r="K292" s="5" t="inlineStr">
        <is>
          <t>New</t>
        </is>
      </c>
      <c r="L292" s="5" t="inlineStr">
        <is>
          <t>2026-09-16</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WY-0183</t>
        </is>
      </c>
      <c r="B293" s="10" t="inlineStr">
        <is>
          <t>Vaporized Meanwood</t>
        </is>
      </c>
      <c r="C293" s="10" t="inlineStr">
        <is>
          <t>Leeds</t>
        </is>
      </c>
      <c r="D293" s="10" t="inlineStr">
        <is>
          <t>Vape Shop</t>
        </is>
      </c>
      <c r="E293" s="10" t="inlineStr">
        <is>
          <t>Low</t>
        </is>
      </c>
      <c r="F293" s="10" t="inlineStr">
        <is>
          <t>0113 274 8997</t>
        </is>
      </c>
      <c r="G293" s="10" t="inlineStr"/>
      <c r="H293" s="10" t="inlineStr"/>
      <c r="I293" s="10" t="inlineStr"/>
      <c r="J293" s="10" t="inlineStr"/>
      <c r="K293" s="10" t="inlineStr">
        <is>
          <t>New</t>
        </is>
      </c>
      <c r="L293" s="10" t="inlineStr">
        <is>
          <t>2026-09-16</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UK-000295</t>
        </is>
      </c>
      <c r="B294" s="5" t="inlineStr">
        <is>
          <t>Walkley Beer Company</t>
        </is>
      </c>
      <c r="C294" s="5" t="inlineStr">
        <is>
          <t>Sheffield</t>
        </is>
      </c>
      <c r="D294" s="5" t="inlineStr">
        <is>
          <t>Off-Licence</t>
        </is>
      </c>
      <c r="E294" s="5" t="inlineStr">
        <is>
          <t>Low</t>
        </is>
      </c>
      <c r="F294" s="5" t="inlineStr"/>
      <c r="G294" s="5" t="inlineStr"/>
      <c r="H294" s="5" t="inlineStr"/>
      <c r="I294" s="5" t="inlineStr"/>
      <c r="J294" s="5" t="inlineStr"/>
      <c r="K294" s="5" t="inlineStr">
        <is>
          <t>New</t>
        </is>
      </c>
      <c r="L294" s="5" t="inlineStr">
        <is>
          <t>2026-09-16</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WY-0186</t>
        </is>
      </c>
      <c r="B295" s="10" t="inlineStr">
        <is>
          <t>Wayward Wines</t>
        </is>
      </c>
      <c r="C295" s="10" t="inlineStr">
        <is>
          <t>Leeds</t>
        </is>
      </c>
      <c r="D295" s="10" t="inlineStr">
        <is>
          <t>Off-Licence</t>
        </is>
      </c>
      <c r="E295" s="10" t="inlineStr">
        <is>
          <t>Low</t>
        </is>
      </c>
      <c r="F295" s="10" t="inlineStr"/>
      <c r="G295" s="10" t="inlineStr"/>
      <c r="H295" s="10" t="inlineStr"/>
      <c r="I295" s="10" t="inlineStr"/>
      <c r="J295" s="10" t="inlineStr"/>
      <c r="K295" s="10" t="inlineStr">
        <is>
          <t>New</t>
        </is>
      </c>
      <c r="L295" s="10" t="inlineStr">
        <is>
          <t>2026-09-16</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WY-0187</t>
        </is>
      </c>
      <c r="B296" s="5" t="inlineStr">
        <is>
          <t>West End Off Licence</t>
        </is>
      </c>
      <c r="C296" s="5" t="inlineStr">
        <is>
          <t>Halifax</t>
        </is>
      </c>
      <c r="D296" s="5" t="inlineStr">
        <is>
          <t>Off-Licence</t>
        </is>
      </c>
      <c r="E296" s="5" t="inlineStr">
        <is>
          <t>Low</t>
        </is>
      </c>
      <c r="F296" s="5" t="inlineStr"/>
      <c r="G296" s="5" t="inlineStr"/>
      <c r="H296" s="5" t="inlineStr"/>
      <c r="I296" s="5" t="inlineStr"/>
      <c r="J296" s="5" t="inlineStr"/>
      <c r="K296" s="5" t="inlineStr">
        <is>
          <t>New</t>
        </is>
      </c>
      <c r="L296" s="5" t="inlineStr">
        <is>
          <t>2026-09-16</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WY-0190</t>
        </is>
      </c>
      <c r="B297" s="10" t="inlineStr">
        <is>
          <t>Yorkshire Fuels (Green Lane Service Station)</t>
        </is>
      </c>
      <c r="C297" s="10" t="inlineStr">
        <is>
          <t>Yeadon</t>
        </is>
      </c>
      <c r="D297" s="10" t="inlineStr">
        <is>
          <t>Petrol Station / Forecourt</t>
        </is>
      </c>
      <c r="E297" s="10" t="inlineStr">
        <is>
          <t>Low</t>
        </is>
      </c>
      <c r="F297" s="10" t="inlineStr"/>
      <c r="G297" s="10" t="inlineStr"/>
      <c r="H297" s="10" t="inlineStr"/>
      <c r="I297" s="10" t="inlineStr"/>
      <c r="J297" s="10" t="inlineStr"/>
      <c r="K297" s="10" t="inlineStr">
        <is>
          <t>New</t>
        </is>
      </c>
      <c r="L297" s="10" t="inlineStr">
        <is>
          <t>2026-09-16</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9">
      <c r="A299" s="15" t="inlineStr">
        <is>
          <t>Editable CRM columns: Lead Status, Last Contact, Next Follow-Up, Contact Method, Salesperson, Outcome, CRM Notes, Opt-Out Status, Do Not Contact. Never delete a row with Opt-Out/Do Not Contact set - suppression must survive re-imports.</t>
        </is>
      </c>
    </row>
  </sheetData>
  <autoFilter ref="A1:U29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2026-09-16T20:45:32Z</dcterms:created>
  <dcterms:modified xsi:type="dcterms:W3CDTF">2026-09-16T20:45:33Z</dcterms:modified>
</cp:coreProperties>
</file>